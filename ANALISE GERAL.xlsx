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4e1a606e073e25/Área de Trabalho/Dash V4/"/>
    </mc:Choice>
  </mc:AlternateContent>
  <xr:revisionPtr revIDLastSave="2598" documentId="8_{5B412AB7-6997-4F81-A0AD-99AC51F41FA8}" xr6:coauthVersionLast="47" xr6:coauthVersionMax="47" xr10:uidLastSave="{D558E106-0C21-4456-96C6-474020CD64E6}"/>
  <bookViews>
    <workbookView xWindow="-120" yWindow="-120" windowWidth="20730" windowHeight="11040" tabRatio="818" activeTab="2" xr2:uid="{7191BDDD-8164-4ECA-80F1-84655036D342}"/>
  </bookViews>
  <sheets>
    <sheet name="FATURAMENTO LOJAS" sheetId="6" r:id="rId1"/>
    <sheet name="Rank fornecedor" sheetId="10" r:id="rId2"/>
    <sheet name="LP GERAL" sheetId="15" r:id="rId3"/>
    <sheet name="Pisos &amp; Revestimentos" sheetId="1" r:id="rId4"/>
    <sheet name="Pintura &amp; Cia" sheetId="2" r:id="rId5"/>
    <sheet name="Argamassa &amp; Cia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3" l="1"/>
  <c r="F43" i="3"/>
  <c r="D43" i="3"/>
  <c r="C43" i="3"/>
  <c r="G43" i="2"/>
  <c r="F43" i="2"/>
  <c r="D43" i="2"/>
  <c r="C43" i="2"/>
  <c r="AF43" i="1"/>
  <c r="AE43" i="1"/>
  <c r="AD43" i="1"/>
  <c r="AB43" i="1"/>
  <c r="AA43" i="1"/>
  <c r="V43" i="1"/>
  <c r="S43" i="1"/>
  <c r="R43" i="1"/>
  <c r="P43" i="1"/>
  <c r="M43" i="1"/>
  <c r="L43" i="1"/>
  <c r="J43" i="1"/>
  <c r="G43" i="1"/>
  <c r="F43" i="1"/>
  <c r="D43" i="1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O43" i="6"/>
  <c r="V43" i="6" l="1"/>
  <c r="X43" i="6" s="1"/>
  <c r="T43" i="6"/>
  <c r="P43" i="6"/>
  <c r="K43" i="6"/>
  <c r="J43" i="6"/>
  <c r="F43" i="6"/>
  <c r="E43" i="6"/>
  <c r="EC14" i="10"/>
  <c r="EB14" i="10"/>
  <c r="EA14" i="10"/>
  <c r="DZ14" i="10"/>
  <c r="DY14" i="10"/>
  <c r="DX14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K14" i="10"/>
  <c r="DJ14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EC13" i="10"/>
  <c r="EB13" i="10"/>
  <c r="EA13" i="10"/>
  <c r="DZ13" i="10"/>
  <c r="DY13" i="10"/>
  <c r="DX13" i="10"/>
  <c r="DW13" i="10"/>
  <c r="DV13" i="10"/>
  <c r="DU13" i="10"/>
  <c r="DT13" i="10"/>
  <c r="DS13" i="10"/>
  <c r="DR13" i="10"/>
  <c r="DQ13" i="10"/>
  <c r="DP13" i="10"/>
  <c r="DO13" i="10"/>
  <c r="DN13" i="10"/>
  <c r="DM13" i="10"/>
  <c r="DL13" i="10"/>
  <c r="DK13" i="10"/>
  <c r="DJ13" i="10"/>
  <c r="DI13" i="10"/>
  <c r="DH13" i="10"/>
  <c r="DG13" i="10"/>
  <c r="DF13" i="10"/>
  <c r="DE13" i="10"/>
  <c r="DD13" i="10"/>
  <c r="DC13" i="10"/>
  <c r="DB13" i="10"/>
  <c r="DA13" i="10"/>
  <c r="CZ13" i="10"/>
  <c r="CY13" i="10"/>
  <c r="CX13" i="10"/>
  <c r="CW13" i="10"/>
  <c r="CV13" i="10"/>
  <c r="CU13" i="10"/>
  <c r="CT13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D13" i="10"/>
  <c r="B13" i="10"/>
  <c r="EC12" i="10"/>
  <c r="EB12" i="10"/>
  <c r="EA12" i="10"/>
  <c r="DZ12" i="10"/>
  <c r="DY12" i="10"/>
  <c r="DX12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EC11" i="10"/>
  <c r="EB11" i="10"/>
  <c r="EA11" i="10"/>
  <c r="DZ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EC10" i="10"/>
  <c r="EB10" i="10"/>
  <c r="EA10" i="10"/>
  <c r="DZ10" i="10"/>
  <c r="DY10" i="10"/>
  <c r="DX10" i="10"/>
  <c r="DW10" i="10"/>
  <c r="DV10" i="10"/>
  <c r="DU10" i="10"/>
  <c r="DT10" i="10"/>
  <c r="DS10" i="10"/>
  <c r="DR10" i="10"/>
  <c r="DQ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EC9" i="10"/>
  <c r="EB9" i="10"/>
  <c r="EA9" i="10"/>
  <c r="DZ9" i="10"/>
  <c r="DY9" i="10"/>
  <c r="DX9" i="10"/>
  <c r="DW9" i="10"/>
  <c r="DV9" i="10"/>
  <c r="DU9" i="10"/>
  <c r="DT9" i="10"/>
  <c r="DS9" i="10"/>
  <c r="DR9" i="10"/>
  <c r="DQ9" i="10"/>
  <c r="DP9" i="10"/>
  <c r="DO9" i="10"/>
  <c r="DN9" i="10"/>
  <c r="DM9" i="10"/>
  <c r="DL9" i="10"/>
  <c r="DK9" i="10"/>
  <c r="DJ9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EC8" i="10"/>
  <c r="EB8" i="10"/>
  <c r="EA8" i="10"/>
  <c r="DZ8" i="10"/>
  <c r="DY8" i="10"/>
  <c r="DX8" i="10"/>
  <c r="DW8" i="10"/>
  <c r="DV8" i="10"/>
  <c r="DU8" i="10"/>
  <c r="DT8" i="10"/>
  <c r="DS8" i="10"/>
  <c r="DR8" i="10"/>
  <c r="DQ8" i="10"/>
  <c r="DP8" i="10"/>
  <c r="DO8" i="10"/>
  <c r="DN8" i="10"/>
  <c r="DM8" i="10"/>
  <c r="DL8" i="10"/>
  <c r="DK8" i="10"/>
  <c r="DJ8" i="10"/>
  <c r="DI8" i="10"/>
  <c r="DH8" i="10"/>
  <c r="DG8" i="10"/>
  <c r="DF8" i="10"/>
  <c r="DE8" i="10"/>
  <c r="DD8" i="10"/>
  <c r="DC8" i="10"/>
  <c r="DB8" i="10"/>
  <c r="DA8" i="10"/>
  <c r="CZ8" i="10"/>
  <c r="CY8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EC7" i="10"/>
  <c r="EB7" i="10"/>
  <c r="EA7" i="10"/>
  <c r="DZ7" i="10"/>
  <c r="DY7" i="10"/>
  <c r="DX7" i="10"/>
  <c r="DW7" i="10"/>
  <c r="DV7" i="10"/>
  <c r="DU7" i="10"/>
  <c r="DT7" i="10"/>
  <c r="DS7" i="10"/>
  <c r="DR7" i="10"/>
  <c r="DQ7" i="10"/>
  <c r="DP7" i="10"/>
  <c r="DO7" i="10"/>
  <c r="DN7" i="10"/>
  <c r="DM7" i="10"/>
  <c r="DL7" i="10"/>
  <c r="DK7" i="10"/>
  <c r="DJ7" i="10"/>
  <c r="DI7" i="10"/>
  <c r="DH7" i="10"/>
  <c r="DG7" i="10"/>
  <c r="DF7" i="10"/>
  <c r="DE7" i="10"/>
  <c r="DD7" i="10"/>
  <c r="DC7" i="10"/>
  <c r="DB7" i="10"/>
  <c r="DA7" i="10"/>
  <c r="CZ7" i="10"/>
  <c r="CY7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EC5" i="10"/>
  <c r="EB5" i="10"/>
  <c r="EA5" i="10"/>
  <c r="DZ5" i="10"/>
  <c r="DY5" i="10"/>
  <c r="DX5" i="10"/>
  <c r="DW5" i="10"/>
  <c r="DV5" i="10"/>
  <c r="DU5" i="10"/>
  <c r="DT5" i="10"/>
  <c r="DS5" i="10"/>
  <c r="DR5" i="10"/>
  <c r="DQ5" i="10"/>
  <c r="DP5" i="10"/>
  <c r="DO5" i="10"/>
  <c r="DN5" i="10"/>
  <c r="DM5" i="10"/>
  <c r="DL5" i="10"/>
  <c r="DK5" i="10"/>
  <c r="DJ5" i="10"/>
  <c r="DI5" i="10"/>
  <c r="DH5" i="10"/>
  <c r="DG5" i="10"/>
  <c r="DF5" i="10"/>
  <c r="DE5" i="10"/>
  <c r="DD5" i="10"/>
  <c r="DC5" i="10"/>
  <c r="DB5" i="10"/>
  <c r="DA5" i="10"/>
  <c r="CZ5" i="10"/>
  <c r="CY5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EC3" i="10"/>
  <c r="EB3" i="10"/>
  <c r="EA3" i="10"/>
  <c r="DZ3" i="10"/>
  <c r="DY3" i="10"/>
  <c r="DX3" i="10"/>
  <c r="DW3" i="10"/>
  <c r="DV3" i="10"/>
  <c r="DU3" i="10"/>
  <c r="DT3" i="10"/>
  <c r="DS3" i="10"/>
  <c r="DR3" i="10"/>
  <c r="DQ3" i="10"/>
  <c r="DP3" i="10"/>
  <c r="DO3" i="10"/>
  <c r="DN3" i="10"/>
  <c r="DM3" i="10"/>
  <c r="DL3" i="10"/>
  <c r="DK3" i="10"/>
  <c r="DJ3" i="10"/>
  <c r="DI3" i="10"/>
  <c r="DH3" i="10"/>
  <c r="DG3" i="10"/>
  <c r="DF3" i="10"/>
  <c r="DE3" i="10"/>
  <c r="DD3" i="10"/>
  <c r="DC3" i="10"/>
  <c r="DB3" i="10"/>
  <c r="DA3" i="10"/>
  <c r="CZ3" i="10"/>
  <c r="CY3" i="10"/>
  <c r="CX3" i="10"/>
  <c r="CW3" i="10"/>
  <c r="CV3" i="10"/>
  <c r="CU3" i="10"/>
  <c r="CT3" i="10"/>
  <c r="CS3" i="10"/>
  <c r="CR3" i="10"/>
  <c r="CQ3" i="10"/>
  <c r="CP3" i="10"/>
  <c r="CO3" i="10"/>
  <c r="CN3" i="10"/>
  <c r="CM3" i="10"/>
  <c r="CL3" i="10"/>
  <c r="CK3" i="10"/>
  <c r="CJ3" i="10"/>
  <c r="CI3" i="10"/>
  <c r="CH3" i="10"/>
  <c r="CG3" i="10"/>
  <c r="CF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V38" i="6"/>
  <c r="W38" i="6" s="1"/>
  <c r="V39" i="6"/>
  <c r="W39" i="6" s="1"/>
  <c r="V40" i="6"/>
  <c r="X40" i="6"/>
  <c r="V41" i="6"/>
  <c r="W41" i="6" s="1"/>
  <c r="X41" i="6"/>
  <c r="V42" i="6"/>
  <c r="W42" i="6" s="1"/>
  <c r="V4" i="6"/>
  <c r="X16" i="6" s="1"/>
  <c r="V5" i="6"/>
  <c r="V6" i="6"/>
  <c r="V7" i="6"/>
  <c r="W8" i="6" s="1"/>
  <c r="V8" i="6"/>
  <c r="V9" i="6"/>
  <c r="V10" i="6"/>
  <c r="V11" i="6"/>
  <c r="W12" i="6" s="1"/>
  <c r="V12" i="6"/>
  <c r="V13" i="6"/>
  <c r="V14" i="6"/>
  <c r="V15" i="6"/>
  <c r="W16" i="6" s="1"/>
  <c r="V16" i="6"/>
  <c r="V17" i="6"/>
  <c r="V18" i="6"/>
  <c r="V19" i="6"/>
  <c r="W19" i="6" s="1"/>
  <c r="V20" i="6"/>
  <c r="V21" i="6"/>
  <c r="V22" i="6"/>
  <c r="V23" i="6"/>
  <c r="W24" i="6" s="1"/>
  <c r="V24" i="6"/>
  <c r="V25" i="6"/>
  <c r="V26" i="6"/>
  <c r="V27" i="6"/>
  <c r="W28" i="6" s="1"/>
  <c r="V28" i="6"/>
  <c r="V29" i="6"/>
  <c r="V30" i="6"/>
  <c r="V31" i="6"/>
  <c r="W32" i="6" s="1"/>
  <c r="V32" i="6"/>
  <c r="V33" i="6"/>
  <c r="V34" i="6"/>
  <c r="V35" i="6"/>
  <c r="W36" i="6" s="1"/>
  <c r="V36" i="6"/>
  <c r="V37" i="6"/>
  <c r="V3" i="6"/>
  <c r="X36" i="6"/>
  <c r="X34" i="6"/>
  <c r="X32" i="6"/>
  <c r="W33" i="6"/>
  <c r="X30" i="6"/>
  <c r="X28" i="6"/>
  <c r="W29" i="6"/>
  <c r="X26" i="6"/>
  <c r="X37" i="6"/>
  <c r="X24" i="6"/>
  <c r="W25" i="6"/>
  <c r="X22" i="6"/>
  <c r="X33" i="6"/>
  <c r="X20" i="6"/>
  <c r="W21" i="6"/>
  <c r="W20" i="6"/>
  <c r="X29" i="6"/>
  <c r="W14" i="6"/>
  <c r="W13" i="6"/>
  <c r="X25" i="6"/>
  <c r="W10" i="6"/>
  <c r="W9" i="6"/>
  <c r="X21" i="6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D27" i="10"/>
  <c r="B27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EC24" i="10"/>
  <c r="EB24" i="10"/>
  <c r="EA24" i="10"/>
  <c r="DZ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EC23" i="10"/>
  <c r="EB23" i="10"/>
  <c r="EA23" i="10"/>
  <c r="DZ23" i="10"/>
  <c r="DY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EC22" i="10"/>
  <c r="EB22" i="10"/>
  <c r="EA22" i="10"/>
  <c r="DZ22" i="10"/>
  <c r="DY22" i="10"/>
  <c r="DX22" i="10"/>
  <c r="DW22" i="10"/>
  <c r="DV22" i="10"/>
  <c r="DU22" i="10"/>
  <c r="DT22" i="10"/>
  <c r="DS22" i="10"/>
  <c r="DR22" i="10"/>
  <c r="DQ22" i="10"/>
  <c r="DP22" i="10"/>
  <c r="DO22" i="10"/>
  <c r="DN22" i="10"/>
  <c r="DM22" i="10"/>
  <c r="DL22" i="10"/>
  <c r="DK22" i="10"/>
  <c r="DJ22" i="10"/>
  <c r="DI22" i="10"/>
  <c r="DH22" i="10"/>
  <c r="DG22" i="10"/>
  <c r="DF22" i="10"/>
  <c r="DE22" i="10"/>
  <c r="DD22" i="10"/>
  <c r="DC22" i="10"/>
  <c r="DB22" i="10"/>
  <c r="DA22" i="10"/>
  <c r="CZ22" i="10"/>
  <c r="CY22" i="10"/>
  <c r="CX22" i="10"/>
  <c r="CW22" i="10"/>
  <c r="CV22" i="10"/>
  <c r="CU22" i="10"/>
  <c r="CT22" i="10"/>
  <c r="CS22" i="10"/>
  <c r="CR22" i="10"/>
  <c r="CQ22" i="10"/>
  <c r="CP22" i="10"/>
  <c r="CO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EC19" i="10"/>
  <c r="EB19" i="10"/>
  <c r="EA19" i="10"/>
  <c r="DZ19" i="10"/>
  <c r="DY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EC18" i="10"/>
  <c r="EB18" i="10"/>
  <c r="EA18" i="10"/>
  <c r="DZ18" i="10"/>
  <c r="DY18" i="10"/>
  <c r="DX18" i="10"/>
  <c r="DW18" i="10"/>
  <c r="DV18" i="10"/>
  <c r="DU18" i="10"/>
  <c r="DT18" i="10"/>
  <c r="DS18" i="10"/>
  <c r="DR18" i="10"/>
  <c r="DQ18" i="10"/>
  <c r="DP18" i="10"/>
  <c r="DO18" i="10"/>
  <c r="DN18" i="10"/>
  <c r="DM18" i="10"/>
  <c r="DL18" i="10"/>
  <c r="DK18" i="10"/>
  <c r="DJ18" i="10"/>
  <c r="DI18" i="10"/>
  <c r="DH18" i="10"/>
  <c r="DG18" i="10"/>
  <c r="DF18" i="10"/>
  <c r="DE18" i="10"/>
  <c r="DD18" i="10"/>
  <c r="DC18" i="10"/>
  <c r="DB18" i="10"/>
  <c r="DA18" i="10"/>
  <c r="CZ18" i="10"/>
  <c r="CY18" i="10"/>
  <c r="CX18" i="10"/>
  <c r="CW18" i="10"/>
  <c r="CV18" i="10"/>
  <c r="CU18" i="10"/>
  <c r="CT18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EC17" i="10"/>
  <c r="EB17" i="10"/>
  <c r="EA17" i="10"/>
  <c r="DZ17" i="10"/>
  <c r="DY17" i="10"/>
  <c r="DX17" i="10"/>
  <c r="DW17" i="10"/>
  <c r="DV17" i="10"/>
  <c r="DU17" i="10"/>
  <c r="DT17" i="10"/>
  <c r="DS17" i="10"/>
  <c r="DR17" i="10"/>
  <c r="DQ17" i="10"/>
  <c r="DP17" i="10"/>
  <c r="DO17" i="10"/>
  <c r="DN17" i="10"/>
  <c r="DM17" i="10"/>
  <c r="DL17" i="10"/>
  <c r="DK17" i="10"/>
  <c r="DJ17" i="10"/>
  <c r="DI17" i="10"/>
  <c r="DH17" i="10"/>
  <c r="DG17" i="10"/>
  <c r="DF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EC15" i="10"/>
  <c r="EB15" i="10"/>
  <c r="EA15" i="10"/>
  <c r="DZ15" i="10"/>
  <c r="DY15" i="10"/>
  <c r="DX15" i="10"/>
  <c r="DW15" i="10"/>
  <c r="DV15" i="10"/>
  <c r="DU15" i="10"/>
  <c r="DT15" i="10"/>
  <c r="DS15" i="10"/>
  <c r="DR15" i="10"/>
  <c r="DQ15" i="10"/>
  <c r="DP15" i="10"/>
  <c r="DO15" i="10"/>
  <c r="DN15" i="10"/>
  <c r="DM15" i="10"/>
  <c r="DL15" i="10"/>
  <c r="DK15" i="10"/>
  <c r="DJ15" i="10"/>
  <c r="DI15" i="10"/>
  <c r="DH15" i="10"/>
  <c r="DG15" i="10"/>
  <c r="DF15" i="10"/>
  <c r="DE15" i="10"/>
  <c r="DD15" i="10"/>
  <c r="DC15" i="10"/>
  <c r="DB15" i="10"/>
  <c r="DA15" i="10"/>
  <c r="CZ15" i="10"/>
  <c r="CY15" i="10"/>
  <c r="CX15" i="10"/>
  <c r="CW15" i="10"/>
  <c r="CV15" i="10"/>
  <c r="CU15" i="10"/>
  <c r="CT15" i="10"/>
  <c r="CS15" i="10"/>
  <c r="CR15" i="10"/>
  <c r="CQ15" i="10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G42" i="3"/>
  <c r="F42" i="3"/>
  <c r="D42" i="3"/>
  <c r="C42" i="3"/>
  <c r="G42" i="2"/>
  <c r="F42" i="2"/>
  <c r="D42" i="2"/>
  <c r="C42" i="2"/>
  <c r="AF42" i="1"/>
  <c r="AE42" i="1"/>
  <c r="AD42" i="1"/>
  <c r="AB42" i="1"/>
  <c r="AA42" i="1"/>
  <c r="V42" i="1"/>
  <c r="S42" i="1"/>
  <c r="R42" i="1"/>
  <c r="P42" i="1"/>
  <c r="M42" i="1"/>
  <c r="L42" i="1"/>
  <c r="J42" i="1"/>
  <c r="G42" i="1"/>
  <c r="F42" i="1"/>
  <c r="D42" i="1"/>
  <c r="T42" i="6"/>
  <c r="P42" i="6"/>
  <c r="O42" i="6"/>
  <c r="K42" i="6"/>
  <c r="J42" i="6"/>
  <c r="F42" i="6"/>
  <c r="E42" i="6"/>
  <c r="G41" i="3"/>
  <c r="F41" i="3"/>
  <c r="D41" i="3"/>
  <c r="C41" i="3"/>
  <c r="G41" i="2"/>
  <c r="F41" i="2"/>
  <c r="D41" i="2"/>
  <c r="C41" i="2"/>
  <c r="R41" i="1"/>
  <c r="S41" i="1"/>
  <c r="P41" i="1"/>
  <c r="S40" i="1"/>
  <c r="R40" i="1"/>
  <c r="P40" i="1"/>
  <c r="S39" i="1"/>
  <c r="R39" i="1"/>
  <c r="P39" i="1"/>
  <c r="S38" i="1"/>
  <c r="R38" i="1"/>
  <c r="P38" i="1"/>
  <c r="S37" i="1"/>
  <c r="R37" i="1"/>
  <c r="P37" i="1"/>
  <c r="S36" i="1"/>
  <c r="R36" i="1"/>
  <c r="P36" i="1"/>
  <c r="S35" i="1"/>
  <c r="R35" i="1"/>
  <c r="P35" i="1"/>
  <c r="S34" i="1"/>
  <c r="R34" i="1"/>
  <c r="P34" i="1"/>
  <c r="S33" i="1"/>
  <c r="R33" i="1"/>
  <c r="P33" i="1"/>
  <c r="S32" i="1"/>
  <c r="R32" i="1"/>
  <c r="P32" i="1"/>
  <c r="S31" i="1"/>
  <c r="R31" i="1"/>
  <c r="P31" i="1"/>
  <c r="S30" i="1"/>
  <c r="R30" i="1"/>
  <c r="P30" i="1"/>
  <c r="S29" i="1"/>
  <c r="R29" i="1"/>
  <c r="P29" i="1"/>
  <c r="S28" i="1"/>
  <c r="R28" i="1"/>
  <c r="P28" i="1"/>
  <c r="S27" i="1"/>
  <c r="R27" i="1"/>
  <c r="P27" i="1"/>
  <c r="S26" i="1"/>
  <c r="R26" i="1"/>
  <c r="P26" i="1"/>
  <c r="S25" i="1"/>
  <c r="R25" i="1"/>
  <c r="P25" i="1"/>
  <c r="S24" i="1"/>
  <c r="R24" i="1"/>
  <c r="P24" i="1"/>
  <c r="S23" i="1"/>
  <c r="R23" i="1"/>
  <c r="P23" i="1"/>
  <c r="S22" i="1"/>
  <c r="R22" i="1"/>
  <c r="P22" i="1"/>
  <c r="S21" i="1"/>
  <c r="R21" i="1"/>
  <c r="P21" i="1"/>
  <c r="S20" i="1"/>
  <c r="R20" i="1"/>
  <c r="P20" i="1"/>
  <c r="S19" i="1"/>
  <c r="R19" i="1"/>
  <c r="P19" i="1"/>
  <c r="S18" i="1"/>
  <c r="R18" i="1"/>
  <c r="P18" i="1"/>
  <c r="S17" i="1"/>
  <c r="R17" i="1"/>
  <c r="P17" i="1"/>
  <c r="S16" i="1"/>
  <c r="R16" i="1"/>
  <c r="P16" i="1"/>
  <c r="S15" i="1"/>
  <c r="R15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AF41" i="1"/>
  <c r="AE41" i="1"/>
  <c r="AD41" i="1"/>
  <c r="AB41" i="1"/>
  <c r="AA41" i="1"/>
  <c r="V41" i="1"/>
  <c r="M41" i="1"/>
  <c r="L41" i="1"/>
  <c r="J41" i="1"/>
  <c r="G41" i="1"/>
  <c r="F41" i="1"/>
  <c r="D41" i="1"/>
  <c r="T41" i="6"/>
  <c r="P41" i="6"/>
  <c r="O41" i="6"/>
  <c r="K41" i="6"/>
  <c r="J41" i="6"/>
  <c r="F41" i="6"/>
  <c r="E41" i="6"/>
  <c r="G40" i="3"/>
  <c r="F40" i="3"/>
  <c r="D40" i="3"/>
  <c r="C40" i="3"/>
  <c r="E40" i="6"/>
  <c r="F40" i="6"/>
  <c r="O40" i="6"/>
  <c r="T40" i="6"/>
  <c r="P40" i="6"/>
  <c r="K40" i="6"/>
  <c r="J40" i="6"/>
  <c r="G40" i="2"/>
  <c r="F40" i="2"/>
  <c r="D40" i="2"/>
  <c r="C40" i="2"/>
  <c r="AF40" i="1"/>
  <c r="AE40" i="1"/>
  <c r="AD40" i="1"/>
  <c r="AB40" i="1"/>
  <c r="AA40" i="1"/>
  <c r="V40" i="1"/>
  <c r="M40" i="1"/>
  <c r="L40" i="1"/>
  <c r="J40" i="1"/>
  <c r="G40" i="1"/>
  <c r="F40" i="1"/>
  <c r="D40" i="1"/>
  <c r="G39" i="3"/>
  <c r="F39" i="3"/>
  <c r="D39" i="3"/>
  <c r="C39" i="3"/>
  <c r="G39" i="2"/>
  <c r="F39" i="2"/>
  <c r="D39" i="2"/>
  <c r="C39" i="2"/>
  <c r="AA38" i="1"/>
  <c r="AB38" i="1"/>
  <c r="AD38" i="1"/>
  <c r="AE38" i="1"/>
  <c r="AF38" i="1"/>
  <c r="AA39" i="1"/>
  <c r="AB39" i="1"/>
  <c r="AD39" i="1"/>
  <c r="AE39" i="1"/>
  <c r="AF39" i="1"/>
  <c r="AF37" i="1"/>
  <c r="AE37" i="1"/>
  <c r="AD37" i="1"/>
  <c r="AB37" i="1"/>
  <c r="AA37" i="1"/>
  <c r="AF36" i="1"/>
  <c r="AE36" i="1"/>
  <c r="AD36" i="1"/>
  <c r="AB36" i="1"/>
  <c r="AA36" i="1"/>
  <c r="AF35" i="1"/>
  <c r="AE35" i="1"/>
  <c r="AD35" i="1"/>
  <c r="AB35" i="1"/>
  <c r="AA35" i="1"/>
  <c r="AF34" i="1"/>
  <c r="AE34" i="1"/>
  <c r="AD34" i="1"/>
  <c r="AB34" i="1"/>
  <c r="AA34" i="1"/>
  <c r="AF33" i="1"/>
  <c r="AE33" i="1"/>
  <c r="AD33" i="1"/>
  <c r="AB33" i="1"/>
  <c r="AA33" i="1"/>
  <c r="AF32" i="1"/>
  <c r="AE32" i="1"/>
  <c r="AD32" i="1"/>
  <c r="AB32" i="1"/>
  <c r="AA32" i="1"/>
  <c r="AF31" i="1"/>
  <c r="AE31" i="1"/>
  <c r="AD31" i="1"/>
  <c r="AB31" i="1"/>
  <c r="AA31" i="1"/>
  <c r="AF30" i="1"/>
  <c r="AE30" i="1"/>
  <c r="AD30" i="1"/>
  <c r="AB30" i="1"/>
  <c r="AA30" i="1"/>
  <c r="AF29" i="1"/>
  <c r="AE29" i="1"/>
  <c r="AD29" i="1"/>
  <c r="AB29" i="1"/>
  <c r="AA29" i="1"/>
  <c r="AF28" i="1"/>
  <c r="AE28" i="1"/>
  <c r="AD28" i="1"/>
  <c r="AB28" i="1"/>
  <c r="AA28" i="1"/>
  <c r="AF27" i="1"/>
  <c r="AE27" i="1"/>
  <c r="AD27" i="1"/>
  <c r="AB27" i="1"/>
  <c r="AA27" i="1"/>
  <c r="AF26" i="1"/>
  <c r="AE26" i="1"/>
  <c r="AD26" i="1"/>
  <c r="AB26" i="1"/>
  <c r="AA26" i="1"/>
  <c r="AF25" i="1"/>
  <c r="AE25" i="1"/>
  <c r="AD25" i="1"/>
  <c r="AB25" i="1"/>
  <c r="AA25" i="1"/>
  <c r="AF24" i="1"/>
  <c r="AE24" i="1"/>
  <c r="AD24" i="1"/>
  <c r="AB24" i="1"/>
  <c r="AA24" i="1"/>
  <c r="AF23" i="1"/>
  <c r="AE23" i="1"/>
  <c r="AD23" i="1"/>
  <c r="AB23" i="1"/>
  <c r="AA23" i="1"/>
  <c r="AF22" i="1"/>
  <c r="AE22" i="1"/>
  <c r="AD22" i="1"/>
  <c r="AB22" i="1"/>
  <c r="AA22" i="1"/>
  <c r="AF21" i="1"/>
  <c r="AE21" i="1"/>
  <c r="AD21" i="1"/>
  <c r="AB21" i="1"/>
  <c r="AA21" i="1"/>
  <c r="AF20" i="1"/>
  <c r="AE20" i="1"/>
  <c r="AD20" i="1"/>
  <c r="AB20" i="1"/>
  <c r="AA20" i="1"/>
  <c r="AF19" i="1"/>
  <c r="AE19" i="1"/>
  <c r="AD19" i="1"/>
  <c r="AB19" i="1"/>
  <c r="AA19" i="1"/>
  <c r="AF18" i="1"/>
  <c r="AE18" i="1"/>
  <c r="AD18" i="1"/>
  <c r="AB18" i="1"/>
  <c r="AA18" i="1"/>
  <c r="AF17" i="1"/>
  <c r="AE17" i="1"/>
  <c r="AD17" i="1"/>
  <c r="AB17" i="1"/>
  <c r="AA17" i="1"/>
  <c r="AF16" i="1"/>
  <c r="AE16" i="1"/>
  <c r="AD16" i="1"/>
  <c r="AB16" i="1"/>
  <c r="AA16" i="1"/>
  <c r="AF15" i="1"/>
  <c r="AE15" i="1"/>
  <c r="AD15" i="1"/>
  <c r="AB15" i="1"/>
  <c r="AA15" i="1"/>
  <c r="AF14" i="1"/>
  <c r="AD14" i="1"/>
  <c r="AA14" i="1"/>
  <c r="AF13" i="1"/>
  <c r="AD13" i="1"/>
  <c r="AA13" i="1"/>
  <c r="AF12" i="1"/>
  <c r="AD12" i="1"/>
  <c r="AA12" i="1"/>
  <c r="AF11" i="1"/>
  <c r="AD11" i="1"/>
  <c r="AA11" i="1"/>
  <c r="AF10" i="1"/>
  <c r="AD10" i="1"/>
  <c r="AA10" i="1"/>
  <c r="AF9" i="1"/>
  <c r="AD9" i="1"/>
  <c r="AA9" i="1"/>
  <c r="AF8" i="1"/>
  <c r="AD8" i="1"/>
  <c r="AA8" i="1"/>
  <c r="AF7" i="1"/>
  <c r="AD7" i="1"/>
  <c r="AA7" i="1"/>
  <c r="AF6" i="1"/>
  <c r="AD6" i="1"/>
  <c r="AA6" i="1"/>
  <c r="AF5" i="1"/>
  <c r="AD5" i="1"/>
  <c r="AA5" i="1"/>
  <c r="AF4" i="1"/>
  <c r="AD4" i="1"/>
  <c r="AA4" i="1"/>
  <c r="AF3" i="1"/>
  <c r="V39" i="1"/>
  <c r="M39" i="1"/>
  <c r="L39" i="1"/>
  <c r="J39" i="1"/>
  <c r="G39" i="1"/>
  <c r="F39" i="1"/>
  <c r="D39" i="1"/>
  <c r="E39" i="6"/>
  <c r="T39" i="6"/>
  <c r="P39" i="6"/>
  <c r="O39" i="6"/>
  <c r="K39" i="6"/>
  <c r="J39" i="6"/>
  <c r="F39" i="6"/>
  <c r="G38" i="3"/>
  <c r="F38" i="3"/>
  <c r="D38" i="3"/>
  <c r="C38" i="3"/>
  <c r="V38" i="1"/>
  <c r="M38" i="1"/>
  <c r="L38" i="1"/>
  <c r="J38" i="1"/>
  <c r="G38" i="1"/>
  <c r="F38" i="1"/>
  <c r="D38" i="1"/>
  <c r="F37" i="2"/>
  <c r="G37" i="2"/>
  <c r="F38" i="2"/>
  <c r="G38" i="2"/>
  <c r="C37" i="2"/>
  <c r="D37" i="2"/>
  <c r="C38" i="2"/>
  <c r="D38" i="2"/>
  <c r="G37" i="3"/>
  <c r="F37" i="3"/>
  <c r="D37" i="3"/>
  <c r="C37" i="3"/>
  <c r="P38" i="6"/>
  <c r="O38" i="6"/>
  <c r="K38" i="6"/>
  <c r="J38" i="6"/>
  <c r="F38" i="6"/>
  <c r="E38" i="6"/>
  <c r="Q37" i="6"/>
  <c r="T38" i="6" s="1"/>
  <c r="M37" i="1"/>
  <c r="L37" i="1"/>
  <c r="J37" i="1"/>
  <c r="G37" i="1"/>
  <c r="F37" i="1"/>
  <c r="D37" i="1"/>
  <c r="P37" i="6"/>
  <c r="O37" i="6"/>
  <c r="K37" i="6"/>
  <c r="J37" i="6"/>
  <c r="F37" i="6"/>
  <c r="E37" i="6"/>
  <c r="C36" i="3"/>
  <c r="D36" i="3"/>
  <c r="F36" i="3"/>
  <c r="G36" i="3"/>
  <c r="C36" i="2"/>
  <c r="D36" i="2"/>
  <c r="F36" i="2"/>
  <c r="G36" i="2"/>
  <c r="M36" i="1"/>
  <c r="L36" i="1"/>
  <c r="J36" i="1"/>
  <c r="G36" i="1"/>
  <c r="F36" i="1"/>
  <c r="D36" i="1"/>
  <c r="T4" i="6"/>
  <c r="T5" i="6"/>
  <c r="T6" i="6"/>
  <c r="T7" i="6"/>
  <c r="T8" i="6"/>
  <c r="T9" i="6"/>
  <c r="T10" i="6"/>
  <c r="T11" i="6"/>
  <c r="T12" i="6"/>
  <c r="T13" i="6"/>
  <c r="T14" i="6"/>
  <c r="T15" i="6"/>
  <c r="U15" i="6"/>
  <c r="T16" i="6"/>
  <c r="U16" i="6"/>
  <c r="T17" i="6"/>
  <c r="U17" i="6"/>
  <c r="T18" i="6"/>
  <c r="U18" i="6"/>
  <c r="T19" i="6"/>
  <c r="U19" i="6"/>
  <c r="T20" i="6"/>
  <c r="U20" i="6"/>
  <c r="T21" i="6"/>
  <c r="U21" i="6"/>
  <c r="T22" i="6"/>
  <c r="U22" i="6"/>
  <c r="T23" i="6"/>
  <c r="U23" i="6"/>
  <c r="T24" i="6"/>
  <c r="U24" i="6"/>
  <c r="T25" i="6"/>
  <c r="U25" i="6"/>
  <c r="T26" i="6"/>
  <c r="U26" i="6"/>
  <c r="T27" i="6"/>
  <c r="U27" i="6"/>
  <c r="T28" i="6"/>
  <c r="U28" i="6"/>
  <c r="T29" i="6"/>
  <c r="U29" i="6"/>
  <c r="T30" i="6"/>
  <c r="U30" i="6"/>
  <c r="T31" i="6"/>
  <c r="U31" i="6"/>
  <c r="T32" i="6"/>
  <c r="U32" i="6"/>
  <c r="T33" i="6"/>
  <c r="U33" i="6"/>
  <c r="T34" i="6"/>
  <c r="U34" i="6"/>
  <c r="T35" i="6"/>
  <c r="U35" i="6"/>
  <c r="P36" i="6"/>
  <c r="O36" i="6"/>
  <c r="K36" i="6"/>
  <c r="J36" i="6"/>
  <c r="F36" i="6"/>
  <c r="E36" i="6"/>
  <c r="G35" i="3"/>
  <c r="F35" i="3"/>
  <c r="D35" i="3"/>
  <c r="C35" i="3"/>
  <c r="G34" i="3"/>
  <c r="F34" i="3"/>
  <c r="D34" i="3"/>
  <c r="C34" i="3"/>
  <c r="G35" i="2"/>
  <c r="F35" i="2"/>
  <c r="D35" i="2"/>
  <c r="C35" i="2"/>
  <c r="G34" i="2"/>
  <c r="F34" i="2"/>
  <c r="D34" i="2"/>
  <c r="C34" i="2"/>
  <c r="M35" i="1"/>
  <c r="L35" i="1"/>
  <c r="J35" i="1"/>
  <c r="G35" i="1"/>
  <c r="F35" i="1"/>
  <c r="D35" i="1"/>
  <c r="M34" i="1"/>
  <c r="L34" i="1"/>
  <c r="J34" i="1"/>
  <c r="G34" i="1"/>
  <c r="F34" i="1"/>
  <c r="D34" i="1"/>
  <c r="P35" i="6"/>
  <c r="O35" i="6"/>
  <c r="K35" i="6"/>
  <c r="J35" i="6"/>
  <c r="F35" i="6"/>
  <c r="E35" i="6"/>
  <c r="P34" i="6"/>
  <c r="O34" i="6"/>
  <c r="K34" i="6"/>
  <c r="J34" i="6"/>
  <c r="F34" i="6"/>
  <c r="E34" i="6"/>
  <c r="G33" i="3"/>
  <c r="F33" i="3"/>
  <c r="D33" i="3"/>
  <c r="C33" i="3"/>
  <c r="G32" i="3"/>
  <c r="F32" i="3"/>
  <c r="D32" i="3"/>
  <c r="C32" i="3"/>
  <c r="G33" i="2"/>
  <c r="F33" i="2"/>
  <c r="D33" i="2"/>
  <c r="C33" i="2"/>
  <c r="G32" i="2"/>
  <c r="F32" i="2"/>
  <c r="D32" i="2"/>
  <c r="C32" i="2"/>
  <c r="M33" i="1"/>
  <c r="L33" i="1"/>
  <c r="J33" i="1"/>
  <c r="G33" i="1"/>
  <c r="F33" i="1"/>
  <c r="D33" i="1"/>
  <c r="M32" i="1"/>
  <c r="L32" i="1"/>
  <c r="J32" i="1"/>
  <c r="G32" i="1"/>
  <c r="F32" i="1"/>
  <c r="D32" i="1"/>
  <c r="P33" i="6"/>
  <c r="O33" i="6"/>
  <c r="K33" i="6"/>
  <c r="J33" i="6"/>
  <c r="F33" i="6"/>
  <c r="E33" i="6"/>
  <c r="P32" i="6"/>
  <c r="O32" i="6"/>
  <c r="K32" i="6"/>
  <c r="J32" i="6"/>
  <c r="F32" i="6"/>
  <c r="E32" i="6"/>
  <c r="C31" i="3"/>
  <c r="D31" i="3"/>
  <c r="F31" i="3"/>
  <c r="G31" i="3"/>
  <c r="C31" i="2"/>
  <c r="D31" i="2"/>
  <c r="F31" i="2"/>
  <c r="G31" i="2"/>
  <c r="D31" i="1"/>
  <c r="F31" i="1"/>
  <c r="G31" i="1"/>
  <c r="J31" i="1"/>
  <c r="L31" i="1"/>
  <c r="M31" i="1"/>
  <c r="P31" i="6"/>
  <c r="E31" i="6"/>
  <c r="F31" i="6"/>
  <c r="J31" i="6"/>
  <c r="K31" i="6"/>
  <c r="O31" i="6"/>
  <c r="G30" i="3"/>
  <c r="F30" i="3"/>
  <c r="D30" i="3"/>
  <c r="C30" i="3"/>
  <c r="G30" i="2"/>
  <c r="F30" i="2"/>
  <c r="D30" i="2"/>
  <c r="C30" i="2"/>
  <c r="M30" i="1"/>
  <c r="L30" i="1"/>
  <c r="J30" i="1"/>
  <c r="G30" i="1"/>
  <c r="F30" i="1"/>
  <c r="D30" i="1"/>
  <c r="P30" i="6"/>
  <c r="O30" i="6"/>
  <c r="K30" i="6"/>
  <c r="J30" i="6"/>
  <c r="F30" i="6"/>
  <c r="E30" i="6"/>
  <c r="G29" i="3"/>
  <c r="F29" i="3"/>
  <c r="D29" i="3"/>
  <c r="C29" i="3"/>
  <c r="G29" i="2"/>
  <c r="F29" i="2"/>
  <c r="D29" i="2"/>
  <c r="C29" i="2"/>
  <c r="M29" i="1"/>
  <c r="L29" i="1"/>
  <c r="J29" i="1"/>
  <c r="G29" i="1"/>
  <c r="F29" i="1"/>
  <c r="D29" i="1"/>
  <c r="P29" i="6"/>
  <c r="O29" i="6"/>
  <c r="K29" i="6"/>
  <c r="J29" i="6"/>
  <c r="F29" i="6"/>
  <c r="E29" i="6"/>
  <c r="P28" i="6"/>
  <c r="O28" i="6"/>
  <c r="K28" i="6"/>
  <c r="J28" i="6"/>
  <c r="F28" i="6"/>
  <c r="E28" i="6"/>
  <c r="P27" i="6"/>
  <c r="O27" i="6"/>
  <c r="K27" i="6"/>
  <c r="J27" i="6"/>
  <c r="F27" i="6"/>
  <c r="E27" i="6"/>
  <c r="P26" i="6"/>
  <c r="O26" i="6"/>
  <c r="K26" i="6"/>
  <c r="J26" i="6"/>
  <c r="F26" i="6"/>
  <c r="E26" i="6"/>
  <c r="P25" i="6"/>
  <c r="O25" i="6"/>
  <c r="K25" i="6"/>
  <c r="J25" i="6"/>
  <c r="F25" i="6"/>
  <c r="E25" i="6"/>
  <c r="P24" i="6"/>
  <c r="O24" i="6"/>
  <c r="K24" i="6"/>
  <c r="J24" i="6"/>
  <c r="F24" i="6"/>
  <c r="E24" i="6"/>
  <c r="P23" i="6"/>
  <c r="O23" i="6"/>
  <c r="K23" i="6"/>
  <c r="J23" i="6"/>
  <c r="F23" i="6"/>
  <c r="E23" i="6"/>
  <c r="P22" i="6"/>
  <c r="O22" i="6"/>
  <c r="K22" i="6"/>
  <c r="J22" i="6"/>
  <c r="F22" i="6"/>
  <c r="E22" i="6"/>
  <c r="P21" i="6"/>
  <c r="O21" i="6"/>
  <c r="K21" i="6"/>
  <c r="J21" i="6"/>
  <c r="F21" i="6"/>
  <c r="E21" i="6"/>
  <c r="P20" i="6"/>
  <c r="O20" i="6"/>
  <c r="K20" i="6"/>
  <c r="J20" i="6"/>
  <c r="F20" i="6"/>
  <c r="E20" i="6"/>
  <c r="P19" i="6"/>
  <c r="O19" i="6"/>
  <c r="K19" i="6"/>
  <c r="J19" i="6"/>
  <c r="F19" i="6"/>
  <c r="E19" i="6"/>
  <c r="P18" i="6"/>
  <c r="O18" i="6"/>
  <c r="K18" i="6"/>
  <c r="J18" i="6"/>
  <c r="F18" i="6"/>
  <c r="E18" i="6"/>
  <c r="P17" i="6"/>
  <c r="O17" i="6"/>
  <c r="K17" i="6"/>
  <c r="J17" i="6"/>
  <c r="F17" i="6"/>
  <c r="E17" i="6"/>
  <c r="P16" i="6"/>
  <c r="O16" i="6"/>
  <c r="K16" i="6"/>
  <c r="J16" i="6"/>
  <c r="F16" i="6"/>
  <c r="E16" i="6"/>
  <c r="P15" i="6"/>
  <c r="O15" i="6"/>
  <c r="K15" i="6"/>
  <c r="J15" i="6"/>
  <c r="F15" i="6"/>
  <c r="E15" i="6"/>
  <c r="O14" i="6"/>
  <c r="J14" i="6"/>
  <c r="E14" i="6"/>
  <c r="O13" i="6"/>
  <c r="J13" i="6"/>
  <c r="E13" i="6"/>
  <c r="O12" i="6"/>
  <c r="J12" i="6"/>
  <c r="E12" i="6"/>
  <c r="O11" i="6"/>
  <c r="J11" i="6"/>
  <c r="E11" i="6"/>
  <c r="O10" i="6"/>
  <c r="J10" i="6"/>
  <c r="E10" i="6"/>
  <c r="O9" i="6"/>
  <c r="J9" i="6"/>
  <c r="E9" i="6"/>
  <c r="O8" i="6"/>
  <c r="J8" i="6"/>
  <c r="E8" i="6"/>
  <c r="O7" i="6"/>
  <c r="J7" i="6"/>
  <c r="E7" i="6"/>
  <c r="O6" i="6"/>
  <c r="J6" i="6"/>
  <c r="E6" i="6"/>
  <c r="O5" i="6"/>
  <c r="J5" i="6"/>
  <c r="E5" i="6"/>
  <c r="O4" i="6"/>
  <c r="J4" i="6"/>
  <c r="E4" i="6"/>
  <c r="G28" i="3"/>
  <c r="F28" i="3"/>
  <c r="D28" i="3"/>
  <c r="C28" i="3"/>
  <c r="G27" i="3"/>
  <c r="F27" i="3"/>
  <c r="D27" i="3"/>
  <c r="C27" i="3"/>
  <c r="G26" i="3"/>
  <c r="F26" i="3"/>
  <c r="D26" i="3"/>
  <c r="C26" i="3"/>
  <c r="G25" i="3"/>
  <c r="F25" i="3"/>
  <c r="D25" i="3"/>
  <c r="C25" i="3"/>
  <c r="G24" i="3"/>
  <c r="F24" i="3"/>
  <c r="D24" i="3"/>
  <c r="C24" i="3"/>
  <c r="G23" i="3"/>
  <c r="F23" i="3"/>
  <c r="D23" i="3"/>
  <c r="C23" i="3"/>
  <c r="G22" i="3"/>
  <c r="F22" i="3"/>
  <c r="D22" i="3"/>
  <c r="C22" i="3"/>
  <c r="G21" i="3"/>
  <c r="F21" i="3"/>
  <c r="D21" i="3"/>
  <c r="C21" i="3"/>
  <c r="G20" i="3"/>
  <c r="F20" i="3"/>
  <c r="D20" i="3"/>
  <c r="C20" i="3"/>
  <c r="G19" i="3"/>
  <c r="F19" i="3"/>
  <c r="D19" i="3"/>
  <c r="C19" i="3"/>
  <c r="G18" i="3"/>
  <c r="F18" i="3"/>
  <c r="D18" i="3"/>
  <c r="C18" i="3"/>
  <c r="G17" i="3"/>
  <c r="F17" i="3"/>
  <c r="D17" i="3"/>
  <c r="C17" i="3"/>
  <c r="G16" i="3"/>
  <c r="F16" i="3"/>
  <c r="C16" i="3"/>
  <c r="G15" i="3"/>
  <c r="F15" i="3"/>
  <c r="C15" i="3"/>
  <c r="F14" i="3"/>
  <c r="C14" i="3"/>
  <c r="F13" i="3"/>
  <c r="C13" i="3"/>
  <c r="F12" i="3"/>
  <c r="C12" i="3"/>
  <c r="F11" i="3"/>
  <c r="C11" i="3"/>
  <c r="F10" i="3"/>
  <c r="C10" i="3"/>
  <c r="F9" i="3"/>
  <c r="C9" i="3"/>
  <c r="F8" i="3"/>
  <c r="C8" i="3"/>
  <c r="F7" i="3"/>
  <c r="C7" i="3"/>
  <c r="F6" i="3"/>
  <c r="C6" i="3"/>
  <c r="F5" i="3"/>
  <c r="F4" i="3"/>
  <c r="G28" i="2"/>
  <c r="F28" i="2"/>
  <c r="D28" i="2"/>
  <c r="C28" i="2"/>
  <c r="G27" i="2"/>
  <c r="F27" i="2"/>
  <c r="D27" i="2"/>
  <c r="C27" i="2"/>
  <c r="G26" i="2"/>
  <c r="F26" i="2"/>
  <c r="D26" i="2"/>
  <c r="C26" i="2"/>
  <c r="G25" i="2"/>
  <c r="F25" i="2"/>
  <c r="D25" i="2"/>
  <c r="C25" i="2"/>
  <c r="G24" i="2"/>
  <c r="F24" i="2"/>
  <c r="D24" i="2"/>
  <c r="C24" i="2"/>
  <c r="G23" i="2"/>
  <c r="F23" i="2"/>
  <c r="D23" i="2"/>
  <c r="C23" i="2"/>
  <c r="G22" i="2"/>
  <c r="F22" i="2"/>
  <c r="D22" i="2"/>
  <c r="C22" i="2"/>
  <c r="G21" i="2"/>
  <c r="F21" i="2"/>
  <c r="D21" i="2"/>
  <c r="C21" i="2"/>
  <c r="G20" i="2"/>
  <c r="F20" i="2"/>
  <c r="D20" i="2"/>
  <c r="C20" i="2"/>
  <c r="G19" i="2"/>
  <c r="F19" i="2"/>
  <c r="D19" i="2"/>
  <c r="C19" i="2"/>
  <c r="G18" i="2"/>
  <c r="F18" i="2"/>
  <c r="D18" i="2"/>
  <c r="C18" i="2"/>
  <c r="G17" i="2"/>
  <c r="F17" i="2"/>
  <c r="D17" i="2"/>
  <c r="C17" i="2"/>
  <c r="G16" i="2"/>
  <c r="F16" i="2"/>
  <c r="D16" i="2"/>
  <c r="C16" i="2"/>
  <c r="G15" i="2"/>
  <c r="F15" i="2"/>
  <c r="D15" i="2"/>
  <c r="C15" i="2"/>
  <c r="F14" i="2"/>
  <c r="C14" i="2"/>
  <c r="F13" i="2"/>
  <c r="C13" i="2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C4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1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W43" i="6" l="1"/>
  <c r="W6" i="6"/>
  <c r="X17" i="6"/>
  <c r="W5" i="6"/>
  <c r="X42" i="6"/>
  <c r="X38" i="6"/>
  <c r="X39" i="6"/>
  <c r="W40" i="6"/>
  <c r="W7" i="6"/>
  <c r="W11" i="6"/>
  <c r="X35" i="6"/>
  <c r="W15" i="6"/>
  <c r="W4" i="6"/>
  <c r="W27" i="6"/>
  <c r="X15" i="6"/>
  <c r="W18" i="6"/>
  <c r="X19" i="6"/>
  <c r="W22" i="6"/>
  <c r="X23" i="6"/>
  <c r="W26" i="6"/>
  <c r="X27" i="6"/>
  <c r="W30" i="6"/>
  <c r="X31" i="6"/>
  <c r="W34" i="6"/>
  <c r="W23" i="6"/>
  <c r="W31" i="6"/>
  <c r="W35" i="6"/>
  <c r="W17" i="6"/>
  <c r="X18" i="6"/>
  <c r="W37" i="6"/>
  <c r="T37" i="6"/>
</calcChain>
</file>

<file path=xl/sharedStrings.xml><?xml version="1.0" encoding="utf-8"?>
<sst xmlns="http://schemas.openxmlformats.org/spreadsheetml/2006/main" count="550" uniqueCount="98">
  <si>
    <t>-</t>
  </si>
  <si>
    <t>R$</t>
  </si>
  <si>
    <t>m2</t>
  </si>
  <si>
    <t>Horizontal</t>
  </si>
  <si>
    <t>Vertical</t>
  </si>
  <si>
    <t>ARIELLE</t>
  </si>
  <si>
    <t>P.M.</t>
  </si>
  <si>
    <t>HOR. M2</t>
  </si>
  <si>
    <t>HOR. R$</t>
  </si>
  <si>
    <t>MKP</t>
  </si>
  <si>
    <t>INCENOR</t>
  </si>
  <si>
    <t>POINTER</t>
  </si>
  <si>
    <t>IQUINE</t>
  </si>
  <si>
    <t>MEGAÓ</t>
  </si>
  <si>
    <t>Do Mestre</t>
  </si>
  <si>
    <t>Quartzolit</t>
  </si>
  <si>
    <t>Markup</t>
  </si>
  <si>
    <t>CAM</t>
  </si>
  <si>
    <t>CAV</t>
  </si>
  <si>
    <t>SLM</t>
  </si>
  <si>
    <t>Margem</t>
  </si>
  <si>
    <t>CAX</t>
  </si>
  <si>
    <t>VERT</t>
  </si>
  <si>
    <t>HORZ</t>
  </si>
  <si>
    <t>REALLE</t>
  </si>
  <si>
    <t>ELIZABETH</t>
  </si>
  <si>
    <t>DO MESTRE</t>
  </si>
  <si>
    <t>QUALITY</t>
  </si>
  <si>
    <t>MEC-TRONIC</t>
  </si>
  <si>
    <t>FERTAK COMERCIO E IMPORTAÇÃO</t>
  </si>
  <si>
    <t>BLUKIT</t>
  </si>
  <si>
    <t>ETERNIT</t>
  </si>
  <si>
    <t>ELIZABETH PORC.</t>
  </si>
  <si>
    <t>BOSCH</t>
  </si>
  <si>
    <t>ONDULINE</t>
  </si>
  <si>
    <t>TRAMONTINA</t>
  </si>
  <si>
    <t>COBRECOM</t>
  </si>
  <si>
    <t>BELLA PIA</t>
  </si>
  <si>
    <t>DOCOL METAIS</t>
  </si>
  <si>
    <t>LUZARTE</t>
  </si>
  <si>
    <t>VIQUA</t>
  </si>
  <si>
    <t>ANAUGER</t>
  </si>
  <si>
    <t>PADO</t>
  </si>
  <si>
    <t>SILVANA</t>
  </si>
  <si>
    <t>GHEL'PLUS</t>
  </si>
  <si>
    <t>GRANPLAST</t>
  </si>
  <si>
    <t>INTECH MACHINE</t>
  </si>
  <si>
    <t>METAIS LEAO</t>
  </si>
  <si>
    <t>BLACK DECKER</t>
  </si>
  <si>
    <t>Perfilplast Industria e Comerc</t>
  </si>
  <si>
    <t>MADELAR</t>
  </si>
  <si>
    <t xml:space="preserve">INCESA </t>
  </si>
  <si>
    <t>CARMELO FIOR</t>
  </si>
  <si>
    <t>NITROLUX</t>
  </si>
  <si>
    <t>LORENZETTI</t>
  </si>
  <si>
    <t>NORCOLA</t>
  </si>
  <si>
    <t>FORTLEV</t>
  </si>
  <si>
    <t>BRASILIT</t>
  </si>
  <si>
    <t>ATLAS</t>
  </si>
  <si>
    <t>ROCA</t>
  </si>
  <si>
    <t>TECNOGRES</t>
  </si>
  <si>
    <t>WEBER QUARTZOLIT</t>
  </si>
  <si>
    <t>Share</t>
  </si>
  <si>
    <t>Total</t>
  </si>
  <si>
    <t xml:space="preserve"> Ferragens</t>
  </si>
  <si>
    <t xml:space="preserve"> Impermeabilizante</t>
  </si>
  <si>
    <t xml:space="preserve"> Argamassas</t>
  </si>
  <si>
    <t xml:space="preserve"> FORA DE LINHA</t>
  </si>
  <si>
    <t xml:space="preserve"> REVESTIMENTOS</t>
  </si>
  <si>
    <t xml:space="preserve"> Louças</t>
  </si>
  <si>
    <t xml:space="preserve"> Iluminação</t>
  </si>
  <si>
    <t xml:space="preserve"> Conexões</t>
  </si>
  <si>
    <t xml:space="preserve"> PISOS</t>
  </si>
  <si>
    <t xml:space="preserve"> Balcões</t>
  </si>
  <si>
    <t xml:space="preserve"> Acessorios de banheiro</t>
  </si>
  <si>
    <t xml:space="preserve"> Acessorios de Ferramentas</t>
  </si>
  <si>
    <t xml:space="preserve"> Pintura</t>
  </si>
  <si>
    <t xml:space="preserve"> Complementos Hidráulicos</t>
  </si>
  <si>
    <t xml:space="preserve"> Portas e Esquadrias</t>
  </si>
  <si>
    <t xml:space="preserve"> Básicos</t>
  </si>
  <si>
    <t xml:space="preserve"> Utilidades</t>
  </si>
  <si>
    <t xml:space="preserve"> CABOS ELÉTRICOS</t>
  </si>
  <si>
    <t xml:space="preserve"> Hidráulica</t>
  </si>
  <si>
    <t xml:space="preserve"> Elétrica</t>
  </si>
  <si>
    <t xml:space="preserve"> Metais Sanitarios</t>
  </si>
  <si>
    <t xml:space="preserve"> Ferramentas Eletricas</t>
  </si>
  <si>
    <t xml:space="preserve"> Complementos de Pintura</t>
  </si>
  <si>
    <t xml:space="preserve"> Ferramentas Manuais</t>
  </si>
  <si>
    <t xml:space="preserve"> PLÁSTICOS SANITÁRIOS</t>
  </si>
  <si>
    <t xml:space="preserve"> MÓVEIS</t>
  </si>
  <si>
    <t xml:space="preserve"> Ferramentas</t>
  </si>
  <si>
    <t xml:space="preserve"> Chuveiros</t>
  </si>
  <si>
    <t xml:space="preserve"> EPI</t>
  </si>
  <si>
    <t xml:space="preserve"> Jardinagem</t>
  </si>
  <si>
    <t xml:space="preserve"> TUBOS</t>
  </si>
  <si>
    <t xml:space="preserve"> Limpeza</t>
  </si>
  <si>
    <t xml:space="preserve"> Diversos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</si>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</sst>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0_ ;\-#,##0.00\ "/>
    <numFmt numFmtId="165" formatCode="0.0"/>
    <numFmt numFmtId="167" formatCode="_-&quot;R$&quot;\ * #,##0_-;\-&quot;R$&quot;\ * #,##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164" fontId="0" fillId="0" borderId="1" xfId="1" applyNumberFormat="1" applyFont="1" applyBorder="1"/>
    <xf numFmtId="17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1" applyNumberFormat="1" applyFont="1" applyFill="1" applyBorder="1"/>
    <xf numFmtId="44" fontId="0" fillId="3" borderId="1" xfId="1" applyFont="1" applyFill="1" applyBorder="1"/>
    <xf numFmtId="10" fontId="0" fillId="3" borderId="1" xfId="0" applyNumberFormat="1" applyFill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64" fontId="0" fillId="0" borderId="1" xfId="0" applyNumberFormat="1" applyBorder="1"/>
    <xf numFmtId="10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0" fontId="2" fillId="0" borderId="0" xfId="3"/>
    <xf numFmtId="0" fontId="3" fillId="4" borderId="0" xfId="3" applyFont="1" applyFill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1" fontId="2" fillId="0" borderId="0" xfId="3" applyNumberFormat="1"/>
    <xf numFmtId="9" fontId="0" fillId="0" borderId="1" xfId="2" applyFont="1" applyBorder="1" applyAlignment="1">
      <alignment horizontal="center"/>
    </xf>
    <xf numFmtId="44" fontId="0" fillId="0" borderId="0" xfId="1" applyFont="1"/>
    <xf numFmtId="0" fontId="3" fillId="4" borderId="9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/>
    </xf>
    <xf numFmtId="1" fontId="3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165" fontId="3" fillId="0" borderId="1" xfId="3" applyNumberFormat="1" applyFont="1" applyBorder="1" applyAlignment="1">
      <alignment horizontal="center" vertical="center"/>
    </xf>
    <xf numFmtId="2" fontId="3" fillId="0" borderId="1" xfId="3" applyNumberFormat="1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 wrapText="1"/>
    </xf>
    <xf numFmtId="0" fontId="3" fillId="4" borderId="11" xfId="3" applyFont="1" applyFill="1" applyBorder="1" applyAlignment="1">
      <alignment horizontal="center" vertical="center" wrapText="1"/>
    </xf>
    <xf numFmtId="0" fontId="3" fillId="4" borderId="10" xfId="3" applyFont="1" applyFill="1" applyBorder="1" applyAlignment="1">
      <alignment horizontal="center" vertical="center" wrapText="1"/>
    </xf>
    <xf numFmtId="0" fontId="3" fillId="4" borderId="12" xfId="3" applyFont="1" applyFill="1" applyBorder="1" applyAlignment="1">
      <alignment horizontal="center" vertical="center" wrapText="1"/>
    </xf>
    <xf numFmtId="2" fontId="2" fillId="0" borderId="0" xfId="3" applyNumberForma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6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44" fontId="4" fillId="0" borderId="1" xfId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</cellXfs>
  <cellStyles count="4">
    <cellStyle name="Moeda" xfId="1" builtinId="4"/>
    <cellStyle name="Normal" xfId="0" builtinId="0"/>
    <cellStyle name="Normal 2" xfId="3" xr:uid="{C2293911-C005-4E47-BC2E-EA206B77928B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JAN%2024.xls" TargetMode="External"/><Relationship Id="rId1" Type="http://schemas.openxmlformats.org/officeDocument/2006/relationships/externalLinkPath" Target="file:///C:\Servidor%20ERP\RK%20FORN%20JAN%202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FEV%2024.xls" TargetMode="External"/><Relationship Id="rId1" Type="http://schemas.openxmlformats.org/officeDocument/2006/relationships/externalLinkPath" Target="file:///C:\Servidor%20ERP\RK%20FORN%20FEV%202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MAR%2024.xls" TargetMode="External"/><Relationship Id="rId1" Type="http://schemas.openxmlformats.org/officeDocument/2006/relationships/externalLinkPath" Target="file:///C:\Servidor%20ERP\RK%20FORN%20MAR%2024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ABR%2024.xls" TargetMode="External"/><Relationship Id="rId1" Type="http://schemas.openxmlformats.org/officeDocument/2006/relationships/externalLinkPath" Target="file:///C:\Servidor%20ERP\RK%20FORN%20ABR%202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MAIO%2024.xls" TargetMode="External"/><Relationship Id="rId1" Type="http://schemas.openxmlformats.org/officeDocument/2006/relationships/externalLinkPath" Target="file:///C:\Servidor%20ERP\RK%20FORN%20MAIO%2024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JUN%2024.xls" TargetMode="External"/><Relationship Id="rId1" Type="http://schemas.openxmlformats.org/officeDocument/2006/relationships/externalLinkPath" Target="file:///C:\Servidor%20ERP\RK%20FORN%20JUN%2024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JUL%2024.xls" TargetMode="External"/><Relationship Id="rId1" Type="http://schemas.openxmlformats.org/officeDocument/2006/relationships/externalLinkPath" Target="file:///C:\Servidor%20ERP\RK%20FORN%20JUL%2024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AGO%2024.xls" TargetMode="External"/><Relationship Id="rId1" Type="http://schemas.openxmlformats.org/officeDocument/2006/relationships/externalLinkPath" Target="file:///C:\Servidor%20ERP\RK%20FORN%20AGO%2024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SET%2024.xls" TargetMode="External"/><Relationship Id="rId1" Type="http://schemas.openxmlformats.org/officeDocument/2006/relationships/externalLinkPath" Target="file:///C:\Servidor%20ERP\RK%20FORN%20SET%2024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OUT%2024.xls" TargetMode="External"/><Relationship Id="rId1" Type="http://schemas.openxmlformats.org/officeDocument/2006/relationships/externalLinkPath" Target="file:///C:\Servidor%20ERP\RK%20FORN%20OUT%2024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NOV%2024.xls" TargetMode="External"/><Relationship Id="rId1" Type="http://schemas.openxmlformats.org/officeDocument/2006/relationships/externalLinkPath" Target="file:///C:\Servidor%20ERP\RK%20FORN%20NOV%2024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DEZ%2024.xls" TargetMode="External"/><Relationship Id="rId1" Type="http://schemas.openxmlformats.org/officeDocument/2006/relationships/externalLinkPath" Target="file:///C:\Servidor%20ERP\RK%20FORN%20DEZ%2024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JAN%2025.xls" TargetMode="External"/><Relationship Id="rId1" Type="http://schemas.openxmlformats.org/officeDocument/2006/relationships/externalLinkPath" Target="file:///C:\Servidor%20ERP\RK%20FORN%20JAN%2025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FEV%2025.xls" TargetMode="External"/><Relationship Id="rId1" Type="http://schemas.openxmlformats.org/officeDocument/2006/relationships/externalLinkPath" Target="file:///C:\Servidor%20ERP\RK%20FORN%20FEV%2025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MAR%2025.xls" TargetMode="External"/><Relationship Id="rId1" Type="http://schemas.openxmlformats.org/officeDocument/2006/relationships/externalLinkPath" Target="file:///C:\Servidor%20ERP\RK%20FORN%20MAR%2025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ABR%2025.xls" TargetMode="External"/><Relationship Id="rId1" Type="http://schemas.openxmlformats.org/officeDocument/2006/relationships/externalLinkPath" Target="file:///C:\Servidor%20ERP\RK%20FORN%20ABR%2025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MAIO%2025.xls" TargetMode="External"/><Relationship Id="rId1" Type="http://schemas.openxmlformats.org/officeDocument/2006/relationships/externalLinkPath" Target="file:///C:\Servidor%20ERP\RK%20FORN%20MAIO%2025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JUN%2025.xls" TargetMode="External"/><Relationship Id="rId1" Type="http://schemas.openxmlformats.org/officeDocument/2006/relationships/externalLinkPath" Target="file:///C:\Servidor%20ERP\RK%20FORN%20JUN%2025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JUL%2025.xls" TargetMode="External"/><Relationship Id="rId1" Type="http://schemas.openxmlformats.org/officeDocument/2006/relationships/externalLinkPath" Target="file:///C:\Servidor%20ERP\RK%20FORN%20JUL%2025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AGO%2025.xls" TargetMode="External"/><Relationship Id="rId1" Type="http://schemas.openxmlformats.org/officeDocument/2006/relationships/externalLinkPath" Target="file:///C:\Servidor%20ERP\RK%20FORN%20AGO%2025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SET%2025.xls" TargetMode="External"/><Relationship Id="rId1" Type="http://schemas.openxmlformats.org/officeDocument/2006/relationships/externalLinkPath" Target="file:///C:\Servidor%20ERP\RK%20FORN%20SET%2025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OUT%2025.xls" TargetMode="External"/><Relationship Id="rId1" Type="http://schemas.openxmlformats.org/officeDocument/2006/relationships/externalLinkPath" Target="file:///C:\Servidor%20ERP\RK%20FORN%20OUT%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NOV%2025.xls" TargetMode="External"/><Relationship Id="rId1" Type="http://schemas.openxmlformats.org/officeDocument/2006/relationships/externalLinkPath" Target="file:///C:\Servidor%20ERP\RK%20FORN%20NOV%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DEZ%2025.xls" TargetMode="External"/><Relationship Id="rId1" Type="http://schemas.openxmlformats.org/officeDocument/2006/relationships/externalLinkPath" Target="file:///C:\Servidor%20ERP\RK%20FORN%20DEZ%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JAN%2026.xls" TargetMode="External"/><Relationship Id="rId1" Type="http://schemas.openxmlformats.org/officeDocument/2006/relationships/externalLinkPath" Target="file:///C:\Servidor%20ERP\RK%20FORN%20JAN%2026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rvidor%20ERP\RK%20FORN%20FEV%2026.xls" TargetMode="External"/><Relationship Id="rId1" Type="http://schemas.openxmlformats.org/officeDocument/2006/relationships/externalLinkPath" Target="file:///C:\Servidor%20ERP\RK%20FORN%20FEV%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JAN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132</v>
          </cell>
          <cell r="C2">
            <v>129350.99770000001</v>
          </cell>
          <cell r="D2">
            <v>31.67</v>
          </cell>
          <cell r="E2">
            <v>0</v>
          </cell>
          <cell r="F2">
            <v>0</v>
          </cell>
          <cell r="G2">
            <v>1839.4576</v>
          </cell>
          <cell r="H2">
            <v>127511.5401</v>
          </cell>
          <cell r="I2">
            <v>88240.328399999999</v>
          </cell>
          <cell r="J2">
            <v>1215.0304000000001</v>
          </cell>
          <cell r="K2">
            <v>40486.242100000003</v>
          </cell>
          <cell r="L2">
            <v>31.6</v>
          </cell>
          <cell r="M2">
            <v>10.41</v>
          </cell>
        </row>
        <row r="3">
          <cell r="A3" t="str">
            <v>IQUINE</v>
          </cell>
          <cell r="B3">
            <v>70</v>
          </cell>
          <cell r="C3">
            <v>114313.18979999999</v>
          </cell>
          <cell r="D3">
            <v>14.64</v>
          </cell>
          <cell r="E3">
            <v>0</v>
          </cell>
          <cell r="F3">
            <v>0</v>
          </cell>
          <cell r="G3">
            <v>3058.53</v>
          </cell>
          <cell r="H3">
            <v>111254.65979999999</v>
          </cell>
          <cell r="I3">
            <v>66846.369099999996</v>
          </cell>
          <cell r="J3">
            <v>1804.15</v>
          </cell>
          <cell r="K3">
            <v>46212.440699999999</v>
          </cell>
          <cell r="L3">
            <v>41.07</v>
          </cell>
          <cell r="M3">
            <v>9.1999999999999993</v>
          </cell>
        </row>
        <row r="4">
          <cell r="A4" t="str">
            <v>ARIELLE</v>
          </cell>
          <cell r="B4">
            <v>114</v>
          </cell>
          <cell r="C4">
            <v>110967.28630000001</v>
          </cell>
          <cell r="D4">
            <v>27.85</v>
          </cell>
          <cell r="E4">
            <v>0</v>
          </cell>
          <cell r="F4">
            <v>0</v>
          </cell>
          <cell r="G4">
            <v>1278.6338000000001</v>
          </cell>
          <cell r="H4">
            <v>109688.6525</v>
          </cell>
          <cell r="I4">
            <v>68336.967600000004</v>
          </cell>
          <cell r="J4">
            <v>778.84040000000005</v>
          </cell>
          <cell r="K4">
            <v>42130.525300000001</v>
          </cell>
          <cell r="L4">
            <v>38.229999999999997</v>
          </cell>
          <cell r="M4">
            <v>8.93</v>
          </cell>
        </row>
        <row r="5">
          <cell r="A5" t="str">
            <v>POINTER</v>
          </cell>
          <cell r="B5">
            <v>76</v>
          </cell>
          <cell r="C5">
            <v>69135.397800000006</v>
          </cell>
          <cell r="D5">
            <v>35.72</v>
          </cell>
          <cell r="E5">
            <v>0</v>
          </cell>
          <cell r="F5">
            <v>0</v>
          </cell>
          <cell r="G5">
            <v>0</v>
          </cell>
          <cell r="H5">
            <v>69135.397800000006</v>
          </cell>
          <cell r="I5">
            <v>42226.143499999998</v>
          </cell>
          <cell r="J5">
            <v>0</v>
          </cell>
          <cell r="K5">
            <v>26909.254300000001</v>
          </cell>
          <cell r="L5">
            <v>38.92</v>
          </cell>
          <cell r="M5">
            <v>5.56</v>
          </cell>
        </row>
        <row r="6">
          <cell r="A6" t="str">
            <v>DO MESTRE</v>
          </cell>
          <cell r="B6">
            <v>187</v>
          </cell>
          <cell r="C6">
            <v>59580.85</v>
          </cell>
          <cell r="D6">
            <v>19.21</v>
          </cell>
          <cell r="E6">
            <v>0</v>
          </cell>
          <cell r="F6">
            <v>0</v>
          </cell>
          <cell r="G6">
            <v>1200.31</v>
          </cell>
          <cell r="H6">
            <v>58380.54</v>
          </cell>
          <cell r="I6">
            <v>38340.74</v>
          </cell>
          <cell r="J6">
            <v>777.77</v>
          </cell>
          <cell r="K6">
            <v>20817.57</v>
          </cell>
          <cell r="L6">
            <v>35.4</v>
          </cell>
          <cell r="M6">
            <v>4.79</v>
          </cell>
        </row>
        <row r="7">
          <cell r="A7" t="str">
            <v>WEBER QUARTZOLIT</v>
          </cell>
          <cell r="B7">
            <v>160</v>
          </cell>
          <cell r="C7">
            <v>56798.04</v>
          </cell>
          <cell r="D7">
            <v>26.92</v>
          </cell>
          <cell r="E7">
            <v>0</v>
          </cell>
          <cell r="F7">
            <v>0</v>
          </cell>
          <cell r="G7">
            <v>1170.78</v>
          </cell>
          <cell r="H7">
            <v>55627.26</v>
          </cell>
          <cell r="I7">
            <v>36243.46</v>
          </cell>
          <cell r="J7">
            <v>729.95</v>
          </cell>
          <cell r="K7">
            <v>20113.75</v>
          </cell>
          <cell r="L7">
            <v>35.869999999999997</v>
          </cell>
          <cell r="M7">
            <v>4.57</v>
          </cell>
        </row>
        <row r="8">
          <cell r="A8" t="str">
            <v>MEGAÓ</v>
          </cell>
          <cell r="B8">
            <v>36</v>
          </cell>
          <cell r="C8">
            <v>45827.71</v>
          </cell>
          <cell r="D8">
            <v>57.79</v>
          </cell>
          <cell r="E8">
            <v>0</v>
          </cell>
          <cell r="F8">
            <v>0</v>
          </cell>
          <cell r="G8">
            <v>780.4</v>
          </cell>
          <cell r="H8">
            <v>45047.31</v>
          </cell>
          <cell r="I8">
            <v>29553.73</v>
          </cell>
          <cell r="J8">
            <v>507.95</v>
          </cell>
          <cell r="K8">
            <v>16001.53</v>
          </cell>
          <cell r="L8">
            <v>35.31</v>
          </cell>
          <cell r="M8">
            <v>3.69</v>
          </cell>
        </row>
        <row r="9">
          <cell r="A9" t="str">
            <v>ROCA</v>
          </cell>
          <cell r="B9">
            <v>64</v>
          </cell>
          <cell r="C9">
            <v>41928.33</v>
          </cell>
          <cell r="D9">
            <v>165.72</v>
          </cell>
          <cell r="E9">
            <v>0</v>
          </cell>
          <cell r="F9">
            <v>0</v>
          </cell>
          <cell r="G9">
            <v>1818.96</v>
          </cell>
          <cell r="H9">
            <v>40109.370000000003</v>
          </cell>
          <cell r="I9">
            <v>26418.39</v>
          </cell>
          <cell r="J9">
            <v>1164.42</v>
          </cell>
          <cell r="K9">
            <v>14855.4</v>
          </cell>
          <cell r="L9">
            <v>36.44</v>
          </cell>
          <cell r="M9">
            <v>3.37</v>
          </cell>
        </row>
        <row r="10">
          <cell r="A10" t="str">
            <v>PORTO RICO</v>
          </cell>
          <cell r="B10">
            <v>64</v>
          </cell>
          <cell r="C10">
            <v>41833.74</v>
          </cell>
          <cell r="D10">
            <v>26.41</v>
          </cell>
          <cell r="E10">
            <v>0</v>
          </cell>
          <cell r="F10">
            <v>0</v>
          </cell>
          <cell r="G10">
            <v>381.64</v>
          </cell>
          <cell r="H10">
            <v>41452.1</v>
          </cell>
          <cell r="I10">
            <v>26058.720000000001</v>
          </cell>
          <cell r="J10">
            <v>224.16</v>
          </cell>
          <cell r="K10">
            <v>15617.54</v>
          </cell>
          <cell r="L10">
            <v>37.53</v>
          </cell>
          <cell r="M10">
            <v>3.37</v>
          </cell>
        </row>
        <row r="11">
          <cell r="A11" t="str">
            <v>FORTLEV</v>
          </cell>
          <cell r="B11">
            <v>51</v>
          </cell>
          <cell r="C11">
            <v>39142.11</v>
          </cell>
          <cell r="D11">
            <v>275.64999999999998</v>
          </cell>
          <cell r="E11">
            <v>0</v>
          </cell>
          <cell r="F11">
            <v>0</v>
          </cell>
          <cell r="G11">
            <v>658</v>
          </cell>
          <cell r="H11">
            <v>38484.11</v>
          </cell>
          <cell r="I11">
            <v>30194.33</v>
          </cell>
          <cell r="J11">
            <v>556.66</v>
          </cell>
          <cell r="K11">
            <v>8846.44</v>
          </cell>
          <cell r="L11">
            <v>22.93</v>
          </cell>
          <cell r="M11">
            <v>3.15</v>
          </cell>
        </row>
        <row r="12">
          <cell r="A12" t="str">
            <v>QUALITY</v>
          </cell>
          <cell r="B12">
            <v>58</v>
          </cell>
          <cell r="C12">
            <v>35548.870000000003</v>
          </cell>
          <cell r="D12">
            <v>226.43</v>
          </cell>
          <cell r="E12">
            <v>0</v>
          </cell>
          <cell r="F12">
            <v>0</v>
          </cell>
          <cell r="G12">
            <v>303.7</v>
          </cell>
          <cell r="H12">
            <v>35245.17</v>
          </cell>
          <cell r="I12">
            <v>21435.84</v>
          </cell>
          <cell r="J12">
            <v>170.42</v>
          </cell>
          <cell r="K12">
            <v>13979.75</v>
          </cell>
          <cell r="L12">
            <v>39.51</v>
          </cell>
          <cell r="M12">
            <v>2.86</v>
          </cell>
        </row>
        <row r="13">
          <cell r="A13" t="str">
            <v>BRASILIT</v>
          </cell>
          <cell r="B13">
            <v>19</v>
          </cell>
          <cell r="C13">
            <v>28090.86</v>
          </cell>
          <cell r="D13">
            <v>72.209999999999994</v>
          </cell>
          <cell r="E13">
            <v>0</v>
          </cell>
          <cell r="F13">
            <v>0</v>
          </cell>
          <cell r="G13">
            <v>151.80000000000001</v>
          </cell>
          <cell r="H13">
            <v>27939.06</v>
          </cell>
          <cell r="I13">
            <v>23963.63</v>
          </cell>
          <cell r="J13">
            <v>128.41999999999999</v>
          </cell>
          <cell r="K13">
            <v>4103.8500000000004</v>
          </cell>
          <cell r="L13">
            <v>14.68</v>
          </cell>
          <cell r="M13">
            <v>2.2599999999999998</v>
          </cell>
        </row>
        <row r="14">
          <cell r="A14" t="str">
            <v>TECNOGRES</v>
          </cell>
          <cell r="B14">
            <v>19</v>
          </cell>
          <cell r="C14">
            <v>26971.8848</v>
          </cell>
          <cell r="D14">
            <v>55.81</v>
          </cell>
          <cell r="E14">
            <v>0</v>
          </cell>
          <cell r="F14">
            <v>0</v>
          </cell>
          <cell r="G14">
            <v>0</v>
          </cell>
          <cell r="H14">
            <v>26971.8848</v>
          </cell>
          <cell r="I14">
            <v>17134.125800000002</v>
          </cell>
          <cell r="J14">
            <v>0</v>
          </cell>
          <cell r="K14">
            <v>9837.759</v>
          </cell>
          <cell r="L14">
            <v>36.47</v>
          </cell>
          <cell r="M14">
            <v>2.17</v>
          </cell>
        </row>
        <row r="15">
          <cell r="A15" t="str">
            <v>KRONA</v>
          </cell>
          <cell r="B15">
            <v>88</v>
          </cell>
          <cell r="C15">
            <v>25224.67</v>
          </cell>
          <cell r="D15">
            <v>6.35</v>
          </cell>
          <cell r="E15">
            <v>0</v>
          </cell>
          <cell r="F15">
            <v>0</v>
          </cell>
          <cell r="G15">
            <v>644.03</v>
          </cell>
          <cell r="H15">
            <v>24580.639999999999</v>
          </cell>
          <cell r="I15">
            <v>14605.6</v>
          </cell>
          <cell r="J15">
            <v>329.53</v>
          </cell>
          <cell r="K15">
            <v>10304.57</v>
          </cell>
          <cell r="L15">
            <v>41.39</v>
          </cell>
          <cell r="M15">
            <v>2.0299999999999998</v>
          </cell>
        </row>
        <row r="16">
          <cell r="A16" t="str">
            <v>PAMESA</v>
          </cell>
          <cell r="B16">
            <v>24</v>
          </cell>
          <cell r="C16">
            <v>21038.251799999998</v>
          </cell>
          <cell r="D16">
            <v>35.299999999999997</v>
          </cell>
          <cell r="E16">
            <v>0</v>
          </cell>
          <cell r="F16">
            <v>0</v>
          </cell>
          <cell r="G16">
            <v>1253.7840000000001</v>
          </cell>
          <cell r="H16">
            <v>19784.467799999999</v>
          </cell>
          <cell r="I16">
            <v>14224.712</v>
          </cell>
          <cell r="J16">
            <v>778.54560000000004</v>
          </cell>
          <cell r="K16">
            <v>6338.3014000000003</v>
          </cell>
          <cell r="L16">
            <v>31.29</v>
          </cell>
          <cell r="M16">
            <v>1.69</v>
          </cell>
        </row>
        <row r="17">
          <cell r="A17" t="str">
            <v>ETERNIT</v>
          </cell>
          <cell r="B17">
            <v>19</v>
          </cell>
          <cell r="C17">
            <v>20624.3</v>
          </cell>
          <cell r="D17">
            <v>57.61</v>
          </cell>
          <cell r="E17">
            <v>0</v>
          </cell>
          <cell r="F17">
            <v>0</v>
          </cell>
          <cell r="G17">
            <v>279.60000000000002</v>
          </cell>
          <cell r="H17">
            <v>20344.7</v>
          </cell>
          <cell r="I17">
            <v>16009.71</v>
          </cell>
          <cell r="J17">
            <v>222.52</v>
          </cell>
          <cell r="K17">
            <v>4557.51</v>
          </cell>
          <cell r="L17">
            <v>22.34</v>
          </cell>
          <cell r="M17">
            <v>1.66</v>
          </cell>
        </row>
        <row r="18">
          <cell r="A18" t="str">
            <v>CASALIT</v>
          </cell>
          <cell r="B18">
            <v>20</v>
          </cell>
          <cell r="C18">
            <v>18921.87</v>
          </cell>
          <cell r="D18">
            <v>62.24</v>
          </cell>
          <cell r="E18">
            <v>0</v>
          </cell>
          <cell r="F18">
            <v>0</v>
          </cell>
          <cell r="G18">
            <v>62.9</v>
          </cell>
          <cell r="H18">
            <v>18858.97</v>
          </cell>
          <cell r="I18">
            <v>16494.36</v>
          </cell>
          <cell r="J18">
            <v>54.18</v>
          </cell>
          <cell r="K18">
            <v>2418.79</v>
          </cell>
          <cell r="L18">
            <v>12.82</v>
          </cell>
          <cell r="M18">
            <v>1.52</v>
          </cell>
        </row>
        <row r="19">
          <cell r="A19" t="str">
            <v>COBRECOM</v>
          </cell>
          <cell r="B19">
            <v>20</v>
          </cell>
          <cell r="C19">
            <v>16925.099999999999</v>
          </cell>
          <cell r="D19">
            <v>112.09</v>
          </cell>
          <cell r="E19">
            <v>0</v>
          </cell>
          <cell r="F19">
            <v>0</v>
          </cell>
          <cell r="G19">
            <v>239.8</v>
          </cell>
          <cell r="H19">
            <v>16685.3</v>
          </cell>
          <cell r="I19">
            <v>11422.89</v>
          </cell>
          <cell r="J19">
            <v>137.86000000000001</v>
          </cell>
          <cell r="K19">
            <v>5400.27</v>
          </cell>
          <cell r="L19">
            <v>32.17</v>
          </cell>
          <cell r="M19">
            <v>1.36</v>
          </cell>
        </row>
        <row r="20">
          <cell r="A20" t="str">
            <v>ATLAS</v>
          </cell>
          <cell r="B20">
            <v>57</v>
          </cell>
          <cell r="C20">
            <v>16396.060000000001</v>
          </cell>
          <cell r="D20">
            <v>13.82</v>
          </cell>
          <cell r="E20">
            <v>0</v>
          </cell>
          <cell r="F20">
            <v>0</v>
          </cell>
          <cell r="G20">
            <v>134.69999999999999</v>
          </cell>
          <cell r="H20">
            <v>16261.36</v>
          </cell>
          <cell r="I20">
            <v>8954.18</v>
          </cell>
          <cell r="J20">
            <v>69.180000000000007</v>
          </cell>
          <cell r="K20">
            <v>7376.36</v>
          </cell>
          <cell r="L20">
            <v>45.18</v>
          </cell>
          <cell r="M20">
            <v>1.32</v>
          </cell>
        </row>
        <row r="21">
          <cell r="A21" t="str">
            <v>NITROLUX</v>
          </cell>
          <cell r="B21">
            <v>34</v>
          </cell>
          <cell r="C21">
            <v>15806.64</v>
          </cell>
          <cell r="D21">
            <v>14.09</v>
          </cell>
          <cell r="E21">
            <v>0</v>
          </cell>
          <cell r="F21">
            <v>0</v>
          </cell>
          <cell r="G21">
            <v>113.28</v>
          </cell>
          <cell r="H21">
            <v>15693.36</v>
          </cell>
          <cell r="I21">
            <v>7765.27</v>
          </cell>
          <cell r="J21">
            <v>49.95</v>
          </cell>
          <cell r="K21">
            <v>7978.04</v>
          </cell>
          <cell r="L21">
            <v>50.63</v>
          </cell>
          <cell r="M21">
            <v>1.27</v>
          </cell>
        </row>
        <row r="22">
          <cell r="A22" t="str">
            <v>MEC-TRONIC</v>
          </cell>
          <cell r="B22">
            <v>36</v>
          </cell>
          <cell r="C22">
            <v>13596.73</v>
          </cell>
          <cell r="D22">
            <v>11.65</v>
          </cell>
          <cell r="E22">
            <v>0</v>
          </cell>
          <cell r="F22">
            <v>0</v>
          </cell>
          <cell r="G22">
            <v>398.23</v>
          </cell>
          <cell r="H22">
            <v>13198.5</v>
          </cell>
          <cell r="I22">
            <v>6549.55</v>
          </cell>
          <cell r="J22">
            <v>190.1</v>
          </cell>
          <cell r="K22">
            <v>6839.05</v>
          </cell>
          <cell r="L22">
            <v>51.01</v>
          </cell>
          <cell r="M22">
            <v>1.0900000000000001</v>
          </cell>
        </row>
        <row r="23">
          <cell r="A23" t="str">
            <v>AVANT</v>
          </cell>
          <cell r="B23">
            <v>24</v>
          </cell>
          <cell r="C23">
            <v>12467.81</v>
          </cell>
          <cell r="D23">
            <v>26.08</v>
          </cell>
          <cell r="E23">
            <v>0</v>
          </cell>
          <cell r="F23">
            <v>0</v>
          </cell>
          <cell r="G23">
            <v>518.94000000000005</v>
          </cell>
          <cell r="H23">
            <v>11948.87</v>
          </cell>
          <cell r="I23">
            <v>6714.24</v>
          </cell>
          <cell r="J23">
            <v>293.01</v>
          </cell>
          <cell r="K23">
            <v>5527.64</v>
          </cell>
          <cell r="L23">
            <v>45.4</v>
          </cell>
          <cell r="M23">
            <v>1</v>
          </cell>
        </row>
        <row r="24">
          <cell r="A24" t="str">
            <v>REALLE</v>
          </cell>
          <cell r="B24">
            <v>16</v>
          </cell>
          <cell r="C24">
            <v>12393.963</v>
          </cell>
          <cell r="D24">
            <v>31.7</v>
          </cell>
          <cell r="E24">
            <v>0</v>
          </cell>
          <cell r="F24">
            <v>0</v>
          </cell>
          <cell r="G24">
            <v>0</v>
          </cell>
          <cell r="H24">
            <v>12393.963</v>
          </cell>
          <cell r="I24">
            <v>7963.9722000000002</v>
          </cell>
          <cell r="J24">
            <v>0</v>
          </cell>
          <cell r="K24">
            <v>4429.9907999999996</v>
          </cell>
          <cell r="L24">
            <v>35.74</v>
          </cell>
          <cell r="M24">
            <v>1</v>
          </cell>
        </row>
        <row r="25">
          <cell r="A25" t="str">
            <v>BLACK DECKER</v>
          </cell>
          <cell r="B25">
            <v>20</v>
          </cell>
          <cell r="C25">
            <v>11700.96</v>
          </cell>
          <cell r="D25">
            <v>59.7</v>
          </cell>
          <cell r="E25">
            <v>0</v>
          </cell>
          <cell r="F25">
            <v>0</v>
          </cell>
          <cell r="G25">
            <v>40.299999999999997</v>
          </cell>
          <cell r="H25">
            <v>11660.66</v>
          </cell>
          <cell r="I25">
            <v>7079.37</v>
          </cell>
          <cell r="J25">
            <v>22.84</v>
          </cell>
          <cell r="K25">
            <v>4604.13</v>
          </cell>
          <cell r="L25">
            <v>39.43</v>
          </cell>
          <cell r="M25">
            <v>0.94</v>
          </cell>
        </row>
        <row r="26">
          <cell r="A26" t="str">
            <v>INCESA</v>
          </cell>
          <cell r="B26">
            <v>15</v>
          </cell>
          <cell r="C26">
            <v>11375.5</v>
          </cell>
          <cell r="D26">
            <v>32.97</v>
          </cell>
          <cell r="E26">
            <v>0</v>
          </cell>
          <cell r="F26">
            <v>0</v>
          </cell>
          <cell r="G26">
            <v>1316</v>
          </cell>
          <cell r="H26">
            <v>10059.5</v>
          </cell>
          <cell r="I26">
            <v>8720.9500000000007</v>
          </cell>
          <cell r="J26">
            <v>982.55</v>
          </cell>
          <cell r="K26">
            <v>2321.1</v>
          </cell>
          <cell r="L26">
            <v>22.33</v>
          </cell>
          <cell r="M26">
            <v>0.92</v>
          </cell>
        </row>
        <row r="27">
          <cell r="A27" t="str">
            <v>ASTRA</v>
          </cell>
          <cell r="B27">
            <v>58</v>
          </cell>
          <cell r="C27">
            <v>10920.3</v>
          </cell>
          <cell r="D27">
            <v>28.81</v>
          </cell>
          <cell r="E27">
            <v>0</v>
          </cell>
          <cell r="F27">
            <v>0</v>
          </cell>
          <cell r="G27">
            <v>112.6</v>
          </cell>
          <cell r="H27">
            <v>10807.7</v>
          </cell>
          <cell r="I27">
            <v>6275.79</v>
          </cell>
          <cell r="J27">
            <v>62.59</v>
          </cell>
          <cell r="K27">
            <v>4594.5</v>
          </cell>
          <cell r="L27">
            <v>42.32</v>
          </cell>
          <cell r="M27">
            <v>0.88</v>
          </cell>
        </row>
        <row r="28">
          <cell r="A28" t="str">
            <v>INTECH MACHINE</v>
          </cell>
          <cell r="B28">
            <v>14</v>
          </cell>
          <cell r="C28">
            <v>10410.06</v>
          </cell>
          <cell r="D28">
            <v>221.49</v>
          </cell>
          <cell r="E28">
            <v>0</v>
          </cell>
          <cell r="F28">
            <v>0</v>
          </cell>
          <cell r="G28">
            <v>0</v>
          </cell>
          <cell r="H28">
            <v>10410.06</v>
          </cell>
          <cell r="I28">
            <v>6138.74</v>
          </cell>
          <cell r="J28">
            <v>0</v>
          </cell>
          <cell r="K28">
            <v>4271.32</v>
          </cell>
          <cell r="L28">
            <v>41.03</v>
          </cell>
          <cell r="M28">
            <v>0.84</v>
          </cell>
        </row>
        <row r="29">
          <cell r="A29" t="str">
            <v>METAIS LEAO</v>
          </cell>
          <cell r="B29">
            <v>39</v>
          </cell>
          <cell r="C29">
            <v>10264.780000000001</v>
          </cell>
          <cell r="D29">
            <v>52.37</v>
          </cell>
          <cell r="E29">
            <v>0</v>
          </cell>
          <cell r="F29">
            <v>0</v>
          </cell>
          <cell r="G29">
            <v>169.2</v>
          </cell>
          <cell r="H29">
            <v>10095.58</v>
          </cell>
          <cell r="I29">
            <v>6060.32</v>
          </cell>
          <cell r="J29">
            <v>99.17</v>
          </cell>
          <cell r="K29">
            <v>4134.43</v>
          </cell>
          <cell r="L29">
            <v>40.67</v>
          </cell>
          <cell r="M29">
            <v>0.83</v>
          </cell>
        </row>
        <row r="30">
          <cell r="A30" t="str">
            <v>KDK PORTAS</v>
          </cell>
          <cell r="B30">
            <v>27</v>
          </cell>
          <cell r="C30">
            <v>9242.0499999999993</v>
          </cell>
          <cell r="D30">
            <v>162.13999999999999</v>
          </cell>
          <cell r="E30">
            <v>0</v>
          </cell>
          <cell r="F30">
            <v>0</v>
          </cell>
          <cell r="G30">
            <v>512.70000000000005</v>
          </cell>
          <cell r="H30">
            <v>8729.35</v>
          </cell>
          <cell r="I30">
            <v>5581.87</v>
          </cell>
          <cell r="J30">
            <v>305.02999999999997</v>
          </cell>
          <cell r="K30">
            <v>3452.51</v>
          </cell>
          <cell r="L30">
            <v>38.630000000000003</v>
          </cell>
          <cell r="M30">
            <v>0.74</v>
          </cell>
        </row>
        <row r="31">
          <cell r="A31" t="str">
            <v>LORENZETTI</v>
          </cell>
          <cell r="B31">
            <v>23</v>
          </cell>
          <cell r="C31">
            <v>9128.58</v>
          </cell>
          <cell r="D31">
            <v>69.680000000000007</v>
          </cell>
          <cell r="E31">
            <v>0</v>
          </cell>
          <cell r="F31">
            <v>0</v>
          </cell>
          <cell r="G31">
            <v>132.80000000000001</v>
          </cell>
          <cell r="H31">
            <v>8995.7800000000007</v>
          </cell>
          <cell r="I31">
            <v>5513.42</v>
          </cell>
          <cell r="J31">
            <v>82.22</v>
          </cell>
          <cell r="K31">
            <v>3564.58</v>
          </cell>
          <cell r="L31">
            <v>39.4</v>
          </cell>
          <cell r="M31">
            <v>0.73</v>
          </cell>
        </row>
        <row r="32">
          <cell r="A32" t="str">
            <v>GHEL'PLUS</v>
          </cell>
          <cell r="B32">
            <v>10</v>
          </cell>
          <cell r="C32">
            <v>8354.92</v>
          </cell>
          <cell r="D32">
            <v>109.93</v>
          </cell>
          <cell r="E32">
            <v>0</v>
          </cell>
          <cell r="F32">
            <v>0</v>
          </cell>
          <cell r="G32">
            <v>138.9</v>
          </cell>
          <cell r="H32">
            <v>8216.02</v>
          </cell>
          <cell r="I32">
            <v>5139.5600000000004</v>
          </cell>
          <cell r="J32">
            <v>81.36</v>
          </cell>
          <cell r="K32">
            <v>3157.82</v>
          </cell>
          <cell r="L32">
            <v>38.17</v>
          </cell>
          <cell r="M32">
            <v>0.67</v>
          </cell>
        </row>
        <row r="33">
          <cell r="A33" t="str">
            <v>GRANPLAST</v>
          </cell>
          <cell r="B33">
            <v>28</v>
          </cell>
          <cell r="C33">
            <v>7879.87</v>
          </cell>
          <cell r="D33">
            <v>13.85</v>
          </cell>
          <cell r="E33">
            <v>0</v>
          </cell>
          <cell r="F33">
            <v>0</v>
          </cell>
          <cell r="G33">
            <v>63.5</v>
          </cell>
          <cell r="H33">
            <v>7816.37</v>
          </cell>
          <cell r="I33">
            <v>4311.7299999999996</v>
          </cell>
          <cell r="J33">
            <v>33.450000000000003</v>
          </cell>
          <cell r="K33">
            <v>3538.09</v>
          </cell>
          <cell r="L33">
            <v>45.09</v>
          </cell>
          <cell r="M33">
            <v>0.63</v>
          </cell>
        </row>
        <row r="34">
          <cell r="A34" t="str">
            <v>MASCOTE</v>
          </cell>
          <cell r="B34">
            <v>38</v>
          </cell>
          <cell r="C34">
            <v>6753.9</v>
          </cell>
          <cell r="D34">
            <v>14.68</v>
          </cell>
          <cell r="E34">
            <v>0</v>
          </cell>
          <cell r="F34">
            <v>0</v>
          </cell>
          <cell r="G34">
            <v>757.7</v>
          </cell>
          <cell r="H34">
            <v>5996.2</v>
          </cell>
          <cell r="I34">
            <v>3797.67</v>
          </cell>
          <cell r="J34">
            <v>422.13</v>
          </cell>
          <cell r="K34">
            <v>2620.66</v>
          </cell>
          <cell r="L34">
            <v>41.39</v>
          </cell>
          <cell r="M34">
            <v>0.54</v>
          </cell>
        </row>
        <row r="35">
          <cell r="A35" t="str">
            <v>SILVANA</v>
          </cell>
          <cell r="B35">
            <v>22</v>
          </cell>
          <cell r="C35">
            <v>6570.39</v>
          </cell>
          <cell r="D35">
            <v>30.7</v>
          </cell>
          <cell r="E35">
            <v>0</v>
          </cell>
          <cell r="F35">
            <v>0</v>
          </cell>
          <cell r="G35">
            <v>125.7</v>
          </cell>
          <cell r="H35">
            <v>6444.69</v>
          </cell>
          <cell r="I35">
            <v>3817.36</v>
          </cell>
          <cell r="J35">
            <v>74.13</v>
          </cell>
          <cell r="K35">
            <v>2701.46</v>
          </cell>
          <cell r="L35">
            <v>41.58</v>
          </cell>
          <cell r="M35">
            <v>0.53</v>
          </cell>
        </row>
        <row r="36">
          <cell r="A36" t="str">
            <v>MGM</v>
          </cell>
          <cell r="B36">
            <v>12</v>
          </cell>
          <cell r="C36">
            <v>6428.85</v>
          </cell>
          <cell r="D36">
            <v>401.8</v>
          </cell>
          <cell r="E36">
            <v>0</v>
          </cell>
          <cell r="F36">
            <v>0</v>
          </cell>
          <cell r="G36">
            <v>0</v>
          </cell>
          <cell r="H36">
            <v>6428.85</v>
          </cell>
          <cell r="I36">
            <v>3851.69</v>
          </cell>
          <cell r="J36">
            <v>0</v>
          </cell>
          <cell r="K36">
            <v>2577.16</v>
          </cell>
          <cell r="L36">
            <v>40.090000000000003</v>
          </cell>
          <cell r="M36">
            <v>0.52</v>
          </cell>
        </row>
        <row r="37">
          <cell r="A37" t="str">
            <v>VIQUA</v>
          </cell>
          <cell r="B37">
            <v>21</v>
          </cell>
          <cell r="C37">
            <v>6053.99</v>
          </cell>
          <cell r="D37">
            <v>38.81</v>
          </cell>
          <cell r="E37">
            <v>0</v>
          </cell>
          <cell r="F37">
            <v>0</v>
          </cell>
          <cell r="G37">
            <v>195.2</v>
          </cell>
          <cell r="H37">
            <v>5858.79</v>
          </cell>
          <cell r="I37">
            <v>3622</v>
          </cell>
          <cell r="J37">
            <v>118.48</v>
          </cell>
          <cell r="K37">
            <v>2355.27</v>
          </cell>
          <cell r="L37">
            <v>39.68</v>
          </cell>
          <cell r="M37">
            <v>0.49</v>
          </cell>
        </row>
        <row r="38">
          <cell r="A38" t="str">
            <v>BELLA PIA</v>
          </cell>
          <cell r="B38">
            <v>12</v>
          </cell>
          <cell r="C38">
            <v>5875.99</v>
          </cell>
          <cell r="D38">
            <v>195.87</v>
          </cell>
          <cell r="E38">
            <v>0</v>
          </cell>
          <cell r="F38">
            <v>0</v>
          </cell>
          <cell r="G38">
            <v>312.8</v>
          </cell>
          <cell r="H38">
            <v>5563.19</v>
          </cell>
          <cell r="I38">
            <v>3488.87</v>
          </cell>
          <cell r="J38">
            <v>161.66999999999999</v>
          </cell>
          <cell r="K38">
            <v>2235.9899999999998</v>
          </cell>
          <cell r="L38">
            <v>39.130000000000003</v>
          </cell>
          <cell r="M38">
            <v>0.47</v>
          </cell>
        </row>
        <row r="39">
          <cell r="A39" t="str">
            <v>VEDACIT</v>
          </cell>
          <cell r="B39">
            <v>12</v>
          </cell>
          <cell r="C39">
            <v>5705.18</v>
          </cell>
          <cell r="D39">
            <v>81.5</v>
          </cell>
          <cell r="E39">
            <v>0</v>
          </cell>
          <cell r="F39">
            <v>0</v>
          </cell>
          <cell r="G39">
            <v>465.29</v>
          </cell>
          <cell r="H39">
            <v>5239.8900000000003</v>
          </cell>
          <cell r="I39">
            <v>3209.04</v>
          </cell>
          <cell r="J39">
            <v>284.56</v>
          </cell>
          <cell r="K39">
            <v>2315.41</v>
          </cell>
          <cell r="L39">
            <v>42.71</v>
          </cell>
          <cell r="M39">
            <v>0.46</v>
          </cell>
        </row>
        <row r="40">
          <cell r="A40" t="str">
            <v>DOCOL METAIS</v>
          </cell>
          <cell r="B40">
            <v>15</v>
          </cell>
          <cell r="C40">
            <v>5613.09</v>
          </cell>
          <cell r="D40">
            <v>81.349999999999994</v>
          </cell>
          <cell r="E40">
            <v>0</v>
          </cell>
          <cell r="F40">
            <v>0</v>
          </cell>
          <cell r="G40">
            <v>324.8</v>
          </cell>
          <cell r="H40">
            <v>5288.29</v>
          </cell>
          <cell r="I40">
            <v>3241.05</v>
          </cell>
          <cell r="J40">
            <v>185.13</v>
          </cell>
          <cell r="K40">
            <v>2232.37</v>
          </cell>
          <cell r="L40">
            <v>41.13</v>
          </cell>
          <cell r="M40">
            <v>0.45</v>
          </cell>
        </row>
        <row r="41">
          <cell r="A41" t="str">
            <v>LEGRAND</v>
          </cell>
          <cell r="B41">
            <v>17</v>
          </cell>
          <cell r="C41">
            <v>5100.4799999999996</v>
          </cell>
          <cell r="D41">
            <v>15.5</v>
          </cell>
          <cell r="E41">
            <v>0</v>
          </cell>
          <cell r="F41">
            <v>0</v>
          </cell>
          <cell r="G41">
            <v>551.58000000000004</v>
          </cell>
          <cell r="H41">
            <v>4548.8999999999996</v>
          </cell>
          <cell r="I41">
            <v>3109.6</v>
          </cell>
          <cell r="J41">
            <v>343.33</v>
          </cell>
          <cell r="K41">
            <v>1782.63</v>
          </cell>
          <cell r="L41">
            <v>37.47</v>
          </cell>
          <cell r="M41">
            <v>0.41</v>
          </cell>
        </row>
        <row r="42">
          <cell r="A42" t="str">
            <v>LEDVANCE</v>
          </cell>
          <cell r="B42">
            <v>10</v>
          </cell>
          <cell r="C42">
            <v>4311.28</v>
          </cell>
          <cell r="D42">
            <v>10.19</v>
          </cell>
          <cell r="E42">
            <v>0</v>
          </cell>
          <cell r="F42">
            <v>0</v>
          </cell>
          <cell r="G42">
            <v>201.2</v>
          </cell>
          <cell r="H42">
            <v>4110.08</v>
          </cell>
          <cell r="I42">
            <v>2899.05</v>
          </cell>
          <cell r="J42">
            <v>115.72</v>
          </cell>
          <cell r="K42">
            <v>1326.75</v>
          </cell>
          <cell r="L42">
            <v>31.62</v>
          </cell>
          <cell r="M42">
            <v>0.35</v>
          </cell>
        </row>
        <row r="43">
          <cell r="A43" t="str">
            <v>BLUKIT</v>
          </cell>
          <cell r="B43">
            <v>34</v>
          </cell>
          <cell r="C43">
            <v>4302.28</v>
          </cell>
          <cell r="D43">
            <v>18.079999999999998</v>
          </cell>
          <cell r="E43">
            <v>0</v>
          </cell>
          <cell r="F43">
            <v>0</v>
          </cell>
          <cell r="G43">
            <v>121.99</v>
          </cell>
          <cell r="H43">
            <v>4180.29</v>
          </cell>
          <cell r="I43">
            <v>2544.8000000000002</v>
          </cell>
          <cell r="J43">
            <v>73.42</v>
          </cell>
          <cell r="K43">
            <v>1708.91</v>
          </cell>
          <cell r="L43">
            <v>40.409999999999997</v>
          </cell>
          <cell r="M43">
            <v>0.35</v>
          </cell>
        </row>
        <row r="44">
          <cell r="A44" t="str">
            <v>PULVITEC</v>
          </cell>
          <cell r="B44">
            <v>51</v>
          </cell>
          <cell r="C44">
            <v>4230.2</v>
          </cell>
          <cell r="D44">
            <v>7.58</v>
          </cell>
          <cell r="E44">
            <v>0</v>
          </cell>
          <cell r="F44">
            <v>0</v>
          </cell>
          <cell r="G44">
            <v>2.7</v>
          </cell>
          <cell r="H44">
            <v>4227.5</v>
          </cell>
          <cell r="I44">
            <v>1977.42</v>
          </cell>
          <cell r="J44">
            <v>1.39</v>
          </cell>
          <cell r="K44">
            <v>2251.4699999999998</v>
          </cell>
          <cell r="L44">
            <v>53.24</v>
          </cell>
          <cell r="M44">
            <v>0.34</v>
          </cell>
        </row>
        <row r="45">
          <cell r="A45" t="str">
            <v>CORTAG</v>
          </cell>
          <cell r="B45">
            <v>20</v>
          </cell>
          <cell r="C45">
            <v>4209.74</v>
          </cell>
          <cell r="D45">
            <v>19.86</v>
          </cell>
          <cell r="E45">
            <v>0</v>
          </cell>
          <cell r="F45">
            <v>0</v>
          </cell>
          <cell r="G45">
            <v>13.2</v>
          </cell>
          <cell r="H45">
            <v>4196.54</v>
          </cell>
          <cell r="I45">
            <v>2527.2399999999998</v>
          </cell>
          <cell r="J45">
            <v>6.35</v>
          </cell>
          <cell r="K45">
            <v>1675.65</v>
          </cell>
          <cell r="L45">
            <v>39.86</v>
          </cell>
          <cell r="M45">
            <v>0.34</v>
          </cell>
        </row>
        <row r="46">
          <cell r="A46" t="str">
            <v>BRASFORMA</v>
          </cell>
          <cell r="B46">
            <v>6</v>
          </cell>
          <cell r="C46">
            <v>4208.58</v>
          </cell>
          <cell r="D46">
            <v>52.61</v>
          </cell>
          <cell r="E46">
            <v>0</v>
          </cell>
          <cell r="F46">
            <v>0</v>
          </cell>
          <cell r="G46">
            <v>127.9</v>
          </cell>
          <cell r="H46">
            <v>4080.68</v>
          </cell>
          <cell r="I46">
            <v>2393.02</v>
          </cell>
          <cell r="J46">
            <v>71.55</v>
          </cell>
          <cell r="K46">
            <v>1759.21</v>
          </cell>
          <cell r="L46">
            <v>42.52</v>
          </cell>
          <cell r="M46">
            <v>0.34</v>
          </cell>
        </row>
        <row r="47">
          <cell r="A47" t="str">
            <v>NORTON</v>
          </cell>
          <cell r="B47">
            <v>36</v>
          </cell>
          <cell r="C47">
            <v>4203.17</v>
          </cell>
          <cell r="D47">
            <v>3.1</v>
          </cell>
          <cell r="E47">
            <v>0</v>
          </cell>
          <cell r="F47">
            <v>0</v>
          </cell>
          <cell r="G47">
            <v>28.84</v>
          </cell>
          <cell r="H47">
            <v>4174.33</v>
          </cell>
          <cell r="I47">
            <v>2108.08</v>
          </cell>
          <cell r="J47">
            <v>14.31</v>
          </cell>
          <cell r="K47">
            <v>2080.56</v>
          </cell>
          <cell r="L47">
            <v>49.67</v>
          </cell>
          <cell r="M47">
            <v>0.34</v>
          </cell>
        </row>
        <row r="48">
          <cell r="A48" t="str">
            <v>HERC</v>
          </cell>
          <cell r="B48">
            <v>22</v>
          </cell>
          <cell r="C48">
            <v>4159.12</v>
          </cell>
          <cell r="D48">
            <v>22.12</v>
          </cell>
          <cell r="E48">
            <v>0</v>
          </cell>
          <cell r="F48">
            <v>0</v>
          </cell>
          <cell r="G48">
            <v>0</v>
          </cell>
          <cell r="H48">
            <v>4159.12</v>
          </cell>
          <cell r="I48">
            <v>2196.58</v>
          </cell>
          <cell r="J48">
            <v>0</v>
          </cell>
          <cell r="K48">
            <v>1962.54</v>
          </cell>
          <cell r="L48">
            <v>47.19</v>
          </cell>
          <cell r="M48">
            <v>0.33</v>
          </cell>
        </row>
        <row r="49">
          <cell r="A49" t="str">
            <v>PRATEFIX</v>
          </cell>
          <cell r="B49">
            <v>9</v>
          </cell>
          <cell r="C49">
            <v>4045.32</v>
          </cell>
          <cell r="D49">
            <v>38.159999999999997</v>
          </cell>
          <cell r="E49">
            <v>0</v>
          </cell>
          <cell r="F49">
            <v>0</v>
          </cell>
          <cell r="G49">
            <v>0</v>
          </cell>
          <cell r="H49">
            <v>4045.32</v>
          </cell>
          <cell r="I49">
            <v>2161.79</v>
          </cell>
          <cell r="J49">
            <v>0</v>
          </cell>
          <cell r="K49">
            <v>1883.53</v>
          </cell>
          <cell r="L49">
            <v>46.56</v>
          </cell>
          <cell r="M49">
            <v>0.33</v>
          </cell>
        </row>
        <row r="50">
          <cell r="A50" t="str">
            <v>LUCONI</v>
          </cell>
          <cell r="B50">
            <v>38</v>
          </cell>
          <cell r="C50">
            <v>4023.74</v>
          </cell>
          <cell r="D50">
            <v>10.99</v>
          </cell>
          <cell r="E50">
            <v>0</v>
          </cell>
          <cell r="F50">
            <v>0</v>
          </cell>
          <cell r="G50">
            <v>13.79</v>
          </cell>
          <cell r="H50">
            <v>4009.95</v>
          </cell>
          <cell r="I50">
            <v>1937.71</v>
          </cell>
          <cell r="J50">
            <v>5.83</v>
          </cell>
          <cell r="K50">
            <v>2078.0700000000002</v>
          </cell>
          <cell r="L50">
            <v>51.72</v>
          </cell>
          <cell r="M50">
            <v>0.32</v>
          </cell>
        </row>
        <row r="51">
          <cell r="A51" t="str">
            <v>PADO</v>
          </cell>
          <cell r="B51">
            <v>12</v>
          </cell>
          <cell r="C51">
            <v>3822.16</v>
          </cell>
          <cell r="D51">
            <v>32.39</v>
          </cell>
          <cell r="E51">
            <v>0</v>
          </cell>
          <cell r="F51">
            <v>0</v>
          </cell>
          <cell r="G51">
            <v>106.9</v>
          </cell>
          <cell r="H51">
            <v>3715.26</v>
          </cell>
          <cell r="I51">
            <v>2276.69</v>
          </cell>
          <cell r="J51">
            <v>61.84</v>
          </cell>
          <cell r="K51">
            <v>1500.41</v>
          </cell>
          <cell r="L51">
            <v>39.9</v>
          </cell>
          <cell r="M51">
            <v>0.31</v>
          </cell>
        </row>
        <row r="52">
          <cell r="A52" t="str">
            <v>VONDER</v>
          </cell>
          <cell r="B52">
            <v>8</v>
          </cell>
          <cell r="C52">
            <v>3791.93</v>
          </cell>
          <cell r="D52">
            <v>17.309999999999999</v>
          </cell>
          <cell r="E52">
            <v>0</v>
          </cell>
          <cell r="F52">
            <v>0</v>
          </cell>
          <cell r="G52">
            <v>35.799999999999997</v>
          </cell>
          <cell r="H52">
            <v>3756.13</v>
          </cell>
          <cell r="I52">
            <v>1941.02</v>
          </cell>
          <cell r="J52">
            <v>18.05</v>
          </cell>
          <cell r="K52">
            <v>1833.16</v>
          </cell>
          <cell r="L52">
            <v>48.57</v>
          </cell>
          <cell r="M52">
            <v>0.31</v>
          </cell>
        </row>
        <row r="53">
          <cell r="A53" t="str">
            <v>FRANKLIN</v>
          </cell>
          <cell r="B53">
            <v>4</v>
          </cell>
          <cell r="C53">
            <v>3597.9</v>
          </cell>
          <cell r="D53">
            <v>899.48</v>
          </cell>
          <cell r="E53">
            <v>0</v>
          </cell>
          <cell r="F53">
            <v>0</v>
          </cell>
          <cell r="G53">
            <v>0</v>
          </cell>
          <cell r="H53">
            <v>3597.9</v>
          </cell>
          <cell r="I53">
            <v>2177.77</v>
          </cell>
          <cell r="J53">
            <v>0</v>
          </cell>
          <cell r="K53">
            <v>1420.13</v>
          </cell>
          <cell r="L53">
            <v>39.47</v>
          </cell>
          <cell r="M53">
            <v>0.28999999999999998</v>
          </cell>
        </row>
        <row r="54">
          <cell r="A54" t="str">
            <v>PRECON</v>
          </cell>
          <cell r="B54">
            <v>6</v>
          </cell>
          <cell r="C54">
            <v>3579.5</v>
          </cell>
          <cell r="D54">
            <v>102.27</v>
          </cell>
          <cell r="E54">
            <v>0</v>
          </cell>
          <cell r="F54">
            <v>0</v>
          </cell>
          <cell r="G54">
            <v>0</v>
          </cell>
          <cell r="H54">
            <v>3579.5</v>
          </cell>
          <cell r="I54">
            <v>2251.42</v>
          </cell>
          <cell r="J54">
            <v>0</v>
          </cell>
          <cell r="K54">
            <v>1328.08</v>
          </cell>
          <cell r="L54">
            <v>37.1</v>
          </cell>
          <cell r="M54">
            <v>0.28999999999999998</v>
          </cell>
        </row>
        <row r="55">
          <cell r="A55" t="str">
            <v>ARAFORROS</v>
          </cell>
          <cell r="B55">
            <v>6</v>
          </cell>
          <cell r="C55">
            <v>3487.4</v>
          </cell>
          <cell r="D55">
            <v>145.31</v>
          </cell>
          <cell r="E55">
            <v>0</v>
          </cell>
          <cell r="F55">
            <v>0</v>
          </cell>
          <cell r="G55">
            <v>0</v>
          </cell>
          <cell r="H55">
            <v>3487.4</v>
          </cell>
          <cell r="I55">
            <v>2037.3</v>
          </cell>
          <cell r="J55">
            <v>0</v>
          </cell>
          <cell r="K55">
            <v>1450.1</v>
          </cell>
          <cell r="L55">
            <v>41.58</v>
          </cell>
          <cell r="M55">
            <v>0.28000000000000003</v>
          </cell>
        </row>
        <row r="56">
          <cell r="A56" t="str">
            <v>ADERE</v>
          </cell>
          <cell r="B56">
            <v>25</v>
          </cell>
          <cell r="C56">
            <v>3353.49</v>
          </cell>
          <cell r="D56">
            <v>9.98</v>
          </cell>
          <cell r="E56">
            <v>0</v>
          </cell>
          <cell r="F56">
            <v>0</v>
          </cell>
          <cell r="G56">
            <v>0</v>
          </cell>
          <cell r="H56">
            <v>3353.49</v>
          </cell>
          <cell r="I56">
            <v>1938.62</v>
          </cell>
          <cell r="J56">
            <v>0</v>
          </cell>
          <cell r="K56">
            <v>1414.87</v>
          </cell>
          <cell r="L56">
            <v>42.19</v>
          </cell>
          <cell r="M56">
            <v>0.27</v>
          </cell>
        </row>
        <row r="57">
          <cell r="A57" t="str">
            <v>PLASTMAR IND E COM</v>
          </cell>
          <cell r="B57">
            <v>10</v>
          </cell>
          <cell r="C57">
            <v>3273.93</v>
          </cell>
          <cell r="D57">
            <v>42.52</v>
          </cell>
          <cell r="E57">
            <v>0</v>
          </cell>
          <cell r="F57">
            <v>0</v>
          </cell>
          <cell r="G57">
            <v>68.900000000000006</v>
          </cell>
          <cell r="H57">
            <v>3205.03</v>
          </cell>
          <cell r="I57">
            <v>1928.77</v>
          </cell>
          <cell r="J57">
            <v>44.57</v>
          </cell>
          <cell r="K57">
            <v>1320.83</v>
          </cell>
          <cell r="L57">
            <v>40.9</v>
          </cell>
          <cell r="M57">
            <v>0.26</v>
          </cell>
        </row>
        <row r="58">
          <cell r="A58" t="str">
            <v>EXATRON</v>
          </cell>
          <cell r="B58">
            <v>7</v>
          </cell>
          <cell r="C58">
            <v>2887.7</v>
          </cell>
          <cell r="D58">
            <v>65.63</v>
          </cell>
          <cell r="E58">
            <v>0</v>
          </cell>
          <cell r="F58">
            <v>0</v>
          </cell>
          <cell r="G58">
            <v>0</v>
          </cell>
          <cell r="H58">
            <v>2887.7</v>
          </cell>
          <cell r="I58">
            <v>1572.55</v>
          </cell>
          <cell r="J58">
            <v>0</v>
          </cell>
          <cell r="K58">
            <v>1315.15</v>
          </cell>
          <cell r="L58">
            <v>45.54</v>
          </cell>
          <cell r="M58">
            <v>0.23</v>
          </cell>
        </row>
        <row r="59">
          <cell r="A59" t="str">
            <v>CENSI</v>
          </cell>
          <cell r="B59">
            <v>22</v>
          </cell>
          <cell r="C59">
            <v>2790.5</v>
          </cell>
          <cell r="D59">
            <v>29.69</v>
          </cell>
          <cell r="E59">
            <v>0</v>
          </cell>
          <cell r="F59">
            <v>0</v>
          </cell>
          <cell r="G59">
            <v>63.1</v>
          </cell>
          <cell r="H59">
            <v>2727.4</v>
          </cell>
          <cell r="I59">
            <v>1636.73</v>
          </cell>
          <cell r="J59">
            <v>36.409999999999997</v>
          </cell>
          <cell r="K59">
            <v>1127.08</v>
          </cell>
          <cell r="L59">
            <v>40.92</v>
          </cell>
          <cell r="M59">
            <v>0.22</v>
          </cell>
        </row>
        <row r="60">
          <cell r="A60" t="str">
            <v>ANAUGER</v>
          </cell>
          <cell r="B60">
            <v>3</v>
          </cell>
          <cell r="C60">
            <v>2712.1</v>
          </cell>
          <cell r="D60">
            <v>678.03</v>
          </cell>
          <cell r="E60">
            <v>0</v>
          </cell>
          <cell r="F60">
            <v>0</v>
          </cell>
          <cell r="G60">
            <v>0</v>
          </cell>
          <cell r="H60">
            <v>2712.1</v>
          </cell>
          <cell r="I60">
            <v>1730.44</v>
          </cell>
          <cell r="J60">
            <v>0</v>
          </cell>
          <cell r="K60">
            <v>981.66</v>
          </cell>
          <cell r="L60">
            <v>36.200000000000003</v>
          </cell>
          <cell r="M60">
            <v>0.22</v>
          </cell>
        </row>
        <row r="61">
          <cell r="A61" t="str">
            <v>METALOSA</v>
          </cell>
          <cell r="B61">
            <v>6</v>
          </cell>
          <cell r="C61">
            <v>2453.62</v>
          </cell>
          <cell r="D61">
            <v>163.57</v>
          </cell>
          <cell r="E61">
            <v>0</v>
          </cell>
          <cell r="F61">
            <v>0</v>
          </cell>
          <cell r="G61">
            <v>0</v>
          </cell>
          <cell r="H61">
            <v>2453.62</v>
          </cell>
          <cell r="I61">
            <v>1434.99</v>
          </cell>
          <cell r="J61">
            <v>0</v>
          </cell>
          <cell r="K61">
            <v>1018.63</v>
          </cell>
          <cell r="L61">
            <v>41.52</v>
          </cell>
          <cell r="M61">
            <v>0.2</v>
          </cell>
        </row>
        <row r="62">
          <cell r="A62" t="str">
            <v>STARRETT INDUSTRIA E COMERCIO</v>
          </cell>
          <cell r="B62">
            <v>12</v>
          </cell>
          <cell r="C62">
            <v>2405.75</v>
          </cell>
          <cell r="D62">
            <v>15.42</v>
          </cell>
          <cell r="E62">
            <v>0</v>
          </cell>
          <cell r="F62">
            <v>0</v>
          </cell>
          <cell r="G62">
            <v>0</v>
          </cell>
          <cell r="H62">
            <v>2405.75</v>
          </cell>
          <cell r="I62">
            <v>1265.27</v>
          </cell>
          <cell r="J62">
            <v>0</v>
          </cell>
          <cell r="K62">
            <v>1140.48</v>
          </cell>
          <cell r="L62">
            <v>47.41</v>
          </cell>
          <cell r="M62">
            <v>0.19</v>
          </cell>
        </row>
        <row r="63">
          <cell r="A63" t="str">
            <v>ELIZABETH PORC.</v>
          </cell>
          <cell r="B63">
            <v>4</v>
          </cell>
          <cell r="C63">
            <v>2345.6669999999999</v>
          </cell>
          <cell r="D63">
            <v>47.28</v>
          </cell>
          <cell r="E63">
            <v>0</v>
          </cell>
          <cell r="F63">
            <v>0</v>
          </cell>
          <cell r="G63">
            <v>0</v>
          </cell>
          <cell r="H63">
            <v>2345.6669999999999</v>
          </cell>
          <cell r="I63">
            <v>1455.4149</v>
          </cell>
          <cell r="J63">
            <v>0</v>
          </cell>
          <cell r="K63">
            <v>890.25210000000004</v>
          </cell>
          <cell r="L63">
            <v>37.950000000000003</v>
          </cell>
          <cell r="M63">
            <v>0.19</v>
          </cell>
        </row>
        <row r="64">
          <cell r="A64" t="str">
            <v>ILUMI</v>
          </cell>
          <cell r="B64">
            <v>10</v>
          </cell>
          <cell r="C64">
            <v>2305.94</v>
          </cell>
          <cell r="D64">
            <v>8.6999999999999993</v>
          </cell>
          <cell r="E64">
            <v>0</v>
          </cell>
          <cell r="F64">
            <v>0</v>
          </cell>
          <cell r="G64">
            <v>27.2</v>
          </cell>
          <cell r="H64">
            <v>2278.7399999999998</v>
          </cell>
          <cell r="I64">
            <v>1277</v>
          </cell>
          <cell r="J64">
            <v>14.18</v>
          </cell>
          <cell r="K64">
            <v>1015.92</v>
          </cell>
          <cell r="L64">
            <v>44.33</v>
          </cell>
          <cell r="M64">
            <v>0.19</v>
          </cell>
        </row>
        <row r="65">
          <cell r="A65" t="str">
            <v>TRAMONTINA NORDESTE</v>
          </cell>
          <cell r="B65">
            <v>9</v>
          </cell>
          <cell r="C65">
            <v>2302.23</v>
          </cell>
          <cell r="D65">
            <v>74.27</v>
          </cell>
          <cell r="E65">
            <v>0</v>
          </cell>
          <cell r="F65">
            <v>0</v>
          </cell>
          <cell r="G65">
            <v>0</v>
          </cell>
          <cell r="H65">
            <v>2302.23</v>
          </cell>
          <cell r="I65">
            <v>1467.73</v>
          </cell>
          <cell r="J65">
            <v>0</v>
          </cell>
          <cell r="K65">
            <v>834.5</v>
          </cell>
          <cell r="L65">
            <v>36.25</v>
          </cell>
          <cell r="M65">
            <v>0.19</v>
          </cell>
        </row>
        <row r="66">
          <cell r="A66" t="str">
            <v>BOGNAR</v>
          </cell>
          <cell r="B66">
            <v>9</v>
          </cell>
          <cell r="C66">
            <v>2246.06</v>
          </cell>
          <cell r="D66">
            <v>54.78</v>
          </cell>
          <cell r="E66">
            <v>0</v>
          </cell>
          <cell r="F66">
            <v>0</v>
          </cell>
          <cell r="G66">
            <v>64.89</v>
          </cell>
          <cell r="H66">
            <v>2181.17</v>
          </cell>
          <cell r="I66">
            <v>1370.48</v>
          </cell>
          <cell r="J66">
            <v>40.590000000000003</v>
          </cell>
          <cell r="K66">
            <v>851.28</v>
          </cell>
          <cell r="L66">
            <v>38.6</v>
          </cell>
          <cell r="M66">
            <v>0.18</v>
          </cell>
        </row>
        <row r="67">
          <cell r="A67" t="str">
            <v>BEMFIXA</v>
          </cell>
          <cell r="B67">
            <v>14</v>
          </cell>
          <cell r="C67">
            <v>2216.12</v>
          </cell>
          <cell r="D67">
            <v>11.31</v>
          </cell>
          <cell r="E67">
            <v>0</v>
          </cell>
          <cell r="F67">
            <v>0</v>
          </cell>
          <cell r="G67">
            <v>23.9</v>
          </cell>
          <cell r="H67">
            <v>2192.2199999999998</v>
          </cell>
          <cell r="I67">
            <v>1365.59</v>
          </cell>
          <cell r="J67">
            <v>15.19</v>
          </cell>
          <cell r="K67">
            <v>841.82</v>
          </cell>
          <cell r="L67">
            <v>38.25</v>
          </cell>
          <cell r="M67">
            <v>0.18</v>
          </cell>
        </row>
        <row r="68">
          <cell r="A68" t="str">
            <v>BOSCH</v>
          </cell>
          <cell r="B68">
            <v>5</v>
          </cell>
          <cell r="C68">
            <v>2202.96</v>
          </cell>
          <cell r="D68">
            <v>115.95</v>
          </cell>
          <cell r="E68">
            <v>0</v>
          </cell>
          <cell r="F68">
            <v>0</v>
          </cell>
          <cell r="G68">
            <v>0</v>
          </cell>
          <cell r="H68">
            <v>2202.96</v>
          </cell>
          <cell r="I68">
            <v>1394.2</v>
          </cell>
          <cell r="J68">
            <v>0</v>
          </cell>
          <cell r="K68">
            <v>808.76</v>
          </cell>
          <cell r="L68">
            <v>36.71</v>
          </cell>
          <cell r="M68">
            <v>0.18</v>
          </cell>
        </row>
        <row r="69">
          <cell r="A69" t="str">
            <v>ALIANÇA</v>
          </cell>
          <cell r="B69">
            <v>5</v>
          </cell>
          <cell r="C69">
            <v>2144.7199999999998</v>
          </cell>
          <cell r="D69">
            <v>57.97</v>
          </cell>
          <cell r="E69">
            <v>0</v>
          </cell>
          <cell r="F69">
            <v>0</v>
          </cell>
          <cell r="G69">
            <v>67.900000000000006</v>
          </cell>
          <cell r="H69">
            <v>2076.8200000000002</v>
          </cell>
          <cell r="I69">
            <v>1323.08</v>
          </cell>
          <cell r="J69">
            <v>42.45</v>
          </cell>
          <cell r="K69">
            <v>796.19</v>
          </cell>
          <cell r="L69">
            <v>37.869999999999997</v>
          </cell>
          <cell r="M69">
            <v>0.17</v>
          </cell>
        </row>
        <row r="70">
          <cell r="A70" t="str">
            <v>BOTAFOGO</v>
          </cell>
          <cell r="B70">
            <v>1</v>
          </cell>
          <cell r="C70">
            <v>2119.8000000000002</v>
          </cell>
          <cell r="D70">
            <v>1059.9000000000001</v>
          </cell>
          <cell r="E70">
            <v>0</v>
          </cell>
          <cell r="F70">
            <v>0</v>
          </cell>
          <cell r="G70">
            <v>1059.9000000000001</v>
          </cell>
          <cell r="H70">
            <v>1059.9000000000001</v>
          </cell>
          <cell r="I70">
            <v>1341.31</v>
          </cell>
          <cell r="J70">
            <v>673.81</v>
          </cell>
          <cell r="K70">
            <v>392.4</v>
          </cell>
          <cell r="L70">
            <v>27.14</v>
          </cell>
          <cell r="M70">
            <v>0.17</v>
          </cell>
        </row>
        <row r="71">
          <cell r="A71" t="str">
            <v>PRATIMIX</v>
          </cell>
          <cell r="B71">
            <v>24</v>
          </cell>
          <cell r="C71">
            <v>2089.3000000000002</v>
          </cell>
          <cell r="D71">
            <v>10.45</v>
          </cell>
          <cell r="E71">
            <v>0</v>
          </cell>
          <cell r="F71">
            <v>0</v>
          </cell>
          <cell r="G71">
            <v>20.69</v>
          </cell>
          <cell r="H71">
            <v>2068.61</v>
          </cell>
          <cell r="I71">
            <v>1178.5</v>
          </cell>
          <cell r="J71">
            <v>11.81</v>
          </cell>
          <cell r="K71">
            <v>901.92</v>
          </cell>
          <cell r="L71">
            <v>43.41</v>
          </cell>
          <cell r="M71">
            <v>0.17</v>
          </cell>
        </row>
        <row r="72">
          <cell r="A72" t="str">
            <v>ANJO QUIMICA DO BRASIL LTDA</v>
          </cell>
          <cell r="B72">
            <v>6</v>
          </cell>
          <cell r="C72">
            <v>2034.53</v>
          </cell>
          <cell r="D72">
            <v>22.61</v>
          </cell>
          <cell r="E72">
            <v>0</v>
          </cell>
          <cell r="F72">
            <v>0</v>
          </cell>
          <cell r="G72">
            <v>0</v>
          </cell>
          <cell r="H72">
            <v>2034.53</v>
          </cell>
          <cell r="I72">
            <v>1188.24</v>
          </cell>
          <cell r="J72">
            <v>0</v>
          </cell>
          <cell r="K72">
            <v>846.29</v>
          </cell>
          <cell r="L72">
            <v>41.6</v>
          </cell>
          <cell r="M72">
            <v>0.16</v>
          </cell>
        </row>
        <row r="73">
          <cell r="A73" t="str">
            <v>TRAMONTINA</v>
          </cell>
          <cell r="B73">
            <v>4</v>
          </cell>
          <cell r="C73">
            <v>1759.1</v>
          </cell>
          <cell r="D73">
            <v>47.54</v>
          </cell>
          <cell r="E73">
            <v>0</v>
          </cell>
          <cell r="F73">
            <v>0</v>
          </cell>
          <cell r="G73">
            <v>0</v>
          </cell>
          <cell r="H73">
            <v>1759.1</v>
          </cell>
          <cell r="I73">
            <v>1022.65</v>
          </cell>
          <cell r="J73">
            <v>0</v>
          </cell>
          <cell r="K73">
            <v>736.45</v>
          </cell>
          <cell r="L73">
            <v>41.87</v>
          </cell>
          <cell r="M73">
            <v>0.14000000000000001</v>
          </cell>
        </row>
        <row r="74">
          <cell r="A74" t="str">
            <v>NAWA COM ATAC VAR PROD LAR E L</v>
          </cell>
          <cell r="B74">
            <v>3</v>
          </cell>
          <cell r="C74">
            <v>1729.4</v>
          </cell>
          <cell r="D74">
            <v>288.23</v>
          </cell>
          <cell r="E74">
            <v>0</v>
          </cell>
          <cell r="F74">
            <v>0</v>
          </cell>
          <cell r="G74">
            <v>0</v>
          </cell>
          <cell r="H74">
            <v>1729.4</v>
          </cell>
          <cell r="I74">
            <v>1052.8</v>
          </cell>
          <cell r="J74">
            <v>0</v>
          </cell>
          <cell r="K74">
            <v>676.6</v>
          </cell>
          <cell r="L74">
            <v>39.119999999999997</v>
          </cell>
          <cell r="M74">
            <v>0.14000000000000001</v>
          </cell>
        </row>
        <row r="75">
          <cell r="A75" t="str">
            <v>Momfort</v>
          </cell>
          <cell r="B75">
            <v>7</v>
          </cell>
          <cell r="C75">
            <v>1683.6</v>
          </cell>
          <cell r="D75">
            <v>26.72</v>
          </cell>
          <cell r="E75">
            <v>0</v>
          </cell>
          <cell r="F75">
            <v>0</v>
          </cell>
          <cell r="G75">
            <v>0</v>
          </cell>
          <cell r="H75">
            <v>1683.6</v>
          </cell>
          <cell r="I75">
            <v>858.34</v>
          </cell>
          <cell r="J75">
            <v>0</v>
          </cell>
          <cell r="K75">
            <v>825.26</v>
          </cell>
          <cell r="L75">
            <v>49.02</v>
          </cell>
          <cell r="M75">
            <v>0.14000000000000001</v>
          </cell>
        </row>
        <row r="76">
          <cell r="A76" t="str">
            <v>TAF</v>
          </cell>
          <cell r="B76">
            <v>9</v>
          </cell>
          <cell r="C76">
            <v>1640.2</v>
          </cell>
          <cell r="D76">
            <v>27.8</v>
          </cell>
          <cell r="E76">
            <v>0</v>
          </cell>
          <cell r="F76">
            <v>0</v>
          </cell>
          <cell r="G76">
            <v>67.5</v>
          </cell>
          <cell r="H76">
            <v>1572.7</v>
          </cell>
          <cell r="I76">
            <v>880.83</v>
          </cell>
          <cell r="J76">
            <v>33.83</v>
          </cell>
          <cell r="K76">
            <v>725.7</v>
          </cell>
          <cell r="L76">
            <v>45.18</v>
          </cell>
          <cell r="M76">
            <v>0.13</v>
          </cell>
        </row>
        <row r="77">
          <cell r="A77" t="str">
            <v>NOVA FIXACAO</v>
          </cell>
          <cell r="B77">
            <v>6</v>
          </cell>
          <cell r="C77">
            <v>1567.76</v>
          </cell>
          <cell r="D77">
            <v>2.16</v>
          </cell>
          <cell r="E77">
            <v>0</v>
          </cell>
          <cell r="F77">
            <v>0</v>
          </cell>
          <cell r="G77">
            <v>99.5</v>
          </cell>
          <cell r="H77">
            <v>1468.26</v>
          </cell>
          <cell r="I77">
            <v>911.58</v>
          </cell>
          <cell r="J77">
            <v>58</v>
          </cell>
          <cell r="K77">
            <v>614.67999999999995</v>
          </cell>
          <cell r="L77">
            <v>40.71</v>
          </cell>
          <cell r="M77">
            <v>0.13</v>
          </cell>
        </row>
        <row r="78">
          <cell r="A78" t="str">
            <v>KALIPSO</v>
          </cell>
          <cell r="B78">
            <v>6</v>
          </cell>
          <cell r="C78">
            <v>1442.99</v>
          </cell>
          <cell r="D78">
            <v>7.11</v>
          </cell>
          <cell r="E78">
            <v>0</v>
          </cell>
          <cell r="F78">
            <v>0</v>
          </cell>
          <cell r="G78">
            <v>0</v>
          </cell>
          <cell r="H78">
            <v>1442.99</v>
          </cell>
          <cell r="I78">
            <v>671.29</v>
          </cell>
          <cell r="J78">
            <v>0</v>
          </cell>
          <cell r="K78">
            <v>771.7</v>
          </cell>
          <cell r="L78">
            <v>53.48</v>
          </cell>
          <cell r="M78">
            <v>0.12</v>
          </cell>
        </row>
        <row r="79">
          <cell r="A79" t="str">
            <v>SECALUX</v>
          </cell>
          <cell r="B79">
            <v>4</v>
          </cell>
          <cell r="C79">
            <v>1427.31</v>
          </cell>
          <cell r="D79">
            <v>49.22</v>
          </cell>
          <cell r="E79">
            <v>0</v>
          </cell>
          <cell r="F79">
            <v>0</v>
          </cell>
          <cell r="G79">
            <v>0</v>
          </cell>
          <cell r="H79">
            <v>1427.31</v>
          </cell>
          <cell r="I79">
            <v>880.34</v>
          </cell>
          <cell r="J79">
            <v>0</v>
          </cell>
          <cell r="K79">
            <v>546.97</v>
          </cell>
          <cell r="L79">
            <v>38.32</v>
          </cell>
          <cell r="M79">
            <v>0.11</v>
          </cell>
        </row>
        <row r="80">
          <cell r="A80" t="str">
            <v>MARLUVAS</v>
          </cell>
          <cell r="B80">
            <v>3</v>
          </cell>
          <cell r="C80">
            <v>1380.3</v>
          </cell>
          <cell r="D80">
            <v>81.19</v>
          </cell>
          <cell r="E80">
            <v>0</v>
          </cell>
          <cell r="F80">
            <v>0</v>
          </cell>
          <cell r="G80">
            <v>53.9</v>
          </cell>
          <cell r="H80">
            <v>1326.4</v>
          </cell>
          <cell r="I80">
            <v>894.78</v>
          </cell>
          <cell r="J80">
            <v>36.35</v>
          </cell>
          <cell r="K80">
            <v>467.97</v>
          </cell>
          <cell r="L80">
            <v>34.82</v>
          </cell>
          <cell r="M80">
            <v>0.11</v>
          </cell>
        </row>
        <row r="81">
          <cell r="A81" t="str">
            <v>J LOBATO</v>
          </cell>
          <cell r="B81">
            <v>8</v>
          </cell>
          <cell r="C81">
            <v>1374.61</v>
          </cell>
          <cell r="D81">
            <v>20.52</v>
          </cell>
          <cell r="E81">
            <v>0</v>
          </cell>
          <cell r="F81">
            <v>0</v>
          </cell>
          <cell r="G81">
            <v>0</v>
          </cell>
          <cell r="H81">
            <v>1374.61</v>
          </cell>
          <cell r="I81">
            <v>625.97</v>
          </cell>
          <cell r="J81">
            <v>0</v>
          </cell>
          <cell r="K81">
            <v>748.64</v>
          </cell>
          <cell r="L81">
            <v>54.46</v>
          </cell>
          <cell r="M81">
            <v>0.11</v>
          </cell>
        </row>
        <row r="82">
          <cell r="A82" t="str">
            <v>BRASFORT</v>
          </cell>
          <cell r="B82">
            <v>8</v>
          </cell>
          <cell r="C82">
            <v>1301.26</v>
          </cell>
          <cell r="D82">
            <v>15.87</v>
          </cell>
          <cell r="E82">
            <v>0</v>
          </cell>
          <cell r="F82">
            <v>0</v>
          </cell>
          <cell r="G82">
            <v>0</v>
          </cell>
          <cell r="H82">
            <v>1301.26</v>
          </cell>
          <cell r="I82">
            <v>767.84</v>
          </cell>
          <cell r="J82">
            <v>0</v>
          </cell>
          <cell r="K82">
            <v>533.41999999999996</v>
          </cell>
          <cell r="L82">
            <v>40.99</v>
          </cell>
          <cell r="M82">
            <v>0.1</v>
          </cell>
        </row>
        <row r="83">
          <cell r="A83" t="str">
            <v>ORBI QUIMICA LTDA</v>
          </cell>
          <cell r="B83">
            <v>6</v>
          </cell>
          <cell r="C83">
            <v>1274.3599999999999</v>
          </cell>
          <cell r="D83">
            <v>15.35</v>
          </cell>
          <cell r="E83">
            <v>0</v>
          </cell>
          <cell r="F83">
            <v>0</v>
          </cell>
          <cell r="G83">
            <v>22.9</v>
          </cell>
          <cell r="H83">
            <v>1251.46</v>
          </cell>
          <cell r="I83">
            <v>692.04</v>
          </cell>
          <cell r="J83">
            <v>10.71</v>
          </cell>
          <cell r="K83">
            <v>570.13</v>
          </cell>
          <cell r="L83">
            <v>45.12</v>
          </cell>
          <cell r="M83">
            <v>0.1</v>
          </cell>
        </row>
        <row r="84">
          <cell r="A84" t="str">
            <v>PINTSILK</v>
          </cell>
          <cell r="B84">
            <v>3</v>
          </cell>
          <cell r="C84">
            <v>1173.0999999999999</v>
          </cell>
          <cell r="D84">
            <v>90.24</v>
          </cell>
          <cell r="E84">
            <v>0</v>
          </cell>
          <cell r="F84">
            <v>0</v>
          </cell>
          <cell r="G84">
            <v>0</v>
          </cell>
          <cell r="H84">
            <v>1173.0999999999999</v>
          </cell>
          <cell r="I84">
            <v>679.94</v>
          </cell>
          <cell r="J84">
            <v>0</v>
          </cell>
          <cell r="K84">
            <v>493.16</v>
          </cell>
          <cell r="L84">
            <v>42.04</v>
          </cell>
          <cell r="M84">
            <v>0.09</v>
          </cell>
        </row>
        <row r="85">
          <cell r="A85" t="str">
            <v>FORTLINE</v>
          </cell>
          <cell r="B85">
            <v>3</v>
          </cell>
          <cell r="C85">
            <v>1043.0999999999999</v>
          </cell>
          <cell r="D85">
            <v>115.9</v>
          </cell>
          <cell r="E85">
            <v>0</v>
          </cell>
          <cell r="F85">
            <v>0</v>
          </cell>
          <cell r="G85">
            <v>139.9</v>
          </cell>
          <cell r="H85">
            <v>903.2</v>
          </cell>
          <cell r="I85">
            <v>637.77</v>
          </cell>
          <cell r="J85">
            <v>86.31</v>
          </cell>
          <cell r="K85">
            <v>351.74</v>
          </cell>
          <cell r="L85">
            <v>36.76</v>
          </cell>
          <cell r="M85">
            <v>0.08</v>
          </cell>
        </row>
        <row r="86">
          <cell r="A86" t="str">
            <v>NORCOLA</v>
          </cell>
          <cell r="B86">
            <v>7</v>
          </cell>
          <cell r="C86">
            <v>962.12</v>
          </cell>
          <cell r="D86">
            <v>29.16</v>
          </cell>
          <cell r="E86">
            <v>0</v>
          </cell>
          <cell r="F86">
            <v>0</v>
          </cell>
          <cell r="G86">
            <v>26.09</v>
          </cell>
          <cell r="H86">
            <v>936.03</v>
          </cell>
          <cell r="I86">
            <v>598.69000000000005</v>
          </cell>
          <cell r="J86">
            <v>17</v>
          </cell>
          <cell r="K86">
            <v>354.34</v>
          </cell>
          <cell r="L86">
            <v>37.49</v>
          </cell>
          <cell r="M86">
            <v>0.08</v>
          </cell>
        </row>
        <row r="87">
          <cell r="A87" t="str">
            <v>STAM</v>
          </cell>
          <cell r="B87">
            <v>8</v>
          </cell>
          <cell r="C87">
            <v>923.3</v>
          </cell>
          <cell r="D87">
            <v>51.29</v>
          </cell>
          <cell r="E87">
            <v>0</v>
          </cell>
          <cell r="F87">
            <v>0</v>
          </cell>
          <cell r="G87">
            <v>0</v>
          </cell>
          <cell r="H87">
            <v>923.3</v>
          </cell>
          <cell r="I87">
            <v>518.23</v>
          </cell>
          <cell r="J87">
            <v>0</v>
          </cell>
          <cell r="K87">
            <v>405.07</v>
          </cell>
          <cell r="L87">
            <v>43.87</v>
          </cell>
          <cell r="M87">
            <v>7.0000000000000007E-2</v>
          </cell>
        </row>
        <row r="88">
          <cell r="A88" t="str">
            <v>GERDAU</v>
          </cell>
          <cell r="B88">
            <v>7</v>
          </cell>
          <cell r="C88">
            <v>860.94</v>
          </cell>
          <cell r="D88">
            <v>28.7</v>
          </cell>
          <cell r="E88">
            <v>0</v>
          </cell>
          <cell r="F88">
            <v>0</v>
          </cell>
          <cell r="G88">
            <v>0</v>
          </cell>
          <cell r="H88">
            <v>860.94</v>
          </cell>
          <cell r="I88">
            <v>503.01</v>
          </cell>
          <cell r="J88">
            <v>0</v>
          </cell>
          <cell r="K88">
            <v>357.93</v>
          </cell>
          <cell r="L88">
            <v>41.57</v>
          </cell>
          <cell r="M88">
            <v>7.0000000000000007E-2</v>
          </cell>
        </row>
        <row r="89">
          <cell r="A89" t="str">
            <v>ONDULINE</v>
          </cell>
          <cell r="B89">
            <v>2</v>
          </cell>
          <cell r="C89">
            <v>852.2</v>
          </cell>
          <cell r="D89">
            <v>106.53</v>
          </cell>
          <cell r="E89">
            <v>0</v>
          </cell>
          <cell r="F89">
            <v>0</v>
          </cell>
          <cell r="G89">
            <v>0</v>
          </cell>
          <cell r="H89">
            <v>852.2</v>
          </cell>
          <cell r="I89">
            <v>480.45</v>
          </cell>
          <cell r="J89">
            <v>0</v>
          </cell>
          <cell r="K89">
            <v>371.75</v>
          </cell>
          <cell r="L89">
            <v>43.62</v>
          </cell>
          <cell r="M89">
            <v>7.0000000000000007E-2</v>
          </cell>
        </row>
        <row r="90">
          <cell r="A90" t="str">
            <v>HIDRACOR</v>
          </cell>
          <cell r="B90">
            <v>8</v>
          </cell>
          <cell r="C90">
            <v>840.76</v>
          </cell>
          <cell r="D90">
            <v>3.89</v>
          </cell>
          <cell r="E90">
            <v>0</v>
          </cell>
          <cell r="F90">
            <v>0</v>
          </cell>
          <cell r="G90">
            <v>15.6</v>
          </cell>
          <cell r="H90">
            <v>825.16</v>
          </cell>
          <cell r="I90">
            <v>296.49</v>
          </cell>
          <cell r="J90">
            <v>5.72</v>
          </cell>
          <cell r="K90">
            <v>534.39</v>
          </cell>
          <cell r="L90">
            <v>64</v>
          </cell>
          <cell r="M90">
            <v>7.0000000000000007E-2</v>
          </cell>
        </row>
        <row r="91">
          <cell r="A91" t="str">
            <v>COZIMAX</v>
          </cell>
          <cell r="B91">
            <v>5</v>
          </cell>
          <cell r="C91">
            <v>822.86</v>
          </cell>
          <cell r="D91">
            <v>137.13999999999999</v>
          </cell>
          <cell r="E91">
            <v>0</v>
          </cell>
          <cell r="F91">
            <v>0</v>
          </cell>
          <cell r="G91">
            <v>0</v>
          </cell>
          <cell r="H91">
            <v>822.86</v>
          </cell>
          <cell r="I91">
            <v>506.9</v>
          </cell>
          <cell r="J91">
            <v>0</v>
          </cell>
          <cell r="K91">
            <v>315.95999999999998</v>
          </cell>
          <cell r="L91">
            <v>38.4</v>
          </cell>
          <cell r="M91">
            <v>7.0000000000000007E-2</v>
          </cell>
        </row>
        <row r="92">
          <cell r="A92" t="str">
            <v>ARCELORMITTAL</v>
          </cell>
          <cell r="B92">
            <v>3</v>
          </cell>
          <cell r="C92">
            <v>752.72</v>
          </cell>
          <cell r="D92">
            <v>47.05</v>
          </cell>
          <cell r="E92">
            <v>0</v>
          </cell>
          <cell r="F92">
            <v>0</v>
          </cell>
          <cell r="G92">
            <v>23.9</v>
          </cell>
          <cell r="H92">
            <v>728.82</v>
          </cell>
          <cell r="I92">
            <v>444.5</v>
          </cell>
          <cell r="J92">
            <v>12.73</v>
          </cell>
          <cell r="K92">
            <v>297.05</v>
          </cell>
          <cell r="L92">
            <v>40.14</v>
          </cell>
          <cell r="M92">
            <v>0.06</v>
          </cell>
        </row>
        <row r="93">
          <cell r="A93" t="str">
            <v>LEDAN</v>
          </cell>
          <cell r="B93">
            <v>4</v>
          </cell>
          <cell r="C93">
            <v>686.36</v>
          </cell>
          <cell r="D93">
            <v>6.86</v>
          </cell>
          <cell r="E93">
            <v>0</v>
          </cell>
          <cell r="F93">
            <v>0</v>
          </cell>
          <cell r="G93">
            <v>0</v>
          </cell>
          <cell r="H93">
            <v>686.36</v>
          </cell>
          <cell r="I93">
            <v>441.19</v>
          </cell>
          <cell r="J93">
            <v>0</v>
          </cell>
          <cell r="K93">
            <v>245.17</v>
          </cell>
          <cell r="L93">
            <v>35.72</v>
          </cell>
          <cell r="M93">
            <v>0.06</v>
          </cell>
        </row>
        <row r="94">
          <cell r="A94" t="str">
            <v>TOP MIX</v>
          </cell>
          <cell r="B94">
            <v>2</v>
          </cell>
          <cell r="C94">
            <v>633.83000000000004</v>
          </cell>
          <cell r="D94">
            <v>316.92</v>
          </cell>
          <cell r="E94">
            <v>0</v>
          </cell>
          <cell r="F94">
            <v>0</v>
          </cell>
          <cell r="G94">
            <v>0</v>
          </cell>
          <cell r="H94">
            <v>633.83000000000004</v>
          </cell>
          <cell r="I94">
            <v>392.09</v>
          </cell>
          <cell r="J94">
            <v>0</v>
          </cell>
          <cell r="K94">
            <v>241.74</v>
          </cell>
          <cell r="L94">
            <v>38.14</v>
          </cell>
          <cell r="M94">
            <v>0.05</v>
          </cell>
        </row>
        <row r="95">
          <cell r="A95" t="str">
            <v>LUZARTE</v>
          </cell>
          <cell r="B95">
            <v>3</v>
          </cell>
          <cell r="C95">
            <v>616.9</v>
          </cell>
          <cell r="D95">
            <v>154.22999999999999</v>
          </cell>
          <cell r="E95">
            <v>0</v>
          </cell>
          <cell r="F95">
            <v>0</v>
          </cell>
          <cell r="G95">
            <v>151.9</v>
          </cell>
          <cell r="H95">
            <v>465</v>
          </cell>
          <cell r="I95">
            <v>502.23</v>
          </cell>
          <cell r="J95">
            <v>96.48</v>
          </cell>
          <cell r="K95">
            <v>59.25</v>
          </cell>
          <cell r="L95">
            <v>11.39</v>
          </cell>
          <cell r="M95">
            <v>0.05</v>
          </cell>
        </row>
        <row r="96">
          <cell r="A96" t="str">
            <v>PADRAO FORTE</v>
          </cell>
          <cell r="B96">
            <v>6</v>
          </cell>
          <cell r="C96">
            <v>589.87</v>
          </cell>
          <cell r="D96">
            <v>15.94</v>
          </cell>
          <cell r="E96">
            <v>0</v>
          </cell>
          <cell r="F96">
            <v>0</v>
          </cell>
          <cell r="G96">
            <v>0</v>
          </cell>
          <cell r="H96">
            <v>589.87</v>
          </cell>
          <cell r="I96">
            <v>347.79</v>
          </cell>
          <cell r="J96">
            <v>0</v>
          </cell>
          <cell r="K96">
            <v>242.08</v>
          </cell>
          <cell r="L96">
            <v>41.04</v>
          </cell>
          <cell r="M96">
            <v>0.05</v>
          </cell>
        </row>
        <row r="97">
          <cell r="A97" t="str">
            <v>ULTRA CLEAN</v>
          </cell>
          <cell r="B97">
            <v>4</v>
          </cell>
          <cell r="C97">
            <v>580.20000000000005</v>
          </cell>
          <cell r="D97">
            <v>20.72</v>
          </cell>
          <cell r="E97">
            <v>0</v>
          </cell>
          <cell r="F97">
            <v>0</v>
          </cell>
          <cell r="G97">
            <v>0</v>
          </cell>
          <cell r="H97">
            <v>580.20000000000005</v>
          </cell>
          <cell r="I97">
            <v>342.4</v>
          </cell>
          <cell r="J97">
            <v>0</v>
          </cell>
          <cell r="K97">
            <v>237.8</v>
          </cell>
          <cell r="L97">
            <v>40.99</v>
          </cell>
          <cell r="M97">
            <v>0.05</v>
          </cell>
        </row>
        <row r="98">
          <cell r="A98" t="str">
            <v>ULTRACLEAN</v>
          </cell>
          <cell r="B98">
            <v>3</v>
          </cell>
          <cell r="C98">
            <v>574.1</v>
          </cell>
          <cell r="D98">
            <v>23.92</v>
          </cell>
          <cell r="E98">
            <v>0</v>
          </cell>
          <cell r="F98">
            <v>0</v>
          </cell>
          <cell r="G98">
            <v>23.9</v>
          </cell>
          <cell r="H98">
            <v>550.20000000000005</v>
          </cell>
          <cell r="I98">
            <v>316.08999999999997</v>
          </cell>
          <cell r="J98">
            <v>12.01</v>
          </cell>
          <cell r="K98">
            <v>246.12</v>
          </cell>
          <cell r="L98">
            <v>43.79</v>
          </cell>
          <cell r="M98">
            <v>0.05</v>
          </cell>
        </row>
        <row r="99">
          <cell r="A99" t="str">
            <v>ATTENA</v>
          </cell>
          <cell r="B99">
            <v>2</v>
          </cell>
          <cell r="C99">
            <v>541.53</v>
          </cell>
          <cell r="D99">
            <v>60.17</v>
          </cell>
          <cell r="E99">
            <v>0</v>
          </cell>
          <cell r="F99">
            <v>0</v>
          </cell>
          <cell r="G99">
            <v>0</v>
          </cell>
          <cell r="H99">
            <v>541.53</v>
          </cell>
          <cell r="I99">
            <v>684.98</v>
          </cell>
          <cell r="J99">
            <v>0</v>
          </cell>
          <cell r="K99">
            <v>-143.44999999999999</v>
          </cell>
          <cell r="L99">
            <v>0</v>
          </cell>
          <cell r="M99">
            <v>0.04</v>
          </cell>
        </row>
        <row r="100">
          <cell r="A100" t="str">
            <v>EXTRALUX</v>
          </cell>
          <cell r="B100">
            <v>4</v>
          </cell>
          <cell r="C100">
            <v>510.02</v>
          </cell>
          <cell r="D100">
            <v>17.59</v>
          </cell>
          <cell r="E100">
            <v>0</v>
          </cell>
          <cell r="F100">
            <v>0</v>
          </cell>
          <cell r="G100">
            <v>0</v>
          </cell>
          <cell r="H100">
            <v>510.02</v>
          </cell>
          <cell r="I100">
            <v>302.92</v>
          </cell>
          <cell r="J100">
            <v>0</v>
          </cell>
          <cell r="K100">
            <v>207.1</v>
          </cell>
          <cell r="L100">
            <v>40.61</v>
          </cell>
          <cell r="M100">
            <v>0.04</v>
          </cell>
        </row>
        <row r="101">
          <cell r="A101" t="str">
            <v>FRANKE</v>
          </cell>
          <cell r="B101">
            <v>1</v>
          </cell>
          <cell r="C101">
            <v>473.7</v>
          </cell>
          <cell r="D101">
            <v>157.9</v>
          </cell>
          <cell r="E101">
            <v>0</v>
          </cell>
          <cell r="F101">
            <v>0</v>
          </cell>
          <cell r="G101">
            <v>0</v>
          </cell>
          <cell r="H101">
            <v>473.7</v>
          </cell>
          <cell r="I101">
            <v>263.99</v>
          </cell>
          <cell r="J101">
            <v>0</v>
          </cell>
          <cell r="K101">
            <v>209.71</v>
          </cell>
          <cell r="L101">
            <v>44.27</v>
          </cell>
          <cell r="M101">
            <v>0.04</v>
          </cell>
        </row>
        <row r="102">
          <cell r="A102" t="str">
            <v>LGMAIS</v>
          </cell>
          <cell r="B102">
            <v>3</v>
          </cell>
          <cell r="C102">
            <v>470.7</v>
          </cell>
          <cell r="D102">
            <v>156.9</v>
          </cell>
          <cell r="E102">
            <v>0</v>
          </cell>
          <cell r="F102">
            <v>0</v>
          </cell>
          <cell r="G102">
            <v>0</v>
          </cell>
          <cell r="H102">
            <v>470.7</v>
          </cell>
          <cell r="I102">
            <v>377.66</v>
          </cell>
          <cell r="J102">
            <v>0</v>
          </cell>
          <cell r="K102">
            <v>93.04</v>
          </cell>
          <cell r="L102">
            <v>19.77</v>
          </cell>
          <cell r="M102">
            <v>0.04</v>
          </cell>
        </row>
        <row r="103">
          <cell r="A103" t="str">
            <v>COMFORT DOOR</v>
          </cell>
          <cell r="B103">
            <v>3</v>
          </cell>
          <cell r="C103">
            <v>470.2</v>
          </cell>
          <cell r="D103">
            <v>33.590000000000003</v>
          </cell>
          <cell r="E103">
            <v>0</v>
          </cell>
          <cell r="F103">
            <v>0</v>
          </cell>
          <cell r="G103">
            <v>0</v>
          </cell>
          <cell r="H103">
            <v>470.2</v>
          </cell>
          <cell r="I103">
            <v>260.98</v>
          </cell>
          <cell r="J103">
            <v>0</v>
          </cell>
          <cell r="K103">
            <v>209.22</v>
          </cell>
          <cell r="L103">
            <v>44.5</v>
          </cell>
          <cell r="M103">
            <v>0.04</v>
          </cell>
        </row>
        <row r="104">
          <cell r="A104" t="str">
            <v>CHEMONE</v>
          </cell>
          <cell r="B104">
            <v>5</v>
          </cell>
          <cell r="C104">
            <v>449.93</v>
          </cell>
          <cell r="D104">
            <v>13.23</v>
          </cell>
          <cell r="E104">
            <v>0</v>
          </cell>
          <cell r="F104">
            <v>0</v>
          </cell>
          <cell r="G104">
            <v>0</v>
          </cell>
          <cell r="H104">
            <v>449.93</v>
          </cell>
          <cell r="I104">
            <v>268.43</v>
          </cell>
          <cell r="J104">
            <v>0</v>
          </cell>
          <cell r="K104">
            <v>181.5</v>
          </cell>
          <cell r="L104">
            <v>40.340000000000003</v>
          </cell>
          <cell r="M104">
            <v>0.04</v>
          </cell>
        </row>
        <row r="105">
          <cell r="A105" t="str">
            <v>PADOVA</v>
          </cell>
          <cell r="B105">
            <v>5</v>
          </cell>
          <cell r="C105">
            <v>411.61</v>
          </cell>
          <cell r="D105">
            <v>15.24</v>
          </cell>
          <cell r="E105">
            <v>0</v>
          </cell>
          <cell r="F105">
            <v>0</v>
          </cell>
          <cell r="G105">
            <v>0</v>
          </cell>
          <cell r="H105">
            <v>411.61</v>
          </cell>
          <cell r="I105">
            <v>245.9</v>
          </cell>
          <cell r="J105">
            <v>0</v>
          </cell>
          <cell r="K105">
            <v>165.71</v>
          </cell>
          <cell r="L105">
            <v>40.26</v>
          </cell>
          <cell r="M105">
            <v>0.03</v>
          </cell>
        </row>
        <row r="106">
          <cell r="A106" t="str">
            <v>Max-Giro</v>
          </cell>
          <cell r="B106">
            <v>5</v>
          </cell>
          <cell r="C106">
            <v>397.79</v>
          </cell>
          <cell r="D106">
            <v>12.05</v>
          </cell>
          <cell r="E106">
            <v>0</v>
          </cell>
          <cell r="F106">
            <v>0</v>
          </cell>
          <cell r="G106">
            <v>0</v>
          </cell>
          <cell r="H106">
            <v>397.79</v>
          </cell>
          <cell r="I106">
            <v>225.93</v>
          </cell>
          <cell r="J106">
            <v>0</v>
          </cell>
          <cell r="K106">
            <v>171.86</v>
          </cell>
          <cell r="L106">
            <v>43.2</v>
          </cell>
          <cell r="M106">
            <v>0.03</v>
          </cell>
        </row>
        <row r="107">
          <cell r="A107" t="str">
            <v>OVERTIME</v>
          </cell>
          <cell r="B107">
            <v>4</v>
          </cell>
          <cell r="C107">
            <v>350.16</v>
          </cell>
          <cell r="D107">
            <v>29.18</v>
          </cell>
          <cell r="E107">
            <v>0</v>
          </cell>
          <cell r="F107">
            <v>0</v>
          </cell>
          <cell r="G107">
            <v>0</v>
          </cell>
          <cell r="H107">
            <v>350.16</v>
          </cell>
          <cell r="I107">
            <v>210.69</v>
          </cell>
          <cell r="J107">
            <v>0</v>
          </cell>
          <cell r="K107">
            <v>139.47</v>
          </cell>
          <cell r="L107">
            <v>39.83</v>
          </cell>
          <cell r="M107">
            <v>0.03</v>
          </cell>
        </row>
        <row r="108">
          <cell r="A108" t="str">
            <v>RHPE</v>
          </cell>
          <cell r="B108">
            <v>2</v>
          </cell>
          <cell r="C108">
            <v>343.6</v>
          </cell>
          <cell r="D108">
            <v>85.9</v>
          </cell>
          <cell r="E108">
            <v>0</v>
          </cell>
          <cell r="F108">
            <v>0</v>
          </cell>
          <cell r="G108">
            <v>0</v>
          </cell>
          <cell r="H108">
            <v>343.6</v>
          </cell>
          <cell r="I108">
            <v>213.36</v>
          </cell>
          <cell r="J108">
            <v>0</v>
          </cell>
          <cell r="K108">
            <v>130.24</v>
          </cell>
          <cell r="L108">
            <v>37.9</v>
          </cell>
          <cell r="M108">
            <v>0.03</v>
          </cell>
        </row>
        <row r="109">
          <cell r="A109" t="str">
            <v>GABRIELLA</v>
          </cell>
          <cell r="B109">
            <v>1</v>
          </cell>
          <cell r="C109">
            <v>278.60000000000002</v>
          </cell>
          <cell r="D109">
            <v>19.899999999999999</v>
          </cell>
          <cell r="E109">
            <v>0</v>
          </cell>
          <cell r="F109">
            <v>0</v>
          </cell>
          <cell r="G109">
            <v>0</v>
          </cell>
          <cell r="H109">
            <v>278.60000000000002</v>
          </cell>
          <cell r="I109">
            <v>156.52000000000001</v>
          </cell>
          <cell r="J109">
            <v>0</v>
          </cell>
          <cell r="K109">
            <v>122.08</v>
          </cell>
          <cell r="L109">
            <v>43.82</v>
          </cell>
          <cell r="M109">
            <v>0.02</v>
          </cell>
        </row>
        <row r="110">
          <cell r="A110" t="str">
            <v>GARDENLIFE</v>
          </cell>
          <cell r="B110">
            <v>1</v>
          </cell>
          <cell r="C110">
            <v>236.9</v>
          </cell>
          <cell r="D110">
            <v>59.23</v>
          </cell>
          <cell r="E110">
            <v>0</v>
          </cell>
          <cell r="F110">
            <v>0</v>
          </cell>
          <cell r="G110">
            <v>0</v>
          </cell>
          <cell r="H110">
            <v>236.9</v>
          </cell>
          <cell r="I110">
            <v>154.18</v>
          </cell>
          <cell r="J110">
            <v>0</v>
          </cell>
          <cell r="K110">
            <v>82.72</v>
          </cell>
          <cell r="L110">
            <v>34.92</v>
          </cell>
          <cell r="M110">
            <v>0.02</v>
          </cell>
        </row>
        <row r="111">
          <cell r="A111" t="str">
            <v>ANJO TINTAS E SOLVENTES</v>
          </cell>
          <cell r="B111">
            <v>5</v>
          </cell>
          <cell r="C111">
            <v>229.2</v>
          </cell>
          <cell r="D111">
            <v>28.65</v>
          </cell>
          <cell r="E111">
            <v>0</v>
          </cell>
          <cell r="F111">
            <v>0</v>
          </cell>
          <cell r="G111">
            <v>0</v>
          </cell>
          <cell r="H111">
            <v>229.2</v>
          </cell>
          <cell r="I111">
            <v>130.9</v>
          </cell>
          <cell r="J111">
            <v>0</v>
          </cell>
          <cell r="K111">
            <v>98.3</v>
          </cell>
          <cell r="L111">
            <v>42.89</v>
          </cell>
          <cell r="M111">
            <v>0.02</v>
          </cell>
        </row>
        <row r="112">
          <cell r="A112" t="str">
            <v>EXTRALUZ</v>
          </cell>
          <cell r="B112">
            <v>3</v>
          </cell>
          <cell r="C112">
            <v>214.84</v>
          </cell>
          <cell r="D112">
            <v>14.32</v>
          </cell>
          <cell r="E112">
            <v>0</v>
          </cell>
          <cell r="F112">
            <v>0</v>
          </cell>
          <cell r="G112">
            <v>0</v>
          </cell>
          <cell r="H112">
            <v>214.84</v>
          </cell>
          <cell r="I112">
            <v>129.76</v>
          </cell>
          <cell r="J112">
            <v>0</v>
          </cell>
          <cell r="K112">
            <v>85.08</v>
          </cell>
          <cell r="L112">
            <v>39.6</v>
          </cell>
          <cell r="M112">
            <v>0.02</v>
          </cell>
        </row>
        <row r="113">
          <cell r="A113" t="str">
            <v>OSTEN</v>
          </cell>
          <cell r="B113">
            <v>1</v>
          </cell>
          <cell r="C113">
            <v>199.5</v>
          </cell>
          <cell r="D113">
            <v>39.9</v>
          </cell>
          <cell r="E113">
            <v>0</v>
          </cell>
          <cell r="F113">
            <v>0</v>
          </cell>
          <cell r="G113">
            <v>0</v>
          </cell>
          <cell r="H113">
            <v>199.5</v>
          </cell>
          <cell r="I113">
            <v>116.13</v>
          </cell>
          <cell r="J113">
            <v>0</v>
          </cell>
          <cell r="K113">
            <v>83.37</v>
          </cell>
          <cell r="L113">
            <v>41.79</v>
          </cell>
          <cell r="M113">
            <v>0.02</v>
          </cell>
        </row>
        <row r="114">
          <cell r="A114" t="str">
            <v>TRAMONTINA ELETRIK S.A.</v>
          </cell>
          <cell r="B114">
            <v>4</v>
          </cell>
          <cell r="C114">
            <v>175.49</v>
          </cell>
          <cell r="D114">
            <v>14.62</v>
          </cell>
          <cell r="E114">
            <v>0</v>
          </cell>
          <cell r="F114">
            <v>0</v>
          </cell>
          <cell r="G114">
            <v>27.8</v>
          </cell>
          <cell r="H114">
            <v>147.69</v>
          </cell>
          <cell r="I114">
            <v>111.81</v>
          </cell>
          <cell r="J114">
            <v>17.920000000000002</v>
          </cell>
          <cell r="K114">
            <v>53.8</v>
          </cell>
          <cell r="L114">
            <v>34.14</v>
          </cell>
          <cell r="M114">
            <v>0.01</v>
          </cell>
        </row>
        <row r="115">
          <cell r="A115" t="str">
            <v>INCA</v>
          </cell>
          <cell r="B115">
            <v>5</v>
          </cell>
          <cell r="C115">
            <v>168.25</v>
          </cell>
          <cell r="D115">
            <v>2.76</v>
          </cell>
          <cell r="E115">
            <v>0</v>
          </cell>
          <cell r="F115">
            <v>0</v>
          </cell>
          <cell r="G115">
            <v>0</v>
          </cell>
          <cell r="H115">
            <v>168.25</v>
          </cell>
          <cell r="I115">
            <v>86.89</v>
          </cell>
          <cell r="J115">
            <v>0</v>
          </cell>
          <cell r="K115">
            <v>81.36</v>
          </cell>
          <cell r="L115">
            <v>48.36</v>
          </cell>
          <cell r="M115">
            <v>0.01</v>
          </cell>
        </row>
        <row r="116">
          <cell r="A116" t="str">
            <v>EMPLAC</v>
          </cell>
          <cell r="B116">
            <v>4</v>
          </cell>
          <cell r="C116">
            <v>118.1</v>
          </cell>
          <cell r="D116">
            <v>9.08</v>
          </cell>
          <cell r="E116">
            <v>0</v>
          </cell>
          <cell r="F116">
            <v>0</v>
          </cell>
          <cell r="G116">
            <v>0</v>
          </cell>
          <cell r="H116">
            <v>118.1</v>
          </cell>
          <cell r="I116">
            <v>55.25</v>
          </cell>
          <cell r="J116">
            <v>0</v>
          </cell>
          <cell r="K116">
            <v>62.85</v>
          </cell>
          <cell r="L116">
            <v>53.22</v>
          </cell>
          <cell r="M116">
            <v>0.01</v>
          </cell>
        </row>
        <row r="117">
          <cell r="A117" t="str">
            <v>DUDA</v>
          </cell>
          <cell r="B117">
            <v>2</v>
          </cell>
          <cell r="C117">
            <v>106.2</v>
          </cell>
          <cell r="D117">
            <v>35.4</v>
          </cell>
          <cell r="E117">
            <v>0</v>
          </cell>
          <cell r="F117">
            <v>0</v>
          </cell>
          <cell r="G117">
            <v>0</v>
          </cell>
          <cell r="H117">
            <v>106.2</v>
          </cell>
          <cell r="I117">
            <v>58.21</v>
          </cell>
          <cell r="J117">
            <v>0</v>
          </cell>
          <cell r="K117">
            <v>47.99</v>
          </cell>
          <cell r="L117">
            <v>45.19</v>
          </cell>
          <cell r="M117">
            <v>0.01</v>
          </cell>
        </row>
        <row r="118">
          <cell r="A118" t="str">
            <v>KAPAZI</v>
          </cell>
          <cell r="B118">
            <v>1</v>
          </cell>
          <cell r="C118">
            <v>56.16</v>
          </cell>
          <cell r="D118">
            <v>56.16</v>
          </cell>
          <cell r="E118">
            <v>0</v>
          </cell>
          <cell r="F118">
            <v>0</v>
          </cell>
          <cell r="G118">
            <v>0</v>
          </cell>
          <cell r="H118">
            <v>56.16</v>
          </cell>
          <cell r="I118">
            <v>37.33</v>
          </cell>
          <cell r="J118">
            <v>0</v>
          </cell>
          <cell r="K118">
            <v>18.829999999999998</v>
          </cell>
          <cell r="L118">
            <v>33.53</v>
          </cell>
          <cell r="M118">
            <v>0</v>
          </cell>
        </row>
        <row r="119">
          <cell r="A119" t="str">
            <v xml:space="preserve"> RESISWAL</v>
          </cell>
          <cell r="B119">
            <v>1</v>
          </cell>
          <cell r="C119">
            <v>38.9</v>
          </cell>
          <cell r="D119">
            <v>38.9</v>
          </cell>
          <cell r="E119">
            <v>0</v>
          </cell>
          <cell r="F119">
            <v>0</v>
          </cell>
          <cell r="G119">
            <v>0</v>
          </cell>
          <cell r="H119">
            <v>38.9</v>
          </cell>
          <cell r="I119">
            <v>21.54</v>
          </cell>
          <cell r="J119">
            <v>0</v>
          </cell>
          <cell r="K119">
            <v>17.36</v>
          </cell>
          <cell r="L119">
            <v>44.63</v>
          </cell>
          <cell r="M119">
            <v>0</v>
          </cell>
        </row>
        <row r="120">
          <cell r="A120" t="str">
            <v>GDN</v>
          </cell>
          <cell r="B120">
            <v>1</v>
          </cell>
          <cell r="C120">
            <v>35.9</v>
          </cell>
          <cell r="D120">
            <v>35.9</v>
          </cell>
          <cell r="E120">
            <v>0</v>
          </cell>
          <cell r="F120">
            <v>0</v>
          </cell>
          <cell r="G120">
            <v>0</v>
          </cell>
          <cell r="H120">
            <v>35.9</v>
          </cell>
          <cell r="I120">
            <v>21.37</v>
          </cell>
          <cell r="J120">
            <v>0</v>
          </cell>
          <cell r="K120">
            <v>14.53</v>
          </cell>
          <cell r="L120">
            <v>40.47</v>
          </cell>
          <cell r="M120">
            <v>0</v>
          </cell>
        </row>
        <row r="121">
          <cell r="A121" t="str">
            <v>DISTAC</v>
          </cell>
          <cell r="B121">
            <v>2</v>
          </cell>
          <cell r="C121">
            <v>12.5</v>
          </cell>
          <cell r="D121">
            <v>2.08</v>
          </cell>
          <cell r="E121">
            <v>0</v>
          </cell>
          <cell r="F121">
            <v>0</v>
          </cell>
          <cell r="G121">
            <v>8.1999999999999993</v>
          </cell>
          <cell r="H121">
            <v>4.3</v>
          </cell>
          <cell r="I121">
            <v>21.23</v>
          </cell>
          <cell r="J121">
            <v>4.05</v>
          </cell>
          <cell r="K121">
            <v>-12.88</v>
          </cell>
          <cell r="L121">
            <v>0</v>
          </cell>
          <cell r="M121">
            <v>0</v>
          </cell>
        </row>
        <row r="122">
          <cell r="A122" t="str">
            <v>outros</v>
          </cell>
          <cell r="B122">
            <v>0</v>
          </cell>
          <cell r="C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FEV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110</v>
          </cell>
          <cell r="C2">
            <v>124626.6551</v>
          </cell>
          <cell r="D2">
            <v>32.26</v>
          </cell>
          <cell r="E2">
            <v>0</v>
          </cell>
          <cell r="F2">
            <v>0</v>
          </cell>
          <cell r="G2">
            <v>1231.46</v>
          </cell>
          <cell r="H2">
            <v>123395.1951</v>
          </cell>
          <cell r="I2">
            <v>81275.930600000007</v>
          </cell>
          <cell r="J2">
            <v>820.32119999999998</v>
          </cell>
          <cell r="K2">
            <v>42939.585700000003</v>
          </cell>
          <cell r="L2">
            <v>34.68</v>
          </cell>
          <cell r="M2">
            <v>12.48</v>
          </cell>
        </row>
        <row r="3">
          <cell r="A3" t="str">
            <v>ARIELLE</v>
          </cell>
          <cell r="B3">
            <v>85</v>
          </cell>
          <cell r="C3">
            <v>72997.796000000002</v>
          </cell>
          <cell r="D3">
            <v>28.02</v>
          </cell>
          <cell r="E3">
            <v>0</v>
          </cell>
          <cell r="F3">
            <v>0</v>
          </cell>
          <cell r="G3">
            <v>7965.8388000000004</v>
          </cell>
          <cell r="H3">
            <v>65031.957199999997</v>
          </cell>
          <cell r="I3">
            <v>44134.7376</v>
          </cell>
          <cell r="J3">
            <v>4286.6643999999997</v>
          </cell>
          <cell r="K3">
            <v>25183.883999999998</v>
          </cell>
          <cell r="L3">
            <v>36.65</v>
          </cell>
          <cell r="M3">
            <v>7.31</v>
          </cell>
        </row>
        <row r="4">
          <cell r="A4" t="str">
            <v>IQUINE</v>
          </cell>
          <cell r="B4">
            <v>57</v>
          </cell>
          <cell r="C4">
            <v>71370.645999999993</v>
          </cell>
          <cell r="D4">
            <v>25.07</v>
          </cell>
          <cell r="E4">
            <v>0</v>
          </cell>
          <cell r="F4">
            <v>0</v>
          </cell>
          <cell r="G4">
            <v>1362.47</v>
          </cell>
          <cell r="H4">
            <v>70008.176000000007</v>
          </cell>
          <cell r="I4">
            <v>42139.125200000002</v>
          </cell>
          <cell r="J4">
            <v>799.38199999999995</v>
          </cell>
          <cell r="K4">
            <v>28668.432799999999</v>
          </cell>
          <cell r="L4">
            <v>40.619999999999997</v>
          </cell>
          <cell r="M4">
            <v>7.15</v>
          </cell>
        </row>
        <row r="5">
          <cell r="A5" t="str">
            <v>POINTER</v>
          </cell>
          <cell r="B5">
            <v>60</v>
          </cell>
          <cell r="C5">
            <v>63627.485699999997</v>
          </cell>
          <cell r="D5">
            <v>32.53</v>
          </cell>
          <cell r="E5">
            <v>0</v>
          </cell>
          <cell r="F5">
            <v>0</v>
          </cell>
          <cell r="G5">
            <v>2593.6084999999998</v>
          </cell>
          <cell r="H5">
            <v>61033.877200000003</v>
          </cell>
          <cell r="I5">
            <v>41357.164700000001</v>
          </cell>
          <cell r="J5">
            <v>1517.4871000000001</v>
          </cell>
          <cell r="K5">
            <v>21194.1996</v>
          </cell>
          <cell r="L5">
            <v>34.119999999999997</v>
          </cell>
          <cell r="M5">
            <v>6.37</v>
          </cell>
        </row>
        <row r="6">
          <cell r="A6" t="str">
            <v>DO MESTRE</v>
          </cell>
          <cell r="B6">
            <v>140</v>
          </cell>
          <cell r="C6">
            <v>53468.14</v>
          </cell>
          <cell r="D6">
            <v>20.97</v>
          </cell>
          <cell r="E6">
            <v>0</v>
          </cell>
          <cell r="F6">
            <v>0</v>
          </cell>
          <cell r="G6">
            <v>1098.3</v>
          </cell>
          <cell r="H6">
            <v>52369.84</v>
          </cell>
          <cell r="I6">
            <v>34545.25</v>
          </cell>
          <cell r="J6">
            <v>718.23</v>
          </cell>
          <cell r="K6">
            <v>18542.82</v>
          </cell>
          <cell r="L6">
            <v>35.15</v>
          </cell>
          <cell r="M6">
            <v>5.35</v>
          </cell>
        </row>
        <row r="7">
          <cell r="A7" t="str">
            <v>WEBER QUARTZOLIT</v>
          </cell>
          <cell r="B7">
            <v>130</v>
          </cell>
          <cell r="C7">
            <v>50354.47</v>
          </cell>
          <cell r="D7">
            <v>26.76</v>
          </cell>
          <cell r="E7">
            <v>0</v>
          </cell>
          <cell r="F7">
            <v>0</v>
          </cell>
          <cell r="G7">
            <v>762.1</v>
          </cell>
          <cell r="H7">
            <v>49592.37</v>
          </cell>
          <cell r="I7">
            <v>33261.64</v>
          </cell>
          <cell r="J7">
            <v>477.41</v>
          </cell>
          <cell r="K7">
            <v>16808.14</v>
          </cell>
          <cell r="L7">
            <v>33.700000000000003</v>
          </cell>
          <cell r="M7">
            <v>5.04</v>
          </cell>
        </row>
        <row r="8">
          <cell r="A8" t="str">
            <v>MEGAÓ</v>
          </cell>
          <cell r="B8">
            <v>35</v>
          </cell>
          <cell r="C8">
            <v>42558.78</v>
          </cell>
          <cell r="D8">
            <v>57.05</v>
          </cell>
          <cell r="E8">
            <v>0</v>
          </cell>
          <cell r="F8">
            <v>0</v>
          </cell>
          <cell r="G8">
            <v>533.1</v>
          </cell>
          <cell r="H8">
            <v>42025.68</v>
          </cell>
          <cell r="I8">
            <v>29293.19</v>
          </cell>
          <cell r="J8">
            <v>364.11</v>
          </cell>
          <cell r="K8">
            <v>13096.6</v>
          </cell>
          <cell r="L8">
            <v>31.04</v>
          </cell>
          <cell r="M8">
            <v>4.26</v>
          </cell>
        </row>
        <row r="9">
          <cell r="A9" t="str">
            <v>CASALIT</v>
          </cell>
          <cell r="B9">
            <v>34</v>
          </cell>
          <cell r="C9">
            <v>41230.49</v>
          </cell>
          <cell r="D9">
            <v>62.38</v>
          </cell>
          <cell r="E9">
            <v>0</v>
          </cell>
          <cell r="F9">
            <v>0</v>
          </cell>
          <cell r="G9">
            <v>244.04</v>
          </cell>
          <cell r="H9">
            <v>40986.449999999997</v>
          </cell>
          <cell r="I9">
            <v>35866.74</v>
          </cell>
          <cell r="J9">
            <v>216.72</v>
          </cell>
          <cell r="K9">
            <v>5336.43</v>
          </cell>
          <cell r="L9">
            <v>13.01</v>
          </cell>
          <cell r="M9">
            <v>4.13</v>
          </cell>
        </row>
        <row r="10">
          <cell r="A10" t="str">
            <v>ROCA</v>
          </cell>
          <cell r="B10">
            <v>57</v>
          </cell>
          <cell r="C10">
            <v>34448.730000000003</v>
          </cell>
          <cell r="D10">
            <v>137.79</v>
          </cell>
          <cell r="E10">
            <v>0</v>
          </cell>
          <cell r="F10">
            <v>0</v>
          </cell>
          <cell r="G10">
            <v>163.4</v>
          </cell>
          <cell r="H10">
            <v>34285.33</v>
          </cell>
          <cell r="I10">
            <v>21560.35</v>
          </cell>
          <cell r="J10">
            <v>77</v>
          </cell>
          <cell r="K10">
            <v>12801.98</v>
          </cell>
          <cell r="L10">
            <v>37.25</v>
          </cell>
          <cell r="M10">
            <v>3.45</v>
          </cell>
        </row>
        <row r="11">
          <cell r="A11" t="str">
            <v>PORTO RICO</v>
          </cell>
          <cell r="B11">
            <v>39</v>
          </cell>
          <cell r="C11">
            <v>31905.360000000001</v>
          </cell>
          <cell r="D11">
            <v>26.68</v>
          </cell>
          <cell r="E11">
            <v>0</v>
          </cell>
          <cell r="F11">
            <v>0</v>
          </cell>
          <cell r="G11">
            <v>558</v>
          </cell>
          <cell r="H11">
            <v>31347.360000000001</v>
          </cell>
          <cell r="I11">
            <v>19737.38</v>
          </cell>
          <cell r="J11">
            <v>325.60000000000002</v>
          </cell>
          <cell r="K11">
            <v>11935.58</v>
          </cell>
          <cell r="L11">
            <v>37.799999999999997</v>
          </cell>
          <cell r="M11">
            <v>3.19</v>
          </cell>
        </row>
        <row r="12">
          <cell r="A12" t="str">
            <v>QUALITY</v>
          </cell>
          <cell r="B12">
            <v>43</v>
          </cell>
          <cell r="C12">
            <v>31450.720000000001</v>
          </cell>
          <cell r="D12">
            <v>216.9</v>
          </cell>
          <cell r="E12">
            <v>0</v>
          </cell>
          <cell r="F12">
            <v>0</v>
          </cell>
          <cell r="G12">
            <v>1517.11</v>
          </cell>
          <cell r="H12">
            <v>29933.61</v>
          </cell>
          <cell r="I12">
            <v>19250.28</v>
          </cell>
          <cell r="J12">
            <v>931.04</v>
          </cell>
          <cell r="K12">
            <v>11614.37</v>
          </cell>
          <cell r="L12">
            <v>38.06</v>
          </cell>
          <cell r="M12">
            <v>3.15</v>
          </cell>
        </row>
        <row r="13">
          <cell r="A13" t="str">
            <v>KRONA</v>
          </cell>
          <cell r="B13">
            <v>69</v>
          </cell>
          <cell r="C13">
            <v>21541.89</v>
          </cell>
          <cell r="D13">
            <v>6.94</v>
          </cell>
          <cell r="E13">
            <v>0</v>
          </cell>
          <cell r="F13">
            <v>0</v>
          </cell>
          <cell r="G13">
            <v>458.45</v>
          </cell>
          <cell r="H13">
            <v>21083.439999999999</v>
          </cell>
          <cell r="I13">
            <v>12211.17</v>
          </cell>
          <cell r="J13">
            <v>262.25</v>
          </cell>
          <cell r="K13">
            <v>9134.52</v>
          </cell>
          <cell r="L13">
            <v>42.93</v>
          </cell>
          <cell r="M13">
            <v>2.16</v>
          </cell>
        </row>
        <row r="14">
          <cell r="A14" t="str">
            <v>FORTLEV</v>
          </cell>
          <cell r="B14">
            <v>31</v>
          </cell>
          <cell r="C14">
            <v>20908.599999999999</v>
          </cell>
          <cell r="D14">
            <v>271.54000000000002</v>
          </cell>
          <cell r="E14">
            <v>0</v>
          </cell>
          <cell r="F14">
            <v>0</v>
          </cell>
          <cell r="G14">
            <v>398</v>
          </cell>
          <cell r="H14">
            <v>20510.599999999999</v>
          </cell>
          <cell r="I14">
            <v>15471.61</v>
          </cell>
          <cell r="J14">
            <v>335.8</v>
          </cell>
          <cell r="K14">
            <v>5374.79</v>
          </cell>
          <cell r="L14">
            <v>26.13</v>
          </cell>
          <cell r="M14">
            <v>2.09</v>
          </cell>
        </row>
        <row r="15">
          <cell r="A15" t="str">
            <v>PAMESA</v>
          </cell>
          <cell r="B15">
            <v>17</v>
          </cell>
          <cell r="C15">
            <v>19427.882000000001</v>
          </cell>
          <cell r="D15">
            <v>36.76</v>
          </cell>
          <cell r="E15">
            <v>0</v>
          </cell>
          <cell r="F15">
            <v>0</v>
          </cell>
          <cell r="G15">
            <v>0</v>
          </cell>
          <cell r="H15">
            <v>19427.882000000001</v>
          </cell>
          <cell r="I15">
            <v>12568.119000000001</v>
          </cell>
          <cell r="J15">
            <v>0</v>
          </cell>
          <cell r="K15">
            <v>6859.7629999999999</v>
          </cell>
          <cell r="L15">
            <v>35.31</v>
          </cell>
          <cell r="M15">
            <v>1.95</v>
          </cell>
        </row>
        <row r="16">
          <cell r="A16" t="str">
            <v>REALLE</v>
          </cell>
          <cell r="B16">
            <v>17</v>
          </cell>
          <cell r="C16">
            <v>16851.0524</v>
          </cell>
          <cell r="D16">
            <v>29.94</v>
          </cell>
          <cell r="E16">
            <v>0</v>
          </cell>
          <cell r="F16">
            <v>0</v>
          </cell>
          <cell r="G16">
            <v>0</v>
          </cell>
          <cell r="H16">
            <v>16851.0524</v>
          </cell>
          <cell r="I16">
            <v>11794.166999999999</v>
          </cell>
          <cell r="J16">
            <v>0</v>
          </cell>
          <cell r="K16">
            <v>5056.8854000000001</v>
          </cell>
          <cell r="L16">
            <v>30.01</v>
          </cell>
          <cell r="M16">
            <v>1.69</v>
          </cell>
        </row>
        <row r="17">
          <cell r="A17" t="str">
            <v>COBRECOM</v>
          </cell>
          <cell r="B17">
            <v>11</v>
          </cell>
          <cell r="C17">
            <v>15692.89</v>
          </cell>
          <cell r="D17">
            <v>141.38</v>
          </cell>
          <cell r="E17">
            <v>0</v>
          </cell>
          <cell r="F17">
            <v>0</v>
          </cell>
          <cell r="G17">
            <v>239.8</v>
          </cell>
          <cell r="H17">
            <v>15453.09</v>
          </cell>
          <cell r="I17">
            <v>10994.72</v>
          </cell>
          <cell r="J17">
            <v>160.19</v>
          </cell>
          <cell r="K17">
            <v>4618.5600000000004</v>
          </cell>
          <cell r="L17">
            <v>29.73</v>
          </cell>
          <cell r="M17">
            <v>1.57</v>
          </cell>
        </row>
        <row r="18">
          <cell r="A18" t="str">
            <v>ATLAS</v>
          </cell>
          <cell r="B18">
            <v>41</v>
          </cell>
          <cell r="C18">
            <v>13880.89</v>
          </cell>
          <cell r="D18">
            <v>14.5</v>
          </cell>
          <cell r="E18">
            <v>0</v>
          </cell>
          <cell r="F18">
            <v>0</v>
          </cell>
          <cell r="G18">
            <v>49.6</v>
          </cell>
          <cell r="H18">
            <v>13831.29</v>
          </cell>
          <cell r="I18">
            <v>7540.25</v>
          </cell>
          <cell r="J18">
            <v>28.06</v>
          </cell>
          <cell r="K18">
            <v>6319.1</v>
          </cell>
          <cell r="L18">
            <v>45.62</v>
          </cell>
          <cell r="M18">
            <v>1.39</v>
          </cell>
        </row>
        <row r="19">
          <cell r="A19" t="str">
            <v>ETERNIT</v>
          </cell>
          <cell r="B19">
            <v>14</v>
          </cell>
          <cell r="C19">
            <v>12358.46</v>
          </cell>
          <cell r="D19">
            <v>45.1</v>
          </cell>
          <cell r="E19">
            <v>0</v>
          </cell>
          <cell r="F19">
            <v>0</v>
          </cell>
          <cell r="G19">
            <v>0</v>
          </cell>
          <cell r="H19">
            <v>12358.46</v>
          </cell>
          <cell r="I19">
            <v>9200.32</v>
          </cell>
          <cell r="J19">
            <v>0</v>
          </cell>
          <cell r="K19">
            <v>3158.14</v>
          </cell>
          <cell r="L19">
            <v>25.55</v>
          </cell>
          <cell r="M19">
            <v>1.24</v>
          </cell>
        </row>
        <row r="20">
          <cell r="A20" t="str">
            <v>MEC-TRONIC</v>
          </cell>
          <cell r="B20">
            <v>25</v>
          </cell>
          <cell r="C20">
            <v>12165.25</v>
          </cell>
          <cell r="D20">
            <v>10.97</v>
          </cell>
          <cell r="E20">
            <v>0</v>
          </cell>
          <cell r="F20">
            <v>0</v>
          </cell>
          <cell r="G20">
            <v>189.79</v>
          </cell>
          <cell r="H20">
            <v>11975.46</v>
          </cell>
          <cell r="I20">
            <v>5760.25</v>
          </cell>
          <cell r="J20">
            <v>93.09</v>
          </cell>
          <cell r="K20">
            <v>6308.3</v>
          </cell>
          <cell r="L20">
            <v>52.25</v>
          </cell>
          <cell r="M20">
            <v>1.22</v>
          </cell>
        </row>
        <row r="21">
          <cell r="A21" t="str">
            <v>TECNOGRES</v>
          </cell>
          <cell r="B21">
            <v>12</v>
          </cell>
          <cell r="C21">
            <v>9862.1522000000004</v>
          </cell>
          <cell r="D21">
            <v>58.46</v>
          </cell>
          <cell r="E21">
            <v>0</v>
          </cell>
          <cell r="F21">
            <v>0</v>
          </cell>
          <cell r="G21">
            <v>824.85900000000004</v>
          </cell>
          <cell r="H21">
            <v>9037.2932000000001</v>
          </cell>
          <cell r="I21">
            <v>6572.1184999999996</v>
          </cell>
          <cell r="J21">
            <v>543.5136</v>
          </cell>
          <cell r="K21">
            <v>3008.6882999999998</v>
          </cell>
          <cell r="L21">
            <v>32.29</v>
          </cell>
          <cell r="M21">
            <v>0.99</v>
          </cell>
        </row>
        <row r="22">
          <cell r="A22" t="str">
            <v>NITROLUX</v>
          </cell>
          <cell r="B22">
            <v>20</v>
          </cell>
          <cell r="C22">
            <v>9659.93</v>
          </cell>
          <cell r="D22">
            <v>18.23</v>
          </cell>
          <cell r="E22">
            <v>0</v>
          </cell>
          <cell r="F22">
            <v>0</v>
          </cell>
          <cell r="G22">
            <v>79.7</v>
          </cell>
          <cell r="H22">
            <v>9580.23</v>
          </cell>
          <cell r="I22">
            <v>4666.83</v>
          </cell>
          <cell r="J22">
            <v>38.18</v>
          </cell>
          <cell r="K22">
            <v>4951.58</v>
          </cell>
          <cell r="L22">
            <v>51.46</v>
          </cell>
          <cell r="M22">
            <v>0.97</v>
          </cell>
        </row>
        <row r="23">
          <cell r="A23" t="str">
            <v>AVANT</v>
          </cell>
          <cell r="B23">
            <v>20</v>
          </cell>
          <cell r="C23">
            <v>9614.6299999999992</v>
          </cell>
          <cell r="D23">
            <v>22.68</v>
          </cell>
          <cell r="E23">
            <v>0</v>
          </cell>
          <cell r="F23">
            <v>0</v>
          </cell>
          <cell r="G23">
            <v>164.1</v>
          </cell>
          <cell r="H23">
            <v>9450.5300000000007</v>
          </cell>
          <cell r="I23">
            <v>5082.3500000000004</v>
          </cell>
          <cell r="J23">
            <v>91.78</v>
          </cell>
          <cell r="K23">
            <v>4459.96</v>
          </cell>
          <cell r="L23">
            <v>46.83</v>
          </cell>
          <cell r="M23">
            <v>0.96</v>
          </cell>
        </row>
        <row r="24">
          <cell r="A24" t="str">
            <v>KDK PORTAS</v>
          </cell>
          <cell r="B24">
            <v>20</v>
          </cell>
          <cell r="C24">
            <v>9584.4</v>
          </cell>
          <cell r="D24">
            <v>159.74</v>
          </cell>
          <cell r="E24">
            <v>0</v>
          </cell>
          <cell r="F24">
            <v>0</v>
          </cell>
          <cell r="G24">
            <v>630.83000000000004</v>
          </cell>
          <cell r="H24">
            <v>8953.57</v>
          </cell>
          <cell r="I24">
            <v>5814.85</v>
          </cell>
          <cell r="J24">
            <v>372.32</v>
          </cell>
          <cell r="K24">
            <v>3511.04</v>
          </cell>
          <cell r="L24">
            <v>38.11</v>
          </cell>
          <cell r="M24">
            <v>0.96</v>
          </cell>
        </row>
        <row r="25">
          <cell r="A25" t="str">
            <v>GHEL'PLUS</v>
          </cell>
          <cell r="B25">
            <v>14</v>
          </cell>
          <cell r="C25">
            <v>8527.7999999999993</v>
          </cell>
          <cell r="D25">
            <v>116.82</v>
          </cell>
          <cell r="E25">
            <v>0</v>
          </cell>
          <cell r="F25">
            <v>0</v>
          </cell>
          <cell r="G25">
            <v>0</v>
          </cell>
          <cell r="H25">
            <v>8527.7999999999993</v>
          </cell>
          <cell r="I25">
            <v>5245.7</v>
          </cell>
          <cell r="J25">
            <v>0</v>
          </cell>
          <cell r="K25">
            <v>3282.1</v>
          </cell>
          <cell r="L25">
            <v>38.49</v>
          </cell>
          <cell r="M25">
            <v>0.85</v>
          </cell>
        </row>
        <row r="26">
          <cell r="A26" t="str">
            <v>ASTRA</v>
          </cell>
          <cell r="B26">
            <v>32</v>
          </cell>
          <cell r="C26">
            <v>8111.8</v>
          </cell>
          <cell r="D26">
            <v>29.61</v>
          </cell>
          <cell r="E26">
            <v>0</v>
          </cell>
          <cell r="F26">
            <v>0</v>
          </cell>
          <cell r="G26">
            <v>0</v>
          </cell>
          <cell r="H26">
            <v>8111.8</v>
          </cell>
          <cell r="I26">
            <v>4633.82</v>
          </cell>
          <cell r="J26">
            <v>0</v>
          </cell>
          <cell r="K26">
            <v>3477.98</v>
          </cell>
          <cell r="L26">
            <v>42.88</v>
          </cell>
          <cell r="M26">
            <v>0.81</v>
          </cell>
        </row>
        <row r="27">
          <cell r="A27" t="str">
            <v>METAIS LEAO</v>
          </cell>
          <cell r="B27">
            <v>29</v>
          </cell>
          <cell r="C27">
            <v>8099.71</v>
          </cell>
          <cell r="D27">
            <v>68.64</v>
          </cell>
          <cell r="E27">
            <v>0</v>
          </cell>
          <cell r="F27">
            <v>0</v>
          </cell>
          <cell r="G27">
            <v>251.7</v>
          </cell>
          <cell r="H27">
            <v>7848.01</v>
          </cell>
          <cell r="I27">
            <v>4823.09</v>
          </cell>
          <cell r="J27">
            <v>148.33000000000001</v>
          </cell>
          <cell r="K27">
            <v>3173.25</v>
          </cell>
          <cell r="L27">
            <v>39.909999999999997</v>
          </cell>
          <cell r="M27">
            <v>0.81</v>
          </cell>
        </row>
        <row r="28">
          <cell r="A28" t="str">
            <v>BRASILIT</v>
          </cell>
          <cell r="B28">
            <v>12</v>
          </cell>
          <cell r="C28">
            <v>7450.62</v>
          </cell>
          <cell r="D28">
            <v>62.09</v>
          </cell>
          <cell r="E28">
            <v>0</v>
          </cell>
          <cell r="F28">
            <v>0</v>
          </cell>
          <cell r="G28">
            <v>0</v>
          </cell>
          <cell r="H28">
            <v>7450.62</v>
          </cell>
          <cell r="I28">
            <v>5751.24</v>
          </cell>
          <cell r="J28">
            <v>0</v>
          </cell>
          <cell r="K28">
            <v>1699.38</v>
          </cell>
          <cell r="L28">
            <v>22.81</v>
          </cell>
          <cell r="M28">
            <v>0.75</v>
          </cell>
        </row>
        <row r="29">
          <cell r="A29" t="str">
            <v>INTECH MACHINE</v>
          </cell>
          <cell r="B29">
            <v>10</v>
          </cell>
          <cell r="C29">
            <v>7221.7</v>
          </cell>
          <cell r="D29">
            <v>190.04</v>
          </cell>
          <cell r="E29">
            <v>0</v>
          </cell>
          <cell r="F29">
            <v>0</v>
          </cell>
          <cell r="G29">
            <v>0</v>
          </cell>
          <cell r="H29">
            <v>7221.7</v>
          </cell>
          <cell r="I29">
            <v>4519.3500000000004</v>
          </cell>
          <cell r="J29">
            <v>0</v>
          </cell>
          <cell r="K29">
            <v>2702.35</v>
          </cell>
          <cell r="L29">
            <v>37.42</v>
          </cell>
          <cell r="M29">
            <v>0.72</v>
          </cell>
        </row>
        <row r="30">
          <cell r="A30" t="str">
            <v>BLACK DECKER</v>
          </cell>
          <cell r="B30">
            <v>12</v>
          </cell>
          <cell r="C30">
            <v>6736.5</v>
          </cell>
          <cell r="D30">
            <v>47.44</v>
          </cell>
          <cell r="E30">
            <v>0</v>
          </cell>
          <cell r="F30">
            <v>0</v>
          </cell>
          <cell r="G30">
            <v>139.69999999999999</v>
          </cell>
          <cell r="H30">
            <v>6596.8</v>
          </cell>
          <cell r="I30">
            <v>4057.08</v>
          </cell>
          <cell r="J30">
            <v>79.73</v>
          </cell>
          <cell r="K30">
            <v>2619.4499999999998</v>
          </cell>
          <cell r="L30">
            <v>39.35</v>
          </cell>
          <cell r="M30">
            <v>0.67</v>
          </cell>
        </row>
        <row r="31">
          <cell r="A31" t="str">
            <v>ELIZABETH PORC.</v>
          </cell>
          <cell r="B31">
            <v>5</v>
          </cell>
          <cell r="C31">
            <v>6579.6610000000001</v>
          </cell>
          <cell r="D31">
            <v>32.67</v>
          </cell>
          <cell r="E31">
            <v>0</v>
          </cell>
          <cell r="F31">
            <v>0</v>
          </cell>
          <cell r="G31">
            <v>738.53</v>
          </cell>
          <cell r="H31">
            <v>5841.1310000000003</v>
          </cell>
          <cell r="I31">
            <v>4453.3933999999999</v>
          </cell>
          <cell r="J31">
            <v>516.23</v>
          </cell>
          <cell r="K31">
            <v>1903.9675999999999</v>
          </cell>
          <cell r="L31">
            <v>31.4</v>
          </cell>
          <cell r="M31">
            <v>0.66</v>
          </cell>
        </row>
        <row r="32">
          <cell r="A32" t="str">
            <v>SILVANA</v>
          </cell>
          <cell r="B32">
            <v>25</v>
          </cell>
          <cell r="C32">
            <v>6547.22</v>
          </cell>
          <cell r="D32">
            <v>20.399999999999999</v>
          </cell>
          <cell r="E32">
            <v>0</v>
          </cell>
          <cell r="F32">
            <v>0</v>
          </cell>
          <cell r="G32">
            <v>52.4</v>
          </cell>
          <cell r="H32">
            <v>6494.82</v>
          </cell>
          <cell r="I32">
            <v>3807.28</v>
          </cell>
          <cell r="J32">
            <v>26.87</v>
          </cell>
          <cell r="K32">
            <v>2714.41</v>
          </cell>
          <cell r="L32">
            <v>41.63</v>
          </cell>
          <cell r="M32">
            <v>0.66</v>
          </cell>
        </row>
        <row r="33">
          <cell r="A33" t="str">
            <v>GRANPLAST</v>
          </cell>
          <cell r="B33">
            <v>21</v>
          </cell>
          <cell r="C33">
            <v>6201.12</v>
          </cell>
          <cell r="D33">
            <v>15.7</v>
          </cell>
          <cell r="E33">
            <v>0</v>
          </cell>
          <cell r="F33">
            <v>0</v>
          </cell>
          <cell r="G33">
            <v>63.8</v>
          </cell>
          <cell r="H33">
            <v>6137.32</v>
          </cell>
          <cell r="I33">
            <v>3375.52</v>
          </cell>
          <cell r="J33">
            <v>35.54</v>
          </cell>
          <cell r="K33">
            <v>2797.34</v>
          </cell>
          <cell r="L33">
            <v>45.37</v>
          </cell>
          <cell r="M33">
            <v>0.62</v>
          </cell>
        </row>
        <row r="34">
          <cell r="A34" t="str">
            <v>VIQUA</v>
          </cell>
          <cell r="B34">
            <v>26</v>
          </cell>
          <cell r="C34">
            <v>6182.1</v>
          </cell>
          <cell r="D34">
            <v>38.64</v>
          </cell>
          <cell r="E34">
            <v>0</v>
          </cell>
          <cell r="F34">
            <v>0</v>
          </cell>
          <cell r="G34">
            <v>173.6</v>
          </cell>
          <cell r="H34">
            <v>6008.5</v>
          </cell>
          <cell r="I34">
            <v>3678.91</v>
          </cell>
          <cell r="J34">
            <v>102.83</v>
          </cell>
          <cell r="K34">
            <v>2432.42</v>
          </cell>
          <cell r="L34">
            <v>40.01</v>
          </cell>
          <cell r="M34">
            <v>0.62</v>
          </cell>
        </row>
        <row r="35">
          <cell r="A35" t="str">
            <v>LORENZETTI</v>
          </cell>
          <cell r="B35">
            <v>16</v>
          </cell>
          <cell r="C35">
            <v>5668.27</v>
          </cell>
          <cell r="D35">
            <v>71.75</v>
          </cell>
          <cell r="E35">
            <v>0</v>
          </cell>
          <cell r="F35">
            <v>0</v>
          </cell>
          <cell r="G35">
            <v>0</v>
          </cell>
          <cell r="H35">
            <v>5668.27</v>
          </cell>
          <cell r="I35">
            <v>3458.84</v>
          </cell>
          <cell r="J35">
            <v>0</v>
          </cell>
          <cell r="K35">
            <v>2209.4299999999998</v>
          </cell>
          <cell r="L35">
            <v>38.979999999999997</v>
          </cell>
          <cell r="M35">
            <v>0.56999999999999995</v>
          </cell>
        </row>
        <row r="36">
          <cell r="A36" t="str">
            <v>BELLA PIA</v>
          </cell>
          <cell r="B36">
            <v>21</v>
          </cell>
          <cell r="C36">
            <v>5521.84</v>
          </cell>
          <cell r="D36">
            <v>190.41</v>
          </cell>
          <cell r="E36">
            <v>0</v>
          </cell>
          <cell r="F36">
            <v>0</v>
          </cell>
          <cell r="G36">
            <v>189.9</v>
          </cell>
          <cell r="H36">
            <v>5331.94</v>
          </cell>
          <cell r="I36">
            <v>3415.9</v>
          </cell>
          <cell r="J36">
            <v>122.09</v>
          </cell>
          <cell r="K36">
            <v>2038.13</v>
          </cell>
          <cell r="L36">
            <v>37.74</v>
          </cell>
          <cell r="M36">
            <v>0.55000000000000004</v>
          </cell>
        </row>
        <row r="37">
          <cell r="A37" t="str">
            <v>DOCOL METAIS</v>
          </cell>
          <cell r="B37">
            <v>20</v>
          </cell>
          <cell r="C37">
            <v>4373.29</v>
          </cell>
          <cell r="D37">
            <v>80.989999999999995</v>
          </cell>
          <cell r="E37">
            <v>0</v>
          </cell>
          <cell r="F37">
            <v>0</v>
          </cell>
          <cell r="G37">
            <v>87.9</v>
          </cell>
          <cell r="H37">
            <v>4285.3900000000003</v>
          </cell>
          <cell r="I37">
            <v>2560.42</v>
          </cell>
          <cell r="J37">
            <v>51.16</v>
          </cell>
          <cell r="K37">
            <v>1776.13</v>
          </cell>
          <cell r="L37">
            <v>41.09</v>
          </cell>
          <cell r="M37">
            <v>0.44</v>
          </cell>
        </row>
        <row r="38">
          <cell r="A38" t="str">
            <v>VEDACIT</v>
          </cell>
          <cell r="B38">
            <v>8</v>
          </cell>
          <cell r="C38">
            <v>4150.72</v>
          </cell>
          <cell r="D38">
            <v>62.89</v>
          </cell>
          <cell r="E38">
            <v>0</v>
          </cell>
          <cell r="F38">
            <v>0</v>
          </cell>
          <cell r="G38">
            <v>0</v>
          </cell>
          <cell r="H38">
            <v>4150.72</v>
          </cell>
          <cell r="I38">
            <v>2267.6999999999998</v>
          </cell>
          <cell r="J38">
            <v>0</v>
          </cell>
          <cell r="K38">
            <v>1883.02</v>
          </cell>
          <cell r="L38">
            <v>45.37</v>
          </cell>
          <cell r="M38">
            <v>0.42</v>
          </cell>
        </row>
        <row r="39">
          <cell r="A39" t="str">
            <v>LEDVANCE</v>
          </cell>
          <cell r="B39">
            <v>14</v>
          </cell>
          <cell r="C39">
            <v>4024.65</v>
          </cell>
          <cell r="D39">
            <v>11.47</v>
          </cell>
          <cell r="E39">
            <v>0</v>
          </cell>
          <cell r="F39">
            <v>0</v>
          </cell>
          <cell r="G39">
            <v>33.799999999999997</v>
          </cell>
          <cell r="H39">
            <v>3990.85</v>
          </cell>
          <cell r="I39">
            <v>2133.52</v>
          </cell>
          <cell r="J39">
            <v>18.170000000000002</v>
          </cell>
          <cell r="K39">
            <v>1875.5</v>
          </cell>
          <cell r="L39">
            <v>46.81</v>
          </cell>
          <cell r="M39">
            <v>0.4</v>
          </cell>
        </row>
        <row r="40">
          <cell r="A40" t="str">
            <v>LUCONI</v>
          </cell>
          <cell r="B40">
            <v>46</v>
          </cell>
          <cell r="C40">
            <v>3999.8</v>
          </cell>
          <cell r="D40">
            <v>12.38</v>
          </cell>
          <cell r="E40">
            <v>0</v>
          </cell>
          <cell r="F40">
            <v>0</v>
          </cell>
          <cell r="G40">
            <v>28.9</v>
          </cell>
          <cell r="H40">
            <v>3970.9</v>
          </cell>
          <cell r="I40">
            <v>1945.4</v>
          </cell>
          <cell r="J40">
            <v>13.46</v>
          </cell>
          <cell r="K40">
            <v>2038.96</v>
          </cell>
          <cell r="L40">
            <v>51.15</v>
          </cell>
          <cell r="M40">
            <v>0.4</v>
          </cell>
        </row>
        <row r="41">
          <cell r="A41" t="str">
            <v>NORTON</v>
          </cell>
          <cell r="B41">
            <v>29</v>
          </cell>
          <cell r="C41">
            <v>3801.36</v>
          </cell>
          <cell r="D41">
            <v>3.52</v>
          </cell>
          <cell r="E41">
            <v>0</v>
          </cell>
          <cell r="F41">
            <v>0</v>
          </cell>
          <cell r="G41">
            <v>29.15</v>
          </cell>
          <cell r="H41">
            <v>3772.21</v>
          </cell>
          <cell r="I41">
            <v>1891.37</v>
          </cell>
          <cell r="J41">
            <v>13.17</v>
          </cell>
          <cell r="K41">
            <v>1894.01</v>
          </cell>
          <cell r="L41">
            <v>50</v>
          </cell>
          <cell r="M41">
            <v>0.38</v>
          </cell>
        </row>
        <row r="42">
          <cell r="A42" t="str">
            <v>PULVITEC</v>
          </cell>
          <cell r="B42">
            <v>46</v>
          </cell>
          <cell r="C42">
            <v>3659.96</v>
          </cell>
          <cell r="D42">
            <v>8.57</v>
          </cell>
          <cell r="E42">
            <v>0</v>
          </cell>
          <cell r="F42">
            <v>0</v>
          </cell>
          <cell r="G42">
            <v>10.9</v>
          </cell>
          <cell r="H42">
            <v>3649.06</v>
          </cell>
          <cell r="I42">
            <v>1721.24</v>
          </cell>
          <cell r="J42">
            <v>4.79</v>
          </cell>
          <cell r="K42">
            <v>1932.61</v>
          </cell>
          <cell r="L42">
            <v>52.87</v>
          </cell>
          <cell r="M42">
            <v>0.37</v>
          </cell>
        </row>
        <row r="43">
          <cell r="A43" t="str">
            <v>ARAFORROS</v>
          </cell>
          <cell r="B43">
            <v>15</v>
          </cell>
          <cell r="C43">
            <v>3654.1</v>
          </cell>
          <cell r="D43">
            <v>146.16</v>
          </cell>
          <cell r="E43">
            <v>0</v>
          </cell>
          <cell r="F43">
            <v>0</v>
          </cell>
          <cell r="G43">
            <v>339.8</v>
          </cell>
          <cell r="H43">
            <v>3314.3</v>
          </cell>
          <cell r="I43">
            <v>2118.0300000000002</v>
          </cell>
          <cell r="J43">
            <v>201.39</v>
          </cell>
          <cell r="K43">
            <v>1397.66</v>
          </cell>
          <cell r="L43">
            <v>40.479999999999997</v>
          </cell>
          <cell r="M43">
            <v>0.37</v>
          </cell>
        </row>
        <row r="44">
          <cell r="A44" t="str">
            <v>HERC</v>
          </cell>
          <cell r="B44">
            <v>25</v>
          </cell>
          <cell r="C44">
            <v>3558.26</v>
          </cell>
          <cell r="D44">
            <v>20.22</v>
          </cell>
          <cell r="E44">
            <v>0</v>
          </cell>
          <cell r="F44">
            <v>0</v>
          </cell>
          <cell r="G44">
            <v>22.89</v>
          </cell>
          <cell r="H44">
            <v>3535.37</v>
          </cell>
          <cell r="I44">
            <v>1889.15</v>
          </cell>
          <cell r="J44">
            <v>12.15</v>
          </cell>
          <cell r="K44">
            <v>1658.37</v>
          </cell>
          <cell r="L44">
            <v>46.77</v>
          </cell>
          <cell r="M44">
            <v>0.36</v>
          </cell>
        </row>
        <row r="45">
          <cell r="A45" t="str">
            <v>PRECON</v>
          </cell>
          <cell r="B45">
            <v>4</v>
          </cell>
          <cell r="C45">
            <v>3484.42</v>
          </cell>
          <cell r="D45">
            <v>96.79</v>
          </cell>
          <cell r="E45">
            <v>0</v>
          </cell>
          <cell r="F45">
            <v>0</v>
          </cell>
          <cell r="G45">
            <v>0</v>
          </cell>
          <cell r="H45">
            <v>3484.42</v>
          </cell>
          <cell r="I45">
            <v>2230.34</v>
          </cell>
          <cell r="J45">
            <v>0</v>
          </cell>
          <cell r="K45">
            <v>1254.08</v>
          </cell>
          <cell r="L45">
            <v>35.99</v>
          </cell>
          <cell r="M45">
            <v>0.35</v>
          </cell>
        </row>
        <row r="46">
          <cell r="A46" t="str">
            <v>PLASTMAR IND E COM</v>
          </cell>
          <cell r="B46">
            <v>9</v>
          </cell>
          <cell r="C46">
            <v>3463.52</v>
          </cell>
          <cell r="D46">
            <v>67.91</v>
          </cell>
          <cell r="E46">
            <v>0</v>
          </cell>
          <cell r="F46">
            <v>0</v>
          </cell>
          <cell r="G46">
            <v>0</v>
          </cell>
          <cell r="H46">
            <v>3463.52</v>
          </cell>
          <cell r="I46">
            <v>2031.91</v>
          </cell>
          <cell r="J46">
            <v>0</v>
          </cell>
          <cell r="K46">
            <v>1431.61</v>
          </cell>
          <cell r="L46">
            <v>41.33</v>
          </cell>
          <cell r="M46">
            <v>0.35</v>
          </cell>
        </row>
        <row r="47">
          <cell r="A47" t="str">
            <v>INCESA</v>
          </cell>
          <cell r="B47">
            <v>10</v>
          </cell>
          <cell r="C47">
            <v>3454.5</v>
          </cell>
          <cell r="D47">
            <v>32.9</v>
          </cell>
          <cell r="E47">
            <v>0</v>
          </cell>
          <cell r="F47">
            <v>0</v>
          </cell>
          <cell r="G47">
            <v>0</v>
          </cell>
          <cell r="H47">
            <v>3454.5</v>
          </cell>
          <cell r="I47">
            <v>2564.5250000000001</v>
          </cell>
          <cell r="J47">
            <v>0</v>
          </cell>
          <cell r="K47">
            <v>889.97500000000002</v>
          </cell>
          <cell r="L47">
            <v>25.76</v>
          </cell>
          <cell r="M47">
            <v>0.35</v>
          </cell>
        </row>
        <row r="48">
          <cell r="A48" t="str">
            <v>BRASFORMA</v>
          </cell>
          <cell r="B48">
            <v>6</v>
          </cell>
          <cell r="C48">
            <v>3419.74</v>
          </cell>
          <cell r="D48">
            <v>48.85</v>
          </cell>
          <cell r="E48">
            <v>0</v>
          </cell>
          <cell r="F48">
            <v>0</v>
          </cell>
          <cell r="G48">
            <v>371.5</v>
          </cell>
          <cell r="H48">
            <v>3048.24</v>
          </cell>
          <cell r="I48">
            <v>1929.71</v>
          </cell>
          <cell r="J48">
            <v>207.2</v>
          </cell>
          <cell r="K48">
            <v>1325.73</v>
          </cell>
          <cell r="L48">
            <v>41.27</v>
          </cell>
          <cell r="M48">
            <v>0.34</v>
          </cell>
        </row>
        <row r="49">
          <cell r="A49" t="str">
            <v>PADO</v>
          </cell>
          <cell r="B49">
            <v>8</v>
          </cell>
          <cell r="C49">
            <v>3274.73</v>
          </cell>
          <cell r="D49">
            <v>32.75</v>
          </cell>
          <cell r="E49">
            <v>0</v>
          </cell>
          <cell r="F49">
            <v>0</v>
          </cell>
          <cell r="G49">
            <v>100.9</v>
          </cell>
          <cell r="H49">
            <v>3173.83</v>
          </cell>
          <cell r="I49">
            <v>1949.59</v>
          </cell>
          <cell r="J49">
            <v>61.14</v>
          </cell>
          <cell r="K49">
            <v>1285.3800000000001</v>
          </cell>
          <cell r="L49">
            <v>40</v>
          </cell>
          <cell r="M49">
            <v>0.33</v>
          </cell>
        </row>
        <row r="50">
          <cell r="A50" t="str">
            <v>CORTAG</v>
          </cell>
          <cell r="B50">
            <v>13</v>
          </cell>
          <cell r="C50">
            <v>3173.61</v>
          </cell>
          <cell r="D50">
            <v>27.36</v>
          </cell>
          <cell r="E50">
            <v>0</v>
          </cell>
          <cell r="F50">
            <v>0</v>
          </cell>
          <cell r="G50">
            <v>3.5</v>
          </cell>
          <cell r="H50">
            <v>3170.11</v>
          </cell>
          <cell r="I50">
            <v>2013.95</v>
          </cell>
          <cell r="J50">
            <v>1.93</v>
          </cell>
          <cell r="K50">
            <v>1158.0899999999999</v>
          </cell>
          <cell r="L50">
            <v>36.51</v>
          </cell>
          <cell r="M50">
            <v>0.32</v>
          </cell>
        </row>
        <row r="51">
          <cell r="A51" t="str">
            <v>VONDER</v>
          </cell>
          <cell r="B51">
            <v>6</v>
          </cell>
          <cell r="C51">
            <v>3104.06</v>
          </cell>
          <cell r="D51">
            <v>19.399999999999999</v>
          </cell>
          <cell r="E51">
            <v>0</v>
          </cell>
          <cell r="F51">
            <v>0</v>
          </cell>
          <cell r="G51">
            <v>69</v>
          </cell>
          <cell r="H51">
            <v>3035.06</v>
          </cell>
          <cell r="I51">
            <v>1635.71</v>
          </cell>
          <cell r="J51">
            <v>38.659999999999997</v>
          </cell>
          <cell r="K51">
            <v>1438.01</v>
          </cell>
          <cell r="L51">
            <v>46.91</v>
          </cell>
          <cell r="M51">
            <v>0.31</v>
          </cell>
        </row>
        <row r="52">
          <cell r="A52" t="str">
            <v>LEGRAND</v>
          </cell>
          <cell r="B52">
            <v>13</v>
          </cell>
          <cell r="C52">
            <v>3043.39</v>
          </cell>
          <cell r="D52">
            <v>19.14</v>
          </cell>
          <cell r="E52">
            <v>0</v>
          </cell>
          <cell r="F52">
            <v>0</v>
          </cell>
          <cell r="G52">
            <v>69.3</v>
          </cell>
          <cell r="H52">
            <v>2974.09</v>
          </cell>
          <cell r="I52">
            <v>2046.69</v>
          </cell>
          <cell r="J52">
            <v>41.98</v>
          </cell>
          <cell r="K52">
            <v>969.38</v>
          </cell>
          <cell r="L52">
            <v>32.299999999999997</v>
          </cell>
          <cell r="M52">
            <v>0.3</v>
          </cell>
        </row>
        <row r="53">
          <cell r="A53" t="str">
            <v>MGM</v>
          </cell>
          <cell r="B53">
            <v>6</v>
          </cell>
          <cell r="C53">
            <v>2941.6</v>
          </cell>
          <cell r="D53">
            <v>490.27</v>
          </cell>
          <cell r="E53">
            <v>0</v>
          </cell>
          <cell r="F53">
            <v>0</v>
          </cell>
          <cell r="G53">
            <v>0</v>
          </cell>
          <cell r="H53">
            <v>2941.6</v>
          </cell>
          <cell r="I53">
            <v>1849.66</v>
          </cell>
          <cell r="J53">
            <v>0</v>
          </cell>
          <cell r="K53">
            <v>1091.94</v>
          </cell>
          <cell r="L53">
            <v>37.119999999999997</v>
          </cell>
          <cell r="M53">
            <v>0.28999999999999998</v>
          </cell>
        </row>
        <row r="54">
          <cell r="A54" t="str">
            <v>ANJO QUIMICA DO BRASIL LTDA</v>
          </cell>
          <cell r="B54">
            <v>8</v>
          </cell>
          <cell r="C54">
            <v>2822.43</v>
          </cell>
          <cell r="D54">
            <v>29.4</v>
          </cell>
          <cell r="E54">
            <v>0</v>
          </cell>
          <cell r="F54">
            <v>0</v>
          </cell>
          <cell r="G54">
            <v>0</v>
          </cell>
          <cell r="H54">
            <v>2822.43</v>
          </cell>
          <cell r="I54">
            <v>1694.81</v>
          </cell>
          <cell r="J54">
            <v>0</v>
          </cell>
          <cell r="K54">
            <v>1127.6199999999999</v>
          </cell>
          <cell r="L54">
            <v>39.950000000000003</v>
          </cell>
          <cell r="M54">
            <v>0.28000000000000003</v>
          </cell>
        </row>
        <row r="55">
          <cell r="A55" t="str">
            <v>BLUKIT</v>
          </cell>
          <cell r="B55">
            <v>36</v>
          </cell>
          <cell r="C55">
            <v>2688.78</v>
          </cell>
          <cell r="D55">
            <v>16.3</v>
          </cell>
          <cell r="E55">
            <v>0</v>
          </cell>
          <cell r="F55">
            <v>0</v>
          </cell>
          <cell r="G55">
            <v>0</v>
          </cell>
          <cell r="H55">
            <v>2688.78</v>
          </cell>
          <cell r="I55">
            <v>1594.5</v>
          </cell>
          <cell r="J55">
            <v>0</v>
          </cell>
          <cell r="K55">
            <v>1094.28</v>
          </cell>
          <cell r="L55">
            <v>40.700000000000003</v>
          </cell>
          <cell r="M55">
            <v>0.27</v>
          </cell>
        </row>
        <row r="56">
          <cell r="A56" t="str">
            <v>TRAMONTINA NORDESTE</v>
          </cell>
          <cell r="B56">
            <v>3</v>
          </cell>
          <cell r="C56">
            <v>2308.61</v>
          </cell>
          <cell r="D56">
            <v>85.5</v>
          </cell>
          <cell r="E56">
            <v>0</v>
          </cell>
          <cell r="F56">
            <v>0</v>
          </cell>
          <cell r="G56">
            <v>0</v>
          </cell>
          <cell r="H56">
            <v>2308.61</v>
          </cell>
          <cell r="I56">
            <v>1413.64</v>
          </cell>
          <cell r="J56">
            <v>0</v>
          </cell>
          <cell r="K56">
            <v>894.97</v>
          </cell>
          <cell r="L56">
            <v>38.770000000000003</v>
          </cell>
          <cell r="M56">
            <v>0.23</v>
          </cell>
        </row>
        <row r="57">
          <cell r="A57" t="str">
            <v>MASCOTE</v>
          </cell>
          <cell r="B57">
            <v>18</v>
          </cell>
          <cell r="C57">
            <v>2279.58</v>
          </cell>
          <cell r="D57">
            <v>14.16</v>
          </cell>
          <cell r="E57">
            <v>0</v>
          </cell>
          <cell r="F57">
            <v>0</v>
          </cell>
          <cell r="G57">
            <v>69.5</v>
          </cell>
          <cell r="H57">
            <v>2210.08</v>
          </cell>
          <cell r="I57">
            <v>1250.23</v>
          </cell>
          <cell r="J57">
            <v>41.9</v>
          </cell>
          <cell r="K57">
            <v>1001.75</v>
          </cell>
          <cell r="L57">
            <v>44.77</v>
          </cell>
          <cell r="M57">
            <v>0.23</v>
          </cell>
        </row>
        <row r="58">
          <cell r="A58" t="str">
            <v>EPLAST</v>
          </cell>
          <cell r="B58">
            <v>1</v>
          </cell>
          <cell r="C58">
            <v>2042.6</v>
          </cell>
          <cell r="D58">
            <v>145.9</v>
          </cell>
          <cell r="E58">
            <v>0</v>
          </cell>
          <cell r="F58">
            <v>0</v>
          </cell>
          <cell r="G58">
            <v>0</v>
          </cell>
          <cell r="H58">
            <v>2042.6</v>
          </cell>
          <cell r="I58">
            <v>1046.3599999999999</v>
          </cell>
          <cell r="J58">
            <v>0</v>
          </cell>
          <cell r="K58">
            <v>996.24</v>
          </cell>
          <cell r="L58">
            <v>48.77</v>
          </cell>
          <cell r="M58">
            <v>0.2</v>
          </cell>
        </row>
        <row r="59">
          <cell r="A59" t="str">
            <v>STARRETT INDUSTRIA E COMERCIO</v>
          </cell>
          <cell r="B59">
            <v>10</v>
          </cell>
          <cell r="C59">
            <v>2035.94</v>
          </cell>
          <cell r="D59">
            <v>14.86</v>
          </cell>
          <cell r="E59">
            <v>0</v>
          </cell>
          <cell r="F59">
            <v>0</v>
          </cell>
          <cell r="G59">
            <v>0</v>
          </cell>
          <cell r="H59">
            <v>2035.94</v>
          </cell>
          <cell r="I59">
            <v>1102.3399999999999</v>
          </cell>
          <cell r="J59">
            <v>0</v>
          </cell>
          <cell r="K59">
            <v>933.6</v>
          </cell>
          <cell r="L59">
            <v>45.86</v>
          </cell>
          <cell r="M59">
            <v>0.2</v>
          </cell>
        </row>
        <row r="60">
          <cell r="A60" t="str">
            <v>DUDA</v>
          </cell>
          <cell r="B60">
            <v>5</v>
          </cell>
          <cell r="C60">
            <v>1996.6320000000001</v>
          </cell>
          <cell r="D60">
            <v>33.96</v>
          </cell>
          <cell r="E60">
            <v>0</v>
          </cell>
          <cell r="F60">
            <v>0</v>
          </cell>
          <cell r="G60">
            <v>0</v>
          </cell>
          <cell r="H60">
            <v>1996.6320000000001</v>
          </cell>
          <cell r="I60">
            <v>1136.2840000000001</v>
          </cell>
          <cell r="J60">
            <v>0</v>
          </cell>
          <cell r="K60">
            <v>860.34799999999996</v>
          </cell>
          <cell r="L60">
            <v>43.09</v>
          </cell>
          <cell r="M60">
            <v>0.2</v>
          </cell>
        </row>
        <row r="61">
          <cell r="A61" t="str">
            <v>ADERE</v>
          </cell>
          <cell r="B61">
            <v>10</v>
          </cell>
          <cell r="C61">
            <v>1950.29</v>
          </cell>
          <cell r="D61">
            <v>10.54</v>
          </cell>
          <cell r="E61">
            <v>0</v>
          </cell>
          <cell r="F61">
            <v>0</v>
          </cell>
          <cell r="G61">
            <v>9.9</v>
          </cell>
          <cell r="H61">
            <v>1940.39</v>
          </cell>
          <cell r="I61">
            <v>1136.8800000000001</v>
          </cell>
          <cell r="J61">
            <v>5.92</v>
          </cell>
          <cell r="K61">
            <v>809.43</v>
          </cell>
          <cell r="L61">
            <v>41.63</v>
          </cell>
          <cell r="M61">
            <v>0.2</v>
          </cell>
        </row>
        <row r="62">
          <cell r="A62" t="str">
            <v>BOSCH</v>
          </cell>
          <cell r="B62">
            <v>3</v>
          </cell>
          <cell r="C62">
            <v>1891.3</v>
          </cell>
          <cell r="D62">
            <v>270.19</v>
          </cell>
          <cell r="E62">
            <v>0</v>
          </cell>
          <cell r="F62">
            <v>0</v>
          </cell>
          <cell r="G62">
            <v>0</v>
          </cell>
          <cell r="H62">
            <v>1891.3</v>
          </cell>
          <cell r="I62">
            <v>1213.1199999999999</v>
          </cell>
          <cell r="J62">
            <v>0</v>
          </cell>
          <cell r="K62">
            <v>678.18</v>
          </cell>
          <cell r="L62">
            <v>35.86</v>
          </cell>
          <cell r="M62">
            <v>0.19</v>
          </cell>
        </row>
        <row r="63">
          <cell r="A63" t="str">
            <v>CENSI</v>
          </cell>
          <cell r="B63">
            <v>14</v>
          </cell>
          <cell r="C63">
            <v>1779.8</v>
          </cell>
          <cell r="D63">
            <v>23.73</v>
          </cell>
          <cell r="E63">
            <v>0</v>
          </cell>
          <cell r="F63">
            <v>0</v>
          </cell>
          <cell r="G63">
            <v>0</v>
          </cell>
          <cell r="H63">
            <v>1779.8</v>
          </cell>
          <cell r="I63">
            <v>1040.22</v>
          </cell>
          <cell r="J63">
            <v>0</v>
          </cell>
          <cell r="K63">
            <v>739.58</v>
          </cell>
          <cell r="L63">
            <v>41.55</v>
          </cell>
          <cell r="M63">
            <v>0.18</v>
          </cell>
        </row>
        <row r="64">
          <cell r="A64" t="str">
            <v>PINTSILK</v>
          </cell>
          <cell r="B64">
            <v>8</v>
          </cell>
          <cell r="C64">
            <v>1777.5</v>
          </cell>
          <cell r="D64">
            <v>104.56</v>
          </cell>
          <cell r="E64">
            <v>0</v>
          </cell>
          <cell r="F64">
            <v>0</v>
          </cell>
          <cell r="G64">
            <v>59.9</v>
          </cell>
          <cell r="H64">
            <v>1717.6</v>
          </cell>
          <cell r="I64">
            <v>1002.92</v>
          </cell>
          <cell r="J64">
            <v>36.01</v>
          </cell>
          <cell r="K64">
            <v>750.69</v>
          </cell>
          <cell r="L64">
            <v>43.11</v>
          </cell>
          <cell r="M64">
            <v>0.18</v>
          </cell>
        </row>
        <row r="65">
          <cell r="A65" t="str">
            <v>PRATEFIX</v>
          </cell>
          <cell r="B65">
            <v>7</v>
          </cell>
          <cell r="C65">
            <v>1751.1</v>
          </cell>
          <cell r="D65">
            <v>42.71</v>
          </cell>
          <cell r="E65">
            <v>0</v>
          </cell>
          <cell r="F65">
            <v>0</v>
          </cell>
          <cell r="G65">
            <v>0</v>
          </cell>
          <cell r="H65">
            <v>1751.1</v>
          </cell>
          <cell r="I65">
            <v>916.95</v>
          </cell>
          <cell r="J65">
            <v>0</v>
          </cell>
          <cell r="K65">
            <v>834.15</v>
          </cell>
          <cell r="L65">
            <v>47.64</v>
          </cell>
          <cell r="M65">
            <v>0.18</v>
          </cell>
        </row>
        <row r="66">
          <cell r="A66" t="str">
            <v>MARLUVAS</v>
          </cell>
          <cell r="B66">
            <v>6</v>
          </cell>
          <cell r="C66">
            <v>1719.82</v>
          </cell>
          <cell r="D66">
            <v>71.66</v>
          </cell>
          <cell r="E66">
            <v>0</v>
          </cell>
          <cell r="F66">
            <v>0</v>
          </cell>
          <cell r="G66">
            <v>0</v>
          </cell>
          <cell r="H66">
            <v>1719.82</v>
          </cell>
          <cell r="I66">
            <v>1152.3900000000001</v>
          </cell>
          <cell r="J66">
            <v>0</v>
          </cell>
          <cell r="K66">
            <v>567.42999999999995</v>
          </cell>
          <cell r="L66">
            <v>32.99</v>
          </cell>
          <cell r="M66">
            <v>0.17</v>
          </cell>
        </row>
        <row r="67">
          <cell r="A67" t="str">
            <v>ILUMI</v>
          </cell>
          <cell r="B67">
            <v>11</v>
          </cell>
          <cell r="C67">
            <v>1673.01</v>
          </cell>
          <cell r="D67">
            <v>8.9</v>
          </cell>
          <cell r="E67">
            <v>0</v>
          </cell>
          <cell r="F67">
            <v>0</v>
          </cell>
          <cell r="G67">
            <v>32.1</v>
          </cell>
          <cell r="H67">
            <v>1640.91</v>
          </cell>
          <cell r="I67">
            <v>929.94</v>
          </cell>
          <cell r="J67">
            <v>16.350000000000001</v>
          </cell>
          <cell r="K67">
            <v>727.32</v>
          </cell>
          <cell r="L67">
            <v>43.9</v>
          </cell>
          <cell r="M67">
            <v>0.17</v>
          </cell>
        </row>
        <row r="68">
          <cell r="A68" t="str">
            <v>Momfort</v>
          </cell>
          <cell r="B68">
            <v>8</v>
          </cell>
          <cell r="C68">
            <v>1653.27</v>
          </cell>
          <cell r="D68">
            <v>31.19</v>
          </cell>
          <cell r="E68">
            <v>0</v>
          </cell>
          <cell r="F68">
            <v>0</v>
          </cell>
          <cell r="G68">
            <v>0</v>
          </cell>
          <cell r="H68">
            <v>1653.27</v>
          </cell>
          <cell r="I68">
            <v>889.53</v>
          </cell>
          <cell r="J68">
            <v>0</v>
          </cell>
          <cell r="K68">
            <v>763.74</v>
          </cell>
          <cell r="L68">
            <v>46.2</v>
          </cell>
          <cell r="M68">
            <v>0.17</v>
          </cell>
        </row>
        <row r="69">
          <cell r="A69" t="str">
            <v>EXATRON</v>
          </cell>
          <cell r="B69">
            <v>5</v>
          </cell>
          <cell r="C69">
            <v>1646.99</v>
          </cell>
          <cell r="D69">
            <v>61</v>
          </cell>
          <cell r="E69">
            <v>0</v>
          </cell>
          <cell r="F69">
            <v>0</v>
          </cell>
          <cell r="G69">
            <v>0</v>
          </cell>
          <cell r="H69">
            <v>1646.99</v>
          </cell>
          <cell r="I69">
            <v>937.22</v>
          </cell>
          <cell r="J69">
            <v>0</v>
          </cell>
          <cell r="K69">
            <v>709.77</v>
          </cell>
          <cell r="L69">
            <v>43.09</v>
          </cell>
          <cell r="M69">
            <v>0.16</v>
          </cell>
        </row>
        <row r="70">
          <cell r="A70" t="str">
            <v>STAM</v>
          </cell>
          <cell r="B70">
            <v>4</v>
          </cell>
          <cell r="C70">
            <v>1646.17</v>
          </cell>
          <cell r="D70">
            <v>86.64</v>
          </cell>
          <cell r="E70">
            <v>0</v>
          </cell>
          <cell r="F70">
            <v>0</v>
          </cell>
          <cell r="G70">
            <v>0</v>
          </cell>
          <cell r="H70">
            <v>1646.17</v>
          </cell>
          <cell r="I70">
            <v>897.8</v>
          </cell>
          <cell r="J70">
            <v>0</v>
          </cell>
          <cell r="K70">
            <v>748.37</v>
          </cell>
          <cell r="L70">
            <v>45.46</v>
          </cell>
          <cell r="M70">
            <v>0.16</v>
          </cell>
        </row>
        <row r="71">
          <cell r="A71" t="str">
            <v>BEMFIXA</v>
          </cell>
          <cell r="B71">
            <v>11</v>
          </cell>
          <cell r="C71">
            <v>1594.1</v>
          </cell>
          <cell r="D71">
            <v>10.92</v>
          </cell>
          <cell r="E71">
            <v>0</v>
          </cell>
          <cell r="F71">
            <v>0</v>
          </cell>
          <cell r="G71">
            <v>0</v>
          </cell>
          <cell r="H71">
            <v>1594.1</v>
          </cell>
          <cell r="I71">
            <v>990.44</v>
          </cell>
          <cell r="J71">
            <v>0</v>
          </cell>
          <cell r="K71">
            <v>603.66</v>
          </cell>
          <cell r="L71">
            <v>37.869999999999997</v>
          </cell>
          <cell r="M71">
            <v>0.16</v>
          </cell>
        </row>
        <row r="72">
          <cell r="A72" t="str">
            <v>ALIANÇA</v>
          </cell>
          <cell r="B72">
            <v>4</v>
          </cell>
          <cell r="C72">
            <v>1523.4</v>
          </cell>
          <cell r="D72">
            <v>58.59</v>
          </cell>
          <cell r="E72">
            <v>0</v>
          </cell>
          <cell r="F72">
            <v>0</v>
          </cell>
          <cell r="G72">
            <v>0</v>
          </cell>
          <cell r="H72">
            <v>1523.4</v>
          </cell>
          <cell r="I72">
            <v>946.63</v>
          </cell>
          <cell r="J72">
            <v>0</v>
          </cell>
          <cell r="K72">
            <v>576.77</v>
          </cell>
          <cell r="L72">
            <v>37.86</v>
          </cell>
          <cell r="M72">
            <v>0.15</v>
          </cell>
        </row>
        <row r="73">
          <cell r="A73" t="str">
            <v>BOTAFOGO</v>
          </cell>
          <cell r="B73">
            <v>2</v>
          </cell>
          <cell r="C73">
            <v>1447.9</v>
          </cell>
          <cell r="D73">
            <v>723.95</v>
          </cell>
          <cell r="E73">
            <v>0</v>
          </cell>
          <cell r="F73">
            <v>0</v>
          </cell>
          <cell r="G73">
            <v>0</v>
          </cell>
          <cell r="H73">
            <v>1447.9</v>
          </cell>
          <cell r="I73">
            <v>818.98</v>
          </cell>
          <cell r="J73">
            <v>0</v>
          </cell>
          <cell r="K73">
            <v>628.91999999999996</v>
          </cell>
          <cell r="L73">
            <v>43.44</v>
          </cell>
          <cell r="M73">
            <v>0.14000000000000001</v>
          </cell>
        </row>
        <row r="74">
          <cell r="A74" t="str">
            <v>TOP MIX</v>
          </cell>
          <cell r="B74">
            <v>4</v>
          </cell>
          <cell r="C74">
            <v>1329.08</v>
          </cell>
          <cell r="D74">
            <v>221.51</v>
          </cell>
          <cell r="E74">
            <v>0</v>
          </cell>
          <cell r="F74">
            <v>0</v>
          </cell>
          <cell r="G74">
            <v>109</v>
          </cell>
          <cell r="H74">
            <v>1220.08</v>
          </cell>
          <cell r="I74">
            <v>632.44000000000005</v>
          </cell>
          <cell r="J74">
            <v>47.47</v>
          </cell>
          <cell r="K74">
            <v>635.11</v>
          </cell>
          <cell r="L74">
            <v>49.56</v>
          </cell>
          <cell r="M74">
            <v>0.13</v>
          </cell>
        </row>
        <row r="75">
          <cell r="A75" t="str">
            <v>PRATIMIX</v>
          </cell>
          <cell r="B75">
            <v>12</v>
          </cell>
          <cell r="C75">
            <v>1321.79</v>
          </cell>
          <cell r="D75">
            <v>10.25</v>
          </cell>
          <cell r="E75">
            <v>0</v>
          </cell>
          <cell r="F75">
            <v>0</v>
          </cell>
          <cell r="G75">
            <v>0</v>
          </cell>
          <cell r="H75">
            <v>1321.79</v>
          </cell>
          <cell r="I75">
            <v>731.58</v>
          </cell>
          <cell r="J75">
            <v>0</v>
          </cell>
          <cell r="K75">
            <v>590.21</v>
          </cell>
          <cell r="L75">
            <v>44.65</v>
          </cell>
          <cell r="M75">
            <v>0.13</v>
          </cell>
        </row>
        <row r="76">
          <cell r="A76" t="str">
            <v>BOGNAR</v>
          </cell>
          <cell r="B76">
            <v>11</v>
          </cell>
          <cell r="C76">
            <v>1319.4</v>
          </cell>
          <cell r="D76">
            <v>52.78</v>
          </cell>
          <cell r="E76">
            <v>0</v>
          </cell>
          <cell r="F76">
            <v>0</v>
          </cell>
          <cell r="G76">
            <v>0</v>
          </cell>
          <cell r="H76">
            <v>1319.4</v>
          </cell>
          <cell r="I76">
            <v>803.25</v>
          </cell>
          <cell r="J76">
            <v>0</v>
          </cell>
          <cell r="K76">
            <v>516.15</v>
          </cell>
          <cell r="L76">
            <v>39.119999999999997</v>
          </cell>
          <cell r="M76">
            <v>0.13</v>
          </cell>
        </row>
        <row r="77">
          <cell r="A77" t="str">
            <v>TAF</v>
          </cell>
          <cell r="B77">
            <v>6</v>
          </cell>
          <cell r="C77">
            <v>1170.79</v>
          </cell>
          <cell r="D77">
            <v>31.64</v>
          </cell>
          <cell r="E77">
            <v>0</v>
          </cell>
          <cell r="F77">
            <v>0</v>
          </cell>
          <cell r="G77">
            <v>8.5</v>
          </cell>
          <cell r="H77">
            <v>1162.29</v>
          </cell>
          <cell r="I77">
            <v>671.76</v>
          </cell>
          <cell r="J77">
            <v>5.17</v>
          </cell>
          <cell r="K77">
            <v>495.7</v>
          </cell>
          <cell r="L77">
            <v>42.53</v>
          </cell>
          <cell r="M77">
            <v>0.12</v>
          </cell>
        </row>
        <row r="78">
          <cell r="A78" t="str">
            <v>TRAMONTINA</v>
          </cell>
          <cell r="B78">
            <v>5</v>
          </cell>
          <cell r="C78">
            <v>1154.55</v>
          </cell>
          <cell r="D78">
            <v>48.11</v>
          </cell>
          <cell r="E78">
            <v>0</v>
          </cell>
          <cell r="F78">
            <v>0</v>
          </cell>
          <cell r="G78">
            <v>0</v>
          </cell>
          <cell r="H78">
            <v>1154.55</v>
          </cell>
          <cell r="I78">
            <v>689.57</v>
          </cell>
          <cell r="J78">
            <v>0</v>
          </cell>
          <cell r="K78">
            <v>464.98</v>
          </cell>
          <cell r="L78">
            <v>40.270000000000003</v>
          </cell>
          <cell r="M78">
            <v>0.12</v>
          </cell>
        </row>
        <row r="79">
          <cell r="A79" t="str">
            <v>ANAUGER</v>
          </cell>
          <cell r="B79">
            <v>3</v>
          </cell>
          <cell r="C79">
            <v>1146.25</v>
          </cell>
          <cell r="D79">
            <v>382.08</v>
          </cell>
          <cell r="E79">
            <v>0</v>
          </cell>
          <cell r="F79">
            <v>0</v>
          </cell>
          <cell r="G79">
            <v>0</v>
          </cell>
          <cell r="H79">
            <v>1146.25</v>
          </cell>
          <cell r="I79">
            <v>739.59</v>
          </cell>
          <cell r="J79">
            <v>0</v>
          </cell>
          <cell r="K79">
            <v>406.66</v>
          </cell>
          <cell r="L79">
            <v>35.479999999999997</v>
          </cell>
          <cell r="M79">
            <v>0.11</v>
          </cell>
        </row>
        <row r="80">
          <cell r="A80" t="str">
            <v>NOVA FIXACAO</v>
          </cell>
          <cell r="B80">
            <v>8</v>
          </cell>
          <cell r="C80">
            <v>1123.5899999999999</v>
          </cell>
          <cell r="D80">
            <v>2.2599999999999998</v>
          </cell>
          <cell r="E80">
            <v>0</v>
          </cell>
          <cell r="F80">
            <v>0</v>
          </cell>
          <cell r="G80">
            <v>23</v>
          </cell>
          <cell r="H80">
            <v>1100.5899999999999</v>
          </cell>
          <cell r="I80">
            <v>651.21</v>
          </cell>
          <cell r="J80">
            <v>13.3</v>
          </cell>
          <cell r="K80">
            <v>462.68</v>
          </cell>
          <cell r="L80">
            <v>41.67</v>
          </cell>
          <cell r="M80">
            <v>0.11</v>
          </cell>
        </row>
        <row r="81">
          <cell r="A81" t="str">
            <v>J LOBATO</v>
          </cell>
          <cell r="B81">
            <v>7</v>
          </cell>
          <cell r="C81">
            <v>1123.26</v>
          </cell>
          <cell r="D81">
            <v>20.059999999999999</v>
          </cell>
          <cell r="E81">
            <v>0</v>
          </cell>
          <cell r="F81">
            <v>0</v>
          </cell>
          <cell r="G81">
            <v>71.8</v>
          </cell>
          <cell r="H81">
            <v>1051.46</v>
          </cell>
          <cell r="I81">
            <v>508.98</v>
          </cell>
          <cell r="J81">
            <v>32.54</v>
          </cell>
          <cell r="K81">
            <v>575.02</v>
          </cell>
          <cell r="L81">
            <v>52.72</v>
          </cell>
          <cell r="M81">
            <v>0.11</v>
          </cell>
        </row>
        <row r="82">
          <cell r="A82" t="str">
            <v>BRASFORT</v>
          </cell>
          <cell r="B82">
            <v>6</v>
          </cell>
          <cell r="C82">
            <v>1037.5999999999999</v>
          </cell>
          <cell r="D82">
            <v>14.61</v>
          </cell>
          <cell r="E82">
            <v>0</v>
          </cell>
          <cell r="F82">
            <v>0</v>
          </cell>
          <cell r="G82">
            <v>0</v>
          </cell>
          <cell r="H82">
            <v>1037.5999999999999</v>
          </cell>
          <cell r="I82">
            <v>611.94000000000005</v>
          </cell>
          <cell r="J82">
            <v>0</v>
          </cell>
          <cell r="K82">
            <v>425.66</v>
          </cell>
          <cell r="L82">
            <v>41.02</v>
          </cell>
          <cell r="M82">
            <v>0.1</v>
          </cell>
        </row>
        <row r="83">
          <cell r="A83" t="str">
            <v>NAWA COM ATAC VAR PROD LAR E L</v>
          </cell>
          <cell r="B83">
            <v>3</v>
          </cell>
          <cell r="C83">
            <v>1031.5999999999999</v>
          </cell>
          <cell r="D83">
            <v>257.89999999999998</v>
          </cell>
          <cell r="E83">
            <v>0</v>
          </cell>
          <cell r="F83">
            <v>0</v>
          </cell>
          <cell r="G83">
            <v>0</v>
          </cell>
          <cell r="H83">
            <v>1031.5999999999999</v>
          </cell>
          <cell r="I83">
            <v>627.41999999999996</v>
          </cell>
          <cell r="J83">
            <v>0</v>
          </cell>
          <cell r="K83">
            <v>404.18</v>
          </cell>
          <cell r="L83">
            <v>39.18</v>
          </cell>
          <cell r="M83">
            <v>0.1</v>
          </cell>
        </row>
        <row r="84">
          <cell r="A84" t="str">
            <v>GARDENLIFE</v>
          </cell>
          <cell r="B84">
            <v>3</v>
          </cell>
          <cell r="C84">
            <v>1019.57</v>
          </cell>
          <cell r="D84">
            <v>84.96</v>
          </cell>
          <cell r="E84">
            <v>0</v>
          </cell>
          <cell r="F84">
            <v>0</v>
          </cell>
          <cell r="G84">
            <v>84.29</v>
          </cell>
          <cell r="H84">
            <v>935.28</v>
          </cell>
          <cell r="I84">
            <v>653.15</v>
          </cell>
          <cell r="J84">
            <v>56.36</v>
          </cell>
          <cell r="K84">
            <v>338.49</v>
          </cell>
          <cell r="L84">
            <v>35.14</v>
          </cell>
          <cell r="M84">
            <v>0.1</v>
          </cell>
        </row>
        <row r="85">
          <cell r="A85" t="str">
            <v>ORBI QUIMICA LTDA</v>
          </cell>
          <cell r="B85">
            <v>11</v>
          </cell>
          <cell r="C85">
            <v>970.66</v>
          </cell>
          <cell r="D85">
            <v>14.27</v>
          </cell>
          <cell r="E85">
            <v>0</v>
          </cell>
          <cell r="F85">
            <v>0</v>
          </cell>
          <cell r="G85">
            <v>23.89</v>
          </cell>
          <cell r="H85">
            <v>946.77</v>
          </cell>
          <cell r="I85">
            <v>561.24</v>
          </cell>
          <cell r="J85">
            <v>14.94</v>
          </cell>
          <cell r="K85">
            <v>400.47</v>
          </cell>
          <cell r="L85">
            <v>41.9</v>
          </cell>
          <cell r="M85">
            <v>0.1</v>
          </cell>
        </row>
        <row r="86">
          <cell r="A86" t="str">
            <v>NORCOLA</v>
          </cell>
          <cell r="B86">
            <v>5</v>
          </cell>
          <cell r="C86">
            <v>924.78</v>
          </cell>
          <cell r="D86">
            <v>61.65</v>
          </cell>
          <cell r="E86">
            <v>0</v>
          </cell>
          <cell r="F86">
            <v>0</v>
          </cell>
          <cell r="G86">
            <v>0</v>
          </cell>
          <cell r="H86">
            <v>924.78</v>
          </cell>
          <cell r="I86">
            <v>742.16</v>
          </cell>
          <cell r="J86">
            <v>0</v>
          </cell>
          <cell r="K86">
            <v>182.62</v>
          </cell>
          <cell r="L86">
            <v>19.75</v>
          </cell>
          <cell r="M86">
            <v>0.09</v>
          </cell>
        </row>
        <row r="87">
          <cell r="A87" t="str">
            <v>FORTLINE</v>
          </cell>
          <cell r="B87">
            <v>6</v>
          </cell>
          <cell r="C87">
            <v>895</v>
          </cell>
          <cell r="D87">
            <v>89.5</v>
          </cell>
          <cell r="E87">
            <v>0</v>
          </cell>
          <cell r="F87">
            <v>0</v>
          </cell>
          <cell r="G87">
            <v>0</v>
          </cell>
          <cell r="H87">
            <v>895</v>
          </cell>
          <cell r="I87">
            <v>546.44000000000005</v>
          </cell>
          <cell r="J87">
            <v>0</v>
          </cell>
          <cell r="K87">
            <v>348.56</v>
          </cell>
          <cell r="L87">
            <v>38.950000000000003</v>
          </cell>
          <cell r="M87">
            <v>0.09</v>
          </cell>
        </row>
        <row r="88">
          <cell r="A88" t="str">
            <v>KALIPSO</v>
          </cell>
          <cell r="B88">
            <v>7</v>
          </cell>
          <cell r="C88">
            <v>890.43</v>
          </cell>
          <cell r="D88">
            <v>6.75</v>
          </cell>
          <cell r="E88">
            <v>0</v>
          </cell>
          <cell r="F88">
            <v>0</v>
          </cell>
          <cell r="G88">
            <v>0</v>
          </cell>
          <cell r="H88">
            <v>890.43</v>
          </cell>
          <cell r="I88">
            <v>393.68</v>
          </cell>
          <cell r="J88">
            <v>0</v>
          </cell>
          <cell r="K88">
            <v>496.75</v>
          </cell>
          <cell r="L88">
            <v>55.79</v>
          </cell>
          <cell r="M88">
            <v>0.09</v>
          </cell>
        </row>
        <row r="89">
          <cell r="A89" t="str">
            <v>PADRAO FORTE</v>
          </cell>
          <cell r="B89">
            <v>15</v>
          </cell>
          <cell r="C89">
            <v>841.96</v>
          </cell>
          <cell r="D89">
            <v>15.89</v>
          </cell>
          <cell r="E89">
            <v>0</v>
          </cell>
          <cell r="F89">
            <v>0</v>
          </cell>
          <cell r="G89">
            <v>169</v>
          </cell>
          <cell r="H89">
            <v>672.96</v>
          </cell>
          <cell r="I89">
            <v>495.81</v>
          </cell>
          <cell r="J89">
            <v>99.39</v>
          </cell>
          <cell r="K89">
            <v>276.54000000000002</v>
          </cell>
          <cell r="L89">
            <v>37.24</v>
          </cell>
          <cell r="M89">
            <v>0.08</v>
          </cell>
        </row>
        <row r="90">
          <cell r="A90" t="str">
            <v>GERDAU</v>
          </cell>
          <cell r="B90">
            <v>3</v>
          </cell>
          <cell r="C90">
            <v>769.45</v>
          </cell>
          <cell r="D90">
            <v>28.5</v>
          </cell>
          <cell r="E90">
            <v>0</v>
          </cell>
          <cell r="F90">
            <v>0</v>
          </cell>
          <cell r="G90">
            <v>0</v>
          </cell>
          <cell r="H90">
            <v>769.45</v>
          </cell>
          <cell r="I90">
            <v>439.79</v>
          </cell>
          <cell r="J90">
            <v>0</v>
          </cell>
          <cell r="K90">
            <v>329.66</v>
          </cell>
          <cell r="L90">
            <v>42.84</v>
          </cell>
          <cell r="M90">
            <v>0.08</v>
          </cell>
        </row>
        <row r="91">
          <cell r="A91" t="str">
            <v>METALOSA</v>
          </cell>
          <cell r="B91">
            <v>2</v>
          </cell>
          <cell r="C91">
            <v>762.78</v>
          </cell>
          <cell r="D91">
            <v>190.7</v>
          </cell>
          <cell r="E91">
            <v>0</v>
          </cell>
          <cell r="F91">
            <v>0</v>
          </cell>
          <cell r="G91">
            <v>0</v>
          </cell>
          <cell r="H91">
            <v>762.78</v>
          </cell>
          <cell r="I91">
            <v>452.63</v>
          </cell>
          <cell r="J91">
            <v>0</v>
          </cell>
          <cell r="K91">
            <v>310.14999999999998</v>
          </cell>
          <cell r="L91">
            <v>40.659999999999997</v>
          </cell>
          <cell r="M91">
            <v>0.08</v>
          </cell>
        </row>
        <row r="92">
          <cell r="A92" t="str">
            <v>SECALUX</v>
          </cell>
          <cell r="B92">
            <v>4</v>
          </cell>
          <cell r="C92">
            <v>750.1</v>
          </cell>
          <cell r="D92">
            <v>53.58</v>
          </cell>
          <cell r="E92">
            <v>0</v>
          </cell>
          <cell r="F92">
            <v>0</v>
          </cell>
          <cell r="G92">
            <v>31.9</v>
          </cell>
          <cell r="H92">
            <v>718.2</v>
          </cell>
          <cell r="I92">
            <v>463.14</v>
          </cell>
          <cell r="J92">
            <v>18.61</v>
          </cell>
          <cell r="K92">
            <v>273.67</v>
          </cell>
          <cell r="L92">
            <v>37.409999999999997</v>
          </cell>
          <cell r="M92">
            <v>0.08</v>
          </cell>
        </row>
        <row r="93">
          <cell r="A93" t="str">
            <v>COZIMAX</v>
          </cell>
          <cell r="B93">
            <v>4</v>
          </cell>
          <cell r="C93">
            <v>710</v>
          </cell>
          <cell r="D93">
            <v>142</v>
          </cell>
          <cell r="E93">
            <v>0</v>
          </cell>
          <cell r="F93">
            <v>0</v>
          </cell>
          <cell r="G93">
            <v>0</v>
          </cell>
          <cell r="H93">
            <v>710</v>
          </cell>
          <cell r="I93">
            <v>440.17</v>
          </cell>
          <cell r="J93">
            <v>0</v>
          </cell>
          <cell r="K93">
            <v>269.83</v>
          </cell>
          <cell r="L93">
            <v>38</v>
          </cell>
          <cell r="M93">
            <v>7.0000000000000007E-2</v>
          </cell>
        </row>
        <row r="94">
          <cell r="A94" t="str">
            <v>HIDRACOR</v>
          </cell>
          <cell r="B94">
            <v>7</v>
          </cell>
          <cell r="C94">
            <v>649.62</v>
          </cell>
          <cell r="D94">
            <v>3.89</v>
          </cell>
          <cell r="E94">
            <v>0</v>
          </cell>
          <cell r="F94">
            <v>0</v>
          </cell>
          <cell r="G94">
            <v>0</v>
          </cell>
          <cell r="H94">
            <v>649.62</v>
          </cell>
          <cell r="I94">
            <v>228.7</v>
          </cell>
          <cell r="J94">
            <v>0</v>
          </cell>
          <cell r="K94">
            <v>420.92</v>
          </cell>
          <cell r="L94">
            <v>64.790000000000006</v>
          </cell>
          <cell r="M94">
            <v>7.0000000000000007E-2</v>
          </cell>
        </row>
        <row r="95">
          <cell r="A95" t="str">
            <v>FRANKLIN</v>
          </cell>
          <cell r="B95">
            <v>1</v>
          </cell>
          <cell r="C95">
            <v>639</v>
          </cell>
          <cell r="D95">
            <v>639</v>
          </cell>
          <cell r="E95">
            <v>0</v>
          </cell>
          <cell r="F95">
            <v>0</v>
          </cell>
          <cell r="G95">
            <v>0</v>
          </cell>
          <cell r="H95">
            <v>639</v>
          </cell>
          <cell r="I95">
            <v>394.04</v>
          </cell>
          <cell r="J95">
            <v>0</v>
          </cell>
          <cell r="K95">
            <v>244.96</v>
          </cell>
          <cell r="L95">
            <v>38.33</v>
          </cell>
          <cell r="M95">
            <v>0.06</v>
          </cell>
        </row>
        <row r="96">
          <cell r="A96" t="str">
            <v>ULTRA CLEAN</v>
          </cell>
          <cell r="B96">
            <v>4</v>
          </cell>
          <cell r="C96">
            <v>598.29999999999995</v>
          </cell>
          <cell r="D96">
            <v>22.16</v>
          </cell>
          <cell r="E96">
            <v>0</v>
          </cell>
          <cell r="F96">
            <v>0</v>
          </cell>
          <cell r="G96">
            <v>0</v>
          </cell>
          <cell r="H96">
            <v>598.29999999999995</v>
          </cell>
          <cell r="I96">
            <v>356.93</v>
          </cell>
          <cell r="J96">
            <v>0</v>
          </cell>
          <cell r="K96">
            <v>241.37</v>
          </cell>
          <cell r="L96">
            <v>40.340000000000003</v>
          </cell>
          <cell r="M96">
            <v>0.06</v>
          </cell>
        </row>
        <row r="97">
          <cell r="A97" t="str">
            <v>ONDULINE</v>
          </cell>
          <cell r="B97">
            <v>3</v>
          </cell>
          <cell r="C97">
            <v>543.20000000000005</v>
          </cell>
          <cell r="D97">
            <v>67.900000000000006</v>
          </cell>
          <cell r="E97">
            <v>0</v>
          </cell>
          <cell r="F97">
            <v>0</v>
          </cell>
          <cell r="G97">
            <v>0</v>
          </cell>
          <cell r="H97">
            <v>543.20000000000005</v>
          </cell>
          <cell r="I97">
            <v>316.54000000000002</v>
          </cell>
          <cell r="J97">
            <v>0</v>
          </cell>
          <cell r="K97">
            <v>226.66</v>
          </cell>
          <cell r="L97">
            <v>41.73</v>
          </cell>
          <cell r="M97">
            <v>0.05</v>
          </cell>
        </row>
        <row r="98">
          <cell r="A98" t="str">
            <v>ATTENA</v>
          </cell>
          <cell r="B98">
            <v>3</v>
          </cell>
          <cell r="C98">
            <v>515.67999999999995</v>
          </cell>
          <cell r="D98">
            <v>34.380000000000003</v>
          </cell>
          <cell r="E98">
            <v>0</v>
          </cell>
          <cell r="F98">
            <v>0</v>
          </cell>
          <cell r="G98">
            <v>0</v>
          </cell>
          <cell r="H98">
            <v>515.67999999999995</v>
          </cell>
          <cell r="I98">
            <v>620.57000000000005</v>
          </cell>
          <cell r="J98">
            <v>0</v>
          </cell>
          <cell r="K98">
            <v>-104.89</v>
          </cell>
          <cell r="L98">
            <v>0</v>
          </cell>
          <cell r="M98">
            <v>0.05</v>
          </cell>
        </row>
        <row r="99">
          <cell r="A99" t="str">
            <v>ARCELORMITTAL</v>
          </cell>
          <cell r="B99">
            <v>5</v>
          </cell>
          <cell r="C99">
            <v>476.18</v>
          </cell>
          <cell r="D99">
            <v>26.45</v>
          </cell>
          <cell r="E99">
            <v>0</v>
          </cell>
          <cell r="F99">
            <v>0</v>
          </cell>
          <cell r="G99">
            <v>0</v>
          </cell>
          <cell r="H99">
            <v>476.18</v>
          </cell>
          <cell r="I99">
            <v>274.72000000000003</v>
          </cell>
          <cell r="J99">
            <v>0</v>
          </cell>
          <cell r="K99">
            <v>201.46</v>
          </cell>
          <cell r="L99">
            <v>42.31</v>
          </cell>
          <cell r="M99">
            <v>0.05</v>
          </cell>
        </row>
        <row r="100">
          <cell r="A100" t="str">
            <v>CHEMONE</v>
          </cell>
          <cell r="B100">
            <v>4</v>
          </cell>
          <cell r="C100">
            <v>459.5</v>
          </cell>
          <cell r="D100">
            <v>21.88</v>
          </cell>
          <cell r="E100">
            <v>0</v>
          </cell>
          <cell r="F100">
            <v>0</v>
          </cell>
          <cell r="G100">
            <v>0</v>
          </cell>
          <cell r="H100">
            <v>459.5</v>
          </cell>
          <cell r="I100">
            <v>277.58999999999997</v>
          </cell>
          <cell r="J100">
            <v>0</v>
          </cell>
          <cell r="K100">
            <v>181.91</v>
          </cell>
          <cell r="L100">
            <v>39.590000000000003</v>
          </cell>
          <cell r="M100">
            <v>0.05</v>
          </cell>
        </row>
        <row r="101">
          <cell r="A101" t="str">
            <v>Max-Giro</v>
          </cell>
          <cell r="B101">
            <v>7</v>
          </cell>
          <cell r="C101">
            <v>403.17</v>
          </cell>
          <cell r="D101">
            <v>13.01</v>
          </cell>
          <cell r="E101">
            <v>0</v>
          </cell>
          <cell r="F101">
            <v>0</v>
          </cell>
          <cell r="G101">
            <v>0</v>
          </cell>
          <cell r="H101">
            <v>403.17</v>
          </cell>
          <cell r="I101">
            <v>227.35</v>
          </cell>
          <cell r="J101">
            <v>0</v>
          </cell>
          <cell r="K101">
            <v>175.82</v>
          </cell>
          <cell r="L101">
            <v>43.61</v>
          </cell>
          <cell r="M101">
            <v>0.04</v>
          </cell>
        </row>
        <row r="102">
          <cell r="A102" t="str">
            <v>OVERTIME</v>
          </cell>
          <cell r="B102">
            <v>4</v>
          </cell>
          <cell r="C102">
            <v>339.99</v>
          </cell>
          <cell r="D102">
            <v>30.91</v>
          </cell>
          <cell r="E102">
            <v>0</v>
          </cell>
          <cell r="F102">
            <v>0</v>
          </cell>
          <cell r="G102">
            <v>0</v>
          </cell>
          <cell r="H102">
            <v>339.99</v>
          </cell>
          <cell r="I102">
            <v>204.74</v>
          </cell>
          <cell r="J102">
            <v>0</v>
          </cell>
          <cell r="K102">
            <v>135.25</v>
          </cell>
          <cell r="L102">
            <v>39.78</v>
          </cell>
          <cell r="M102">
            <v>0.03</v>
          </cell>
        </row>
        <row r="103">
          <cell r="A103" t="str">
            <v>LEDAN</v>
          </cell>
          <cell r="B103">
            <v>4</v>
          </cell>
          <cell r="C103">
            <v>243.38</v>
          </cell>
          <cell r="D103">
            <v>7.85</v>
          </cell>
          <cell r="E103">
            <v>0</v>
          </cell>
          <cell r="F103">
            <v>0</v>
          </cell>
          <cell r="G103">
            <v>0</v>
          </cell>
          <cell r="H103">
            <v>243.38</v>
          </cell>
          <cell r="I103">
            <v>153.83000000000001</v>
          </cell>
          <cell r="J103">
            <v>0</v>
          </cell>
          <cell r="K103">
            <v>89.55</v>
          </cell>
          <cell r="L103">
            <v>36.79</v>
          </cell>
          <cell r="M103">
            <v>0.02</v>
          </cell>
        </row>
        <row r="104">
          <cell r="A104" t="str">
            <v>PADOVA</v>
          </cell>
          <cell r="B104">
            <v>5</v>
          </cell>
          <cell r="C104">
            <v>218.62</v>
          </cell>
          <cell r="D104">
            <v>12.86</v>
          </cell>
          <cell r="E104">
            <v>0</v>
          </cell>
          <cell r="F104">
            <v>0</v>
          </cell>
          <cell r="G104">
            <v>0</v>
          </cell>
          <cell r="H104">
            <v>218.62</v>
          </cell>
          <cell r="I104">
            <v>128.58000000000001</v>
          </cell>
          <cell r="J104">
            <v>0</v>
          </cell>
          <cell r="K104">
            <v>90.04</v>
          </cell>
          <cell r="L104">
            <v>41.19</v>
          </cell>
          <cell r="M104">
            <v>0.02</v>
          </cell>
        </row>
        <row r="105">
          <cell r="A105" t="str">
            <v>CRIVAL</v>
          </cell>
          <cell r="B105">
            <v>1</v>
          </cell>
          <cell r="C105">
            <v>198.8</v>
          </cell>
          <cell r="D105">
            <v>99.4</v>
          </cell>
          <cell r="E105">
            <v>0</v>
          </cell>
          <cell r="F105">
            <v>0</v>
          </cell>
          <cell r="G105">
            <v>0</v>
          </cell>
          <cell r="H105">
            <v>198.8</v>
          </cell>
          <cell r="I105">
            <v>114.66</v>
          </cell>
          <cell r="J105">
            <v>0</v>
          </cell>
          <cell r="K105">
            <v>84.14</v>
          </cell>
          <cell r="L105">
            <v>42.32</v>
          </cell>
          <cell r="M105">
            <v>0.02</v>
          </cell>
        </row>
        <row r="106">
          <cell r="A106" t="str">
            <v>COMFORT DOOR</v>
          </cell>
          <cell r="B106">
            <v>1</v>
          </cell>
          <cell r="C106">
            <v>197.5</v>
          </cell>
          <cell r="D106">
            <v>24.69</v>
          </cell>
          <cell r="E106">
            <v>0</v>
          </cell>
          <cell r="F106">
            <v>0</v>
          </cell>
          <cell r="G106">
            <v>0</v>
          </cell>
          <cell r="H106">
            <v>197.5</v>
          </cell>
          <cell r="I106">
            <v>106.45</v>
          </cell>
          <cell r="J106">
            <v>0</v>
          </cell>
          <cell r="K106">
            <v>91.05</v>
          </cell>
          <cell r="L106">
            <v>46.1</v>
          </cell>
          <cell r="M106">
            <v>0.02</v>
          </cell>
        </row>
        <row r="107">
          <cell r="A107" t="str">
            <v>TRAMONTINA ELETRIK S.A.</v>
          </cell>
          <cell r="B107">
            <v>4</v>
          </cell>
          <cell r="C107">
            <v>195.16</v>
          </cell>
          <cell r="D107">
            <v>15.01</v>
          </cell>
          <cell r="E107">
            <v>0</v>
          </cell>
          <cell r="F107">
            <v>0</v>
          </cell>
          <cell r="G107">
            <v>0</v>
          </cell>
          <cell r="H107">
            <v>195.16</v>
          </cell>
          <cell r="I107">
            <v>121.93</v>
          </cell>
          <cell r="J107">
            <v>0</v>
          </cell>
          <cell r="K107">
            <v>73.23</v>
          </cell>
          <cell r="L107">
            <v>37.520000000000003</v>
          </cell>
          <cell r="M107">
            <v>0.02</v>
          </cell>
        </row>
        <row r="108">
          <cell r="A108" t="str">
            <v>FRANKE</v>
          </cell>
          <cell r="B108">
            <v>1</v>
          </cell>
          <cell r="C108">
            <v>184.9</v>
          </cell>
          <cell r="D108">
            <v>184.9</v>
          </cell>
          <cell r="E108">
            <v>0</v>
          </cell>
          <cell r="F108">
            <v>0</v>
          </cell>
          <cell r="G108">
            <v>0</v>
          </cell>
          <cell r="H108">
            <v>184.9</v>
          </cell>
          <cell r="I108">
            <v>96.54</v>
          </cell>
          <cell r="J108">
            <v>0</v>
          </cell>
          <cell r="K108">
            <v>88.36</v>
          </cell>
          <cell r="L108">
            <v>47.79</v>
          </cell>
          <cell r="M108">
            <v>0.02</v>
          </cell>
        </row>
        <row r="109">
          <cell r="A109" t="str">
            <v>ULTRACLEAN</v>
          </cell>
          <cell r="B109">
            <v>4</v>
          </cell>
          <cell r="C109">
            <v>183.6</v>
          </cell>
          <cell r="D109">
            <v>20.399999999999999</v>
          </cell>
          <cell r="E109">
            <v>0</v>
          </cell>
          <cell r="F109">
            <v>0</v>
          </cell>
          <cell r="G109">
            <v>0</v>
          </cell>
          <cell r="H109">
            <v>183.6</v>
          </cell>
          <cell r="I109">
            <v>104.23</v>
          </cell>
          <cell r="J109">
            <v>0</v>
          </cell>
          <cell r="K109">
            <v>79.37</v>
          </cell>
          <cell r="L109">
            <v>43.23</v>
          </cell>
          <cell r="M109">
            <v>0.02</v>
          </cell>
        </row>
        <row r="110">
          <cell r="A110" t="str">
            <v>RHPE</v>
          </cell>
          <cell r="B110">
            <v>2</v>
          </cell>
          <cell r="C110">
            <v>171.8</v>
          </cell>
          <cell r="D110">
            <v>85.9</v>
          </cell>
          <cell r="E110">
            <v>0</v>
          </cell>
          <cell r="F110">
            <v>0</v>
          </cell>
          <cell r="G110">
            <v>0</v>
          </cell>
          <cell r="H110">
            <v>171.8</v>
          </cell>
          <cell r="I110">
            <v>106.68</v>
          </cell>
          <cell r="J110">
            <v>0</v>
          </cell>
          <cell r="K110">
            <v>65.12</v>
          </cell>
          <cell r="L110">
            <v>37.9</v>
          </cell>
          <cell r="M110">
            <v>0.02</v>
          </cell>
        </row>
        <row r="111">
          <cell r="A111" t="str">
            <v>EXTRALUZ</v>
          </cell>
          <cell r="B111">
            <v>3</v>
          </cell>
          <cell r="C111">
            <v>169</v>
          </cell>
          <cell r="D111">
            <v>16.899999999999999</v>
          </cell>
          <cell r="E111">
            <v>0</v>
          </cell>
          <cell r="F111">
            <v>0</v>
          </cell>
          <cell r="G111">
            <v>0</v>
          </cell>
          <cell r="H111">
            <v>169</v>
          </cell>
          <cell r="I111">
            <v>101.59</v>
          </cell>
          <cell r="J111">
            <v>0</v>
          </cell>
          <cell r="K111">
            <v>67.41</v>
          </cell>
          <cell r="L111">
            <v>39.89</v>
          </cell>
          <cell r="M111">
            <v>0.02</v>
          </cell>
        </row>
        <row r="112">
          <cell r="A112" t="str">
            <v>INCA</v>
          </cell>
          <cell r="B112">
            <v>4</v>
          </cell>
          <cell r="C112">
            <v>167.01</v>
          </cell>
          <cell r="D112">
            <v>3.98</v>
          </cell>
          <cell r="E112">
            <v>0</v>
          </cell>
          <cell r="F112">
            <v>0</v>
          </cell>
          <cell r="G112">
            <v>15.3</v>
          </cell>
          <cell r="H112">
            <v>151.71</v>
          </cell>
          <cell r="I112">
            <v>87.89</v>
          </cell>
          <cell r="J112">
            <v>8.08</v>
          </cell>
          <cell r="K112">
            <v>71.900000000000006</v>
          </cell>
          <cell r="L112">
            <v>45.24</v>
          </cell>
          <cell r="M112">
            <v>0.02</v>
          </cell>
        </row>
        <row r="113">
          <cell r="A113" t="str">
            <v>ECOFORCE</v>
          </cell>
          <cell r="B113">
            <v>3</v>
          </cell>
          <cell r="C113">
            <v>136.63999999999999</v>
          </cell>
          <cell r="D113">
            <v>8.0399999999999991</v>
          </cell>
          <cell r="E113">
            <v>0</v>
          </cell>
          <cell r="F113">
            <v>0</v>
          </cell>
          <cell r="G113">
            <v>0</v>
          </cell>
          <cell r="H113">
            <v>136.63999999999999</v>
          </cell>
          <cell r="I113">
            <v>464.2</v>
          </cell>
          <cell r="J113">
            <v>0</v>
          </cell>
          <cell r="K113">
            <v>-327.56</v>
          </cell>
          <cell r="L113">
            <v>0</v>
          </cell>
          <cell r="M113">
            <v>0.01</v>
          </cell>
        </row>
        <row r="114">
          <cell r="A114" t="str">
            <v>INJEPLAST</v>
          </cell>
          <cell r="B114">
            <v>1</v>
          </cell>
          <cell r="C114">
            <v>127.6</v>
          </cell>
          <cell r="D114">
            <v>0.4</v>
          </cell>
          <cell r="E114">
            <v>0</v>
          </cell>
          <cell r="F114">
            <v>0</v>
          </cell>
          <cell r="G114">
            <v>0</v>
          </cell>
          <cell r="H114">
            <v>127.6</v>
          </cell>
          <cell r="I114">
            <v>57.42</v>
          </cell>
          <cell r="J114">
            <v>0</v>
          </cell>
          <cell r="K114">
            <v>70.180000000000007</v>
          </cell>
          <cell r="L114">
            <v>55</v>
          </cell>
          <cell r="M114">
            <v>0.01</v>
          </cell>
        </row>
        <row r="115">
          <cell r="A115" t="str">
            <v>RANCAN</v>
          </cell>
          <cell r="B115">
            <v>1</v>
          </cell>
          <cell r="C115">
            <v>119.8</v>
          </cell>
          <cell r="D115">
            <v>59.9</v>
          </cell>
          <cell r="E115">
            <v>0</v>
          </cell>
          <cell r="F115">
            <v>0</v>
          </cell>
          <cell r="G115">
            <v>59.9</v>
          </cell>
          <cell r="H115">
            <v>59.9</v>
          </cell>
          <cell r="I115">
            <v>62.7</v>
          </cell>
          <cell r="J115">
            <v>31.35</v>
          </cell>
          <cell r="K115">
            <v>28.55</v>
          </cell>
          <cell r="L115">
            <v>32.28</v>
          </cell>
          <cell r="M115">
            <v>0.01</v>
          </cell>
        </row>
        <row r="116">
          <cell r="A116" t="str">
            <v>KAPAZI</v>
          </cell>
          <cell r="B116">
            <v>2</v>
          </cell>
          <cell r="C116">
            <v>69.8</v>
          </cell>
          <cell r="D116">
            <v>34.9</v>
          </cell>
          <cell r="E116">
            <v>0</v>
          </cell>
          <cell r="F116">
            <v>0</v>
          </cell>
          <cell r="G116">
            <v>0</v>
          </cell>
          <cell r="H116">
            <v>69.8</v>
          </cell>
          <cell r="I116">
            <v>41.69</v>
          </cell>
          <cell r="J116">
            <v>0</v>
          </cell>
          <cell r="K116">
            <v>28.11</v>
          </cell>
          <cell r="L116">
            <v>40.270000000000003</v>
          </cell>
          <cell r="M116">
            <v>0.01</v>
          </cell>
        </row>
        <row r="117">
          <cell r="A117" t="str">
            <v>ANJO TINTAS E SOLVENTES</v>
          </cell>
          <cell r="B117">
            <v>2</v>
          </cell>
          <cell r="C117">
            <v>60.64</v>
          </cell>
          <cell r="D117">
            <v>30.32</v>
          </cell>
          <cell r="E117">
            <v>0</v>
          </cell>
          <cell r="F117">
            <v>0</v>
          </cell>
          <cell r="G117">
            <v>0</v>
          </cell>
          <cell r="H117">
            <v>60.64</v>
          </cell>
          <cell r="I117">
            <v>39.49</v>
          </cell>
          <cell r="J117">
            <v>0</v>
          </cell>
          <cell r="K117">
            <v>21.15</v>
          </cell>
          <cell r="L117">
            <v>34.880000000000003</v>
          </cell>
          <cell r="M117">
            <v>0.01</v>
          </cell>
        </row>
        <row r="118">
          <cell r="A118" t="str">
            <v>GABRIELLA</v>
          </cell>
          <cell r="B118">
            <v>1</v>
          </cell>
          <cell r="C118">
            <v>51.12</v>
          </cell>
          <cell r="D118">
            <v>51.12</v>
          </cell>
          <cell r="E118">
            <v>0</v>
          </cell>
          <cell r="F118">
            <v>0</v>
          </cell>
          <cell r="G118">
            <v>0</v>
          </cell>
          <cell r="H118">
            <v>51.12</v>
          </cell>
          <cell r="I118">
            <v>36.21</v>
          </cell>
          <cell r="J118">
            <v>0</v>
          </cell>
          <cell r="K118">
            <v>14.91</v>
          </cell>
          <cell r="L118">
            <v>29.17</v>
          </cell>
          <cell r="M118">
            <v>0.01</v>
          </cell>
        </row>
        <row r="119">
          <cell r="A119" t="str">
            <v>EMPLAC</v>
          </cell>
          <cell r="B119">
            <v>3</v>
          </cell>
          <cell r="C119">
            <v>40.5</v>
          </cell>
          <cell r="D119">
            <v>8.1</v>
          </cell>
          <cell r="E119">
            <v>0</v>
          </cell>
          <cell r="F119">
            <v>0</v>
          </cell>
          <cell r="G119">
            <v>0</v>
          </cell>
          <cell r="H119">
            <v>40.5</v>
          </cell>
          <cell r="I119">
            <v>19.190000000000001</v>
          </cell>
          <cell r="J119">
            <v>0</v>
          </cell>
          <cell r="K119">
            <v>21.31</v>
          </cell>
          <cell r="L119">
            <v>52.62</v>
          </cell>
          <cell r="M119">
            <v>0</v>
          </cell>
        </row>
        <row r="120">
          <cell r="A120" t="str">
            <v xml:space="preserve"> RESISWAL</v>
          </cell>
          <cell r="B120">
            <v>1</v>
          </cell>
          <cell r="C120">
            <v>38.9</v>
          </cell>
          <cell r="D120">
            <v>38.9</v>
          </cell>
          <cell r="E120">
            <v>0</v>
          </cell>
          <cell r="F120">
            <v>0</v>
          </cell>
          <cell r="G120">
            <v>0</v>
          </cell>
          <cell r="H120">
            <v>38.9</v>
          </cell>
          <cell r="I120">
            <v>21.54</v>
          </cell>
          <cell r="J120">
            <v>0</v>
          </cell>
          <cell r="K120">
            <v>17.36</v>
          </cell>
          <cell r="L120">
            <v>44.63</v>
          </cell>
          <cell r="M120">
            <v>0</v>
          </cell>
        </row>
        <row r="121">
          <cell r="A121" t="str">
            <v>GDN</v>
          </cell>
          <cell r="B121">
            <v>1</v>
          </cell>
          <cell r="C121">
            <v>35.9</v>
          </cell>
          <cell r="D121">
            <v>35.9</v>
          </cell>
          <cell r="E121">
            <v>0</v>
          </cell>
          <cell r="F121">
            <v>0</v>
          </cell>
          <cell r="G121">
            <v>0</v>
          </cell>
          <cell r="H121">
            <v>35.9</v>
          </cell>
          <cell r="I121">
            <v>21.37</v>
          </cell>
          <cell r="J121">
            <v>0</v>
          </cell>
          <cell r="K121">
            <v>14.53</v>
          </cell>
          <cell r="L121">
            <v>40.47</v>
          </cell>
          <cell r="M121">
            <v>0</v>
          </cell>
        </row>
        <row r="122">
          <cell r="A122" t="str">
            <v>DISTAC</v>
          </cell>
          <cell r="B122">
            <v>1</v>
          </cell>
          <cell r="C122">
            <v>25.8</v>
          </cell>
          <cell r="D122">
            <v>4.3</v>
          </cell>
          <cell r="E122">
            <v>0</v>
          </cell>
          <cell r="F122">
            <v>0</v>
          </cell>
          <cell r="G122">
            <v>0</v>
          </cell>
          <cell r="H122">
            <v>25.8</v>
          </cell>
          <cell r="I122">
            <v>103.08</v>
          </cell>
          <cell r="J122">
            <v>0</v>
          </cell>
          <cell r="K122">
            <v>-77.28</v>
          </cell>
          <cell r="L122">
            <v>0</v>
          </cell>
          <cell r="M122">
            <v>0</v>
          </cell>
        </row>
        <row r="123">
          <cell r="A123" t="str">
            <v>PHILIPS ILUMINACAO LA</v>
          </cell>
          <cell r="B123">
            <v>2</v>
          </cell>
          <cell r="C123">
            <v>16.16</v>
          </cell>
          <cell r="D123">
            <v>8.08</v>
          </cell>
          <cell r="E123">
            <v>0</v>
          </cell>
          <cell r="F123">
            <v>0</v>
          </cell>
          <cell r="G123">
            <v>0</v>
          </cell>
          <cell r="H123">
            <v>16.16</v>
          </cell>
          <cell r="I123">
            <v>9.9499999999999993</v>
          </cell>
          <cell r="J123">
            <v>0</v>
          </cell>
          <cell r="K123">
            <v>6.21</v>
          </cell>
          <cell r="L123">
            <v>38.43</v>
          </cell>
          <cell r="M123">
            <v>0</v>
          </cell>
        </row>
        <row r="124">
          <cell r="A124" t="str">
            <v>EXTRALUX</v>
          </cell>
          <cell r="B124">
            <v>1</v>
          </cell>
          <cell r="C124">
            <v>11.66</v>
          </cell>
          <cell r="D124">
            <v>11.66</v>
          </cell>
          <cell r="E124">
            <v>0</v>
          </cell>
          <cell r="F124">
            <v>0</v>
          </cell>
          <cell r="G124">
            <v>0</v>
          </cell>
          <cell r="H124">
            <v>11.66</v>
          </cell>
          <cell r="I124">
            <v>6.89</v>
          </cell>
          <cell r="J124">
            <v>0</v>
          </cell>
          <cell r="K124">
            <v>4.7699999999999996</v>
          </cell>
          <cell r="L124">
            <v>40.909999999999997</v>
          </cell>
          <cell r="M124">
            <v>0</v>
          </cell>
        </row>
        <row r="125">
          <cell r="A125" t="str">
            <v>outros</v>
          </cell>
          <cell r="B125">
            <v>0</v>
          </cell>
          <cell r="C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MAR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185</v>
          </cell>
          <cell r="C2">
            <v>199463.4963</v>
          </cell>
          <cell r="D2">
            <v>23.79</v>
          </cell>
          <cell r="E2">
            <v>0</v>
          </cell>
          <cell r="F2">
            <v>0</v>
          </cell>
          <cell r="G2">
            <v>469.24200000000002</v>
          </cell>
          <cell r="H2">
            <v>198994.2543</v>
          </cell>
          <cell r="I2">
            <v>130726.67690000001</v>
          </cell>
          <cell r="J2">
            <v>349.58659999999998</v>
          </cell>
          <cell r="K2">
            <v>68617.164000000004</v>
          </cell>
          <cell r="L2">
            <v>34.46</v>
          </cell>
          <cell r="M2">
            <v>15.49</v>
          </cell>
        </row>
        <row r="3">
          <cell r="A3" t="str">
            <v>INCENOR</v>
          </cell>
          <cell r="B3">
            <v>123</v>
          </cell>
          <cell r="C3">
            <v>136921.995</v>
          </cell>
          <cell r="D3">
            <v>33.659999999999997</v>
          </cell>
          <cell r="E3">
            <v>0</v>
          </cell>
          <cell r="F3">
            <v>0</v>
          </cell>
          <cell r="G3">
            <v>2419.3647999999998</v>
          </cell>
          <cell r="H3">
            <v>134502.63020000001</v>
          </cell>
          <cell r="I3">
            <v>87664.853499999997</v>
          </cell>
          <cell r="J3">
            <v>1406.4795999999999</v>
          </cell>
          <cell r="K3">
            <v>48244.256300000001</v>
          </cell>
          <cell r="L3">
            <v>35.6</v>
          </cell>
          <cell r="M3">
            <v>10.63</v>
          </cell>
        </row>
        <row r="4">
          <cell r="A4" t="str">
            <v>IQUINE</v>
          </cell>
          <cell r="B4">
            <v>73</v>
          </cell>
          <cell r="C4">
            <v>89092.056400000001</v>
          </cell>
          <cell r="D4">
            <v>18.45</v>
          </cell>
          <cell r="E4">
            <v>0</v>
          </cell>
          <cell r="F4">
            <v>0</v>
          </cell>
          <cell r="G4">
            <v>1586.58</v>
          </cell>
          <cell r="H4">
            <v>87505.4764</v>
          </cell>
          <cell r="I4">
            <v>52727.053999999996</v>
          </cell>
          <cell r="J4">
            <v>987.91</v>
          </cell>
          <cell r="K4">
            <v>35766.332399999999</v>
          </cell>
          <cell r="L4">
            <v>40.6</v>
          </cell>
          <cell r="M4">
            <v>6.92</v>
          </cell>
        </row>
        <row r="5">
          <cell r="A5" t="str">
            <v>DO MESTRE</v>
          </cell>
          <cell r="B5">
            <v>200</v>
          </cell>
          <cell r="C5">
            <v>71767.48</v>
          </cell>
          <cell r="D5">
            <v>18.690000000000001</v>
          </cell>
          <cell r="E5">
            <v>0</v>
          </cell>
          <cell r="F5">
            <v>0</v>
          </cell>
          <cell r="G5">
            <v>813.48</v>
          </cell>
          <cell r="H5">
            <v>70954</v>
          </cell>
          <cell r="I5">
            <v>45291.23</v>
          </cell>
          <cell r="J5">
            <v>516.11</v>
          </cell>
          <cell r="K5">
            <v>26178.880000000001</v>
          </cell>
          <cell r="L5">
            <v>36.74</v>
          </cell>
          <cell r="M5">
            <v>5.57</v>
          </cell>
        </row>
        <row r="6">
          <cell r="A6" t="str">
            <v>TECNOGRES</v>
          </cell>
          <cell r="B6">
            <v>23</v>
          </cell>
          <cell r="C6">
            <v>57115.496500000001</v>
          </cell>
          <cell r="D6">
            <v>54.7</v>
          </cell>
          <cell r="E6">
            <v>0</v>
          </cell>
          <cell r="F6">
            <v>0</v>
          </cell>
          <cell r="G6">
            <v>0</v>
          </cell>
          <cell r="H6">
            <v>57115.496500000001</v>
          </cell>
          <cell r="I6">
            <v>37165.752800000002</v>
          </cell>
          <cell r="J6">
            <v>0</v>
          </cell>
          <cell r="K6">
            <v>19949.743699999999</v>
          </cell>
          <cell r="L6">
            <v>34.93</v>
          </cell>
          <cell r="M6">
            <v>4.4400000000000004</v>
          </cell>
        </row>
        <row r="7">
          <cell r="A7" t="str">
            <v>BRASILIT</v>
          </cell>
          <cell r="B7">
            <v>55</v>
          </cell>
          <cell r="C7">
            <v>54527.38</v>
          </cell>
          <cell r="D7">
            <v>60.18</v>
          </cell>
          <cell r="E7">
            <v>0</v>
          </cell>
          <cell r="F7">
            <v>0</v>
          </cell>
          <cell r="G7">
            <v>245.7</v>
          </cell>
          <cell r="H7">
            <v>54281.68</v>
          </cell>
          <cell r="I7">
            <v>43938.33</v>
          </cell>
          <cell r="J7">
            <v>151.91999999999999</v>
          </cell>
          <cell r="K7">
            <v>10495.27</v>
          </cell>
          <cell r="L7">
            <v>19.3</v>
          </cell>
          <cell r="M7">
            <v>4.2300000000000004</v>
          </cell>
        </row>
        <row r="8">
          <cell r="A8" t="str">
            <v>POINTER</v>
          </cell>
          <cell r="B8">
            <v>60</v>
          </cell>
          <cell r="C8">
            <v>52972.8819</v>
          </cell>
          <cell r="D8">
            <v>34.770000000000003</v>
          </cell>
          <cell r="E8">
            <v>0</v>
          </cell>
          <cell r="F8">
            <v>0</v>
          </cell>
          <cell r="G8">
            <v>950.65200000000004</v>
          </cell>
          <cell r="H8">
            <v>52022.229899999998</v>
          </cell>
          <cell r="I8">
            <v>32095.9719</v>
          </cell>
          <cell r="J8">
            <v>555.68119999999999</v>
          </cell>
          <cell r="K8">
            <v>20481.939200000001</v>
          </cell>
          <cell r="L8">
            <v>39.07</v>
          </cell>
          <cell r="M8">
            <v>4.1100000000000003</v>
          </cell>
        </row>
        <row r="9">
          <cell r="A9" t="str">
            <v>MEGAÓ</v>
          </cell>
          <cell r="B9">
            <v>59</v>
          </cell>
          <cell r="C9">
            <v>51341.29</v>
          </cell>
          <cell r="D9">
            <v>56.48</v>
          </cell>
          <cell r="E9">
            <v>0</v>
          </cell>
          <cell r="F9">
            <v>0</v>
          </cell>
          <cell r="G9">
            <v>411.2</v>
          </cell>
          <cell r="H9">
            <v>50930.09</v>
          </cell>
          <cell r="I9">
            <v>32751.75</v>
          </cell>
          <cell r="J9">
            <v>249.51</v>
          </cell>
          <cell r="K9">
            <v>18427.849999999999</v>
          </cell>
          <cell r="L9">
            <v>36.07</v>
          </cell>
          <cell r="M9">
            <v>3.99</v>
          </cell>
        </row>
        <row r="10">
          <cell r="A10" t="str">
            <v>WEBER QUARTZOLIT</v>
          </cell>
          <cell r="B10">
            <v>145</v>
          </cell>
          <cell r="C10">
            <v>48282.2</v>
          </cell>
          <cell r="D10">
            <v>25.83</v>
          </cell>
          <cell r="E10">
            <v>0</v>
          </cell>
          <cell r="F10">
            <v>0</v>
          </cell>
          <cell r="G10">
            <v>453.5</v>
          </cell>
          <cell r="H10">
            <v>47828.7</v>
          </cell>
          <cell r="I10">
            <v>31009.73</v>
          </cell>
          <cell r="J10">
            <v>257.99</v>
          </cell>
          <cell r="K10">
            <v>17076.96</v>
          </cell>
          <cell r="L10">
            <v>35.56</v>
          </cell>
          <cell r="M10">
            <v>3.75</v>
          </cell>
        </row>
        <row r="11">
          <cell r="A11" t="str">
            <v>ROCA</v>
          </cell>
          <cell r="B11">
            <v>60</v>
          </cell>
          <cell r="C11">
            <v>35260.410000000003</v>
          </cell>
          <cell r="D11">
            <v>143.91999999999999</v>
          </cell>
          <cell r="E11">
            <v>0</v>
          </cell>
          <cell r="F11">
            <v>0</v>
          </cell>
          <cell r="G11">
            <v>338.8</v>
          </cell>
          <cell r="H11">
            <v>34921.61</v>
          </cell>
          <cell r="I11">
            <v>22924.94</v>
          </cell>
          <cell r="J11">
            <v>202.12</v>
          </cell>
          <cell r="K11">
            <v>12198.79</v>
          </cell>
          <cell r="L11">
            <v>34.799999999999997</v>
          </cell>
          <cell r="M11">
            <v>2.74</v>
          </cell>
        </row>
        <row r="12">
          <cell r="A12" t="str">
            <v>CASALIT</v>
          </cell>
          <cell r="B12">
            <v>31</v>
          </cell>
          <cell r="C12">
            <v>34665.199999999997</v>
          </cell>
          <cell r="D12">
            <v>61.68</v>
          </cell>
          <cell r="E12">
            <v>0</v>
          </cell>
          <cell r="F12">
            <v>0</v>
          </cell>
          <cell r="G12">
            <v>0</v>
          </cell>
          <cell r="H12">
            <v>34665.199999999997</v>
          </cell>
          <cell r="I12">
            <v>30570.04</v>
          </cell>
          <cell r="J12">
            <v>0</v>
          </cell>
          <cell r="K12">
            <v>4095.16</v>
          </cell>
          <cell r="L12">
            <v>11.81</v>
          </cell>
          <cell r="M12">
            <v>2.69</v>
          </cell>
        </row>
        <row r="13">
          <cell r="A13" t="str">
            <v>QUALITY</v>
          </cell>
          <cell r="B13">
            <v>52</v>
          </cell>
          <cell r="C13">
            <v>33791.040000000001</v>
          </cell>
          <cell r="D13">
            <v>202.34</v>
          </cell>
          <cell r="E13">
            <v>0</v>
          </cell>
          <cell r="F13">
            <v>0</v>
          </cell>
          <cell r="G13">
            <v>1638.11</v>
          </cell>
          <cell r="H13">
            <v>32152.93</v>
          </cell>
          <cell r="I13">
            <v>20528.18</v>
          </cell>
          <cell r="J13">
            <v>992.42</v>
          </cell>
          <cell r="K13">
            <v>12617.17</v>
          </cell>
          <cell r="L13">
            <v>38.47</v>
          </cell>
          <cell r="M13">
            <v>2.62</v>
          </cell>
        </row>
        <row r="14">
          <cell r="A14" t="str">
            <v>KRONA</v>
          </cell>
          <cell r="B14">
            <v>70</v>
          </cell>
          <cell r="C14">
            <v>26136.3</v>
          </cell>
          <cell r="D14">
            <v>7.45</v>
          </cell>
          <cell r="E14">
            <v>0</v>
          </cell>
          <cell r="F14">
            <v>0</v>
          </cell>
          <cell r="G14">
            <v>675.45</v>
          </cell>
          <cell r="H14">
            <v>25460.85</v>
          </cell>
          <cell r="I14">
            <v>16725.84</v>
          </cell>
          <cell r="J14">
            <v>447.3</v>
          </cell>
          <cell r="K14">
            <v>9182.31</v>
          </cell>
          <cell r="L14">
            <v>35.74</v>
          </cell>
          <cell r="M14">
            <v>2.0299999999999998</v>
          </cell>
        </row>
        <row r="15">
          <cell r="A15" t="str">
            <v>PORTO RICO</v>
          </cell>
          <cell r="B15">
            <v>34</v>
          </cell>
          <cell r="C15">
            <v>20286.46</v>
          </cell>
          <cell r="D15">
            <v>26.69</v>
          </cell>
          <cell r="E15">
            <v>0</v>
          </cell>
          <cell r="F15">
            <v>0</v>
          </cell>
          <cell r="G15">
            <v>34.68</v>
          </cell>
          <cell r="H15">
            <v>20251.78</v>
          </cell>
          <cell r="I15">
            <v>12639.62</v>
          </cell>
          <cell r="J15">
            <v>32.08</v>
          </cell>
          <cell r="K15">
            <v>7644.24</v>
          </cell>
          <cell r="L15">
            <v>37.74</v>
          </cell>
          <cell r="M15">
            <v>1.58</v>
          </cell>
        </row>
        <row r="16">
          <cell r="A16" t="str">
            <v>PAMESA</v>
          </cell>
          <cell r="B16">
            <v>18</v>
          </cell>
          <cell r="C16">
            <v>19785.1702</v>
          </cell>
          <cell r="D16">
            <v>34.51</v>
          </cell>
          <cell r="E16">
            <v>0</v>
          </cell>
          <cell r="F16">
            <v>0</v>
          </cell>
          <cell r="G16">
            <v>0</v>
          </cell>
          <cell r="H16">
            <v>19785.1702</v>
          </cell>
          <cell r="I16">
            <v>12893.485199999999</v>
          </cell>
          <cell r="J16">
            <v>0</v>
          </cell>
          <cell r="K16">
            <v>6891.6850000000004</v>
          </cell>
          <cell r="L16">
            <v>34.83</v>
          </cell>
          <cell r="M16">
            <v>1.54</v>
          </cell>
        </row>
        <row r="17">
          <cell r="A17" t="str">
            <v>FORTLEV</v>
          </cell>
          <cell r="B17">
            <v>34</v>
          </cell>
          <cell r="C17">
            <v>17787.57</v>
          </cell>
          <cell r="D17">
            <v>120.19</v>
          </cell>
          <cell r="E17">
            <v>0</v>
          </cell>
          <cell r="F17">
            <v>0</v>
          </cell>
          <cell r="G17">
            <v>0.69</v>
          </cell>
          <cell r="H17">
            <v>17786.88</v>
          </cell>
          <cell r="I17">
            <v>12561.41</v>
          </cell>
          <cell r="J17">
            <v>0.43</v>
          </cell>
          <cell r="K17">
            <v>5225.8999999999996</v>
          </cell>
          <cell r="L17">
            <v>29.38</v>
          </cell>
          <cell r="M17">
            <v>1.38</v>
          </cell>
        </row>
        <row r="18">
          <cell r="A18" t="str">
            <v>COBRECOM</v>
          </cell>
          <cell r="B18">
            <v>15</v>
          </cell>
          <cell r="C18">
            <v>17626.59</v>
          </cell>
          <cell r="D18">
            <v>148.12</v>
          </cell>
          <cell r="E18">
            <v>0</v>
          </cell>
          <cell r="F18">
            <v>0</v>
          </cell>
          <cell r="G18">
            <v>398</v>
          </cell>
          <cell r="H18">
            <v>17228.59</v>
          </cell>
          <cell r="I18">
            <v>12329.73</v>
          </cell>
          <cell r="J18">
            <v>296.36</v>
          </cell>
          <cell r="K18">
            <v>5195.22</v>
          </cell>
          <cell r="L18">
            <v>29.98</v>
          </cell>
          <cell r="M18">
            <v>1.37</v>
          </cell>
        </row>
        <row r="19">
          <cell r="A19" t="str">
            <v>ATLAS</v>
          </cell>
          <cell r="B19">
            <v>61</v>
          </cell>
          <cell r="C19">
            <v>15580.62</v>
          </cell>
          <cell r="D19">
            <v>14.36</v>
          </cell>
          <cell r="E19">
            <v>0</v>
          </cell>
          <cell r="F19">
            <v>0</v>
          </cell>
          <cell r="G19">
            <v>57.6</v>
          </cell>
          <cell r="H19">
            <v>15523.02</v>
          </cell>
          <cell r="I19">
            <v>8470.27</v>
          </cell>
          <cell r="J19">
            <v>31.43</v>
          </cell>
          <cell r="K19">
            <v>7084.18</v>
          </cell>
          <cell r="L19">
            <v>45.56</v>
          </cell>
          <cell r="M19">
            <v>1.21</v>
          </cell>
        </row>
        <row r="20">
          <cell r="A20" t="str">
            <v>CERBRAS</v>
          </cell>
          <cell r="B20">
            <v>22</v>
          </cell>
          <cell r="C20">
            <v>14330.460800000001</v>
          </cell>
          <cell r="D20">
            <v>31.71</v>
          </cell>
          <cell r="E20">
            <v>0</v>
          </cell>
          <cell r="F20">
            <v>0</v>
          </cell>
          <cell r="G20">
            <v>0</v>
          </cell>
          <cell r="H20">
            <v>14330.460800000001</v>
          </cell>
          <cell r="I20">
            <v>9690.5022000000008</v>
          </cell>
          <cell r="J20">
            <v>0</v>
          </cell>
          <cell r="K20">
            <v>4639.9585999999999</v>
          </cell>
          <cell r="L20">
            <v>32.380000000000003</v>
          </cell>
          <cell r="M20">
            <v>1.1100000000000001</v>
          </cell>
        </row>
        <row r="21">
          <cell r="A21" t="str">
            <v>MEC-TRONIC</v>
          </cell>
          <cell r="B21">
            <v>34</v>
          </cell>
          <cell r="C21">
            <v>14240.05</v>
          </cell>
          <cell r="D21">
            <v>11.08</v>
          </cell>
          <cell r="E21">
            <v>0</v>
          </cell>
          <cell r="F21">
            <v>0</v>
          </cell>
          <cell r="G21">
            <v>426.14</v>
          </cell>
          <cell r="H21">
            <v>13813.91</v>
          </cell>
          <cell r="I21">
            <v>6741.04</v>
          </cell>
          <cell r="J21">
            <v>178.47</v>
          </cell>
          <cell r="K21">
            <v>7251.34</v>
          </cell>
          <cell r="L21">
            <v>51.57</v>
          </cell>
          <cell r="M21">
            <v>1.1100000000000001</v>
          </cell>
        </row>
        <row r="22">
          <cell r="A22" t="str">
            <v>NITROLUX</v>
          </cell>
          <cell r="B22">
            <v>37</v>
          </cell>
          <cell r="C22">
            <v>13205.03</v>
          </cell>
          <cell r="D22">
            <v>19.03</v>
          </cell>
          <cell r="E22">
            <v>0</v>
          </cell>
          <cell r="F22">
            <v>0</v>
          </cell>
          <cell r="G22">
            <v>116.9</v>
          </cell>
          <cell r="H22">
            <v>13088.13</v>
          </cell>
          <cell r="I22">
            <v>6746.46</v>
          </cell>
          <cell r="J22">
            <v>60.48</v>
          </cell>
          <cell r="K22">
            <v>6402.15</v>
          </cell>
          <cell r="L22">
            <v>48.71</v>
          </cell>
          <cell r="M22">
            <v>1.03</v>
          </cell>
        </row>
        <row r="23">
          <cell r="A23" t="str">
            <v>KDK PORTAS</v>
          </cell>
          <cell r="B23">
            <v>31</v>
          </cell>
          <cell r="C23">
            <v>12687.52</v>
          </cell>
          <cell r="D23">
            <v>164.77</v>
          </cell>
          <cell r="E23">
            <v>0</v>
          </cell>
          <cell r="F23">
            <v>0</v>
          </cell>
          <cell r="G23">
            <v>635.6</v>
          </cell>
          <cell r="H23">
            <v>12051.92</v>
          </cell>
          <cell r="I23">
            <v>7632.9</v>
          </cell>
          <cell r="J23">
            <v>377.29</v>
          </cell>
          <cell r="K23">
            <v>4796.3100000000004</v>
          </cell>
          <cell r="L23">
            <v>38.96</v>
          </cell>
          <cell r="M23">
            <v>0.99</v>
          </cell>
        </row>
        <row r="24">
          <cell r="A24" t="str">
            <v>METAIS LEAO</v>
          </cell>
          <cell r="B24">
            <v>30</v>
          </cell>
          <cell r="C24">
            <v>11328.68</v>
          </cell>
          <cell r="D24">
            <v>64.37</v>
          </cell>
          <cell r="E24">
            <v>0</v>
          </cell>
          <cell r="F24">
            <v>0</v>
          </cell>
          <cell r="G24">
            <v>537.9</v>
          </cell>
          <cell r="H24">
            <v>10790.78</v>
          </cell>
          <cell r="I24">
            <v>6705.99</v>
          </cell>
          <cell r="J24">
            <v>341.77</v>
          </cell>
          <cell r="K24">
            <v>4426.5600000000004</v>
          </cell>
          <cell r="L24">
            <v>40.29</v>
          </cell>
          <cell r="M24">
            <v>0.88</v>
          </cell>
        </row>
        <row r="25">
          <cell r="A25" t="str">
            <v>GHEL'PLUS</v>
          </cell>
          <cell r="B25">
            <v>19</v>
          </cell>
          <cell r="C25">
            <v>10859.89</v>
          </cell>
          <cell r="D25">
            <v>101.49</v>
          </cell>
          <cell r="E25">
            <v>0</v>
          </cell>
          <cell r="F25">
            <v>0</v>
          </cell>
          <cell r="G25">
            <v>561.72</v>
          </cell>
          <cell r="H25">
            <v>10298.17</v>
          </cell>
          <cell r="I25">
            <v>6720.71</v>
          </cell>
          <cell r="J25">
            <v>339.03</v>
          </cell>
          <cell r="K25">
            <v>3916.49</v>
          </cell>
          <cell r="L25">
            <v>37.229999999999997</v>
          </cell>
          <cell r="M25">
            <v>0.84</v>
          </cell>
        </row>
        <row r="26">
          <cell r="A26" t="str">
            <v>REALLE</v>
          </cell>
          <cell r="B26">
            <v>11</v>
          </cell>
          <cell r="C26">
            <v>9804.9330000000009</v>
          </cell>
          <cell r="D26">
            <v>33.72</v>
          </cell>
          <cell r="E26">
            <v>0</v>
          </cell>
          <cell r="F26">
            <v>0</v>
          </cell>
          <cell r="G26">
            <v>0</v>
          </cell>
          <cell r="H26">
            <v>9804.9330000000009</v>
          </cell>
          <cell r="I26">
            <v>6303.1679999999997</v>
          </cell>
          <cell r="J26">
            <v>0</v>
          </cell>
          <cell r="K26">
            <v>3501.7649999999999</v>
          </cell>
          <cell r="L26">
            <v>35.71</v>
          </cell>
          <cell r="M26">
            <v>0.76</v>
          </cell>
        </row>
        <row r="27">
          <cell r="A27" t="str">
            <v>AVANT</v>
          </cell>
          <cell r="B27">
            <v>21</v>
          </cell>
          <cell r="C27">
            <v>9434.7800000000007</v>
          </cell>
          <cell r="D27">
            <v>24.96</v>
          </cell>
          <cell r="E27">
            <v>0</v>
          </cell>
          <cell r="F27">
            <v>0</v>
          </cell>
          <cell r="G27">
            <v>230.14</v>
          </cell>
          <cell r="H27">
            <v>9204.64</v>
          </cell>
          <cell r="I27">
            <v>4950.99</v>
          </cell>
          <cell r="J27">
            <v>129.4</v>
          </cell>
          <cell r="K27">
            <v>4383.05</v>
          </cell>
          <cell r="L27">
            <v>47.1</v>
          </cell>
          <cell r="M27">
            <v>0.73</v>
          </cell>
        </row>
        <row r="28">
          <cell r="A28" t="str">
            <v>BLACK DECKER</v>
          </cell>
          <cell r="B28">
            <v>16</v>
          </cell>
          <cell r="C28">
            <v>8309.2900000000009</v>
          </cell>
          <cell r="D28">
            <v>49.46</v>
          </cell>
          <cell r="E28">
            <v>0</v>
          </cell>
          <cell r="F28">
            <v>0</v>
          </cell>
          <cell r="G28">
            <v>199.9</v>
          </cell>
          <cell r="H28">
            <v>8109.39</v>
          </cell>
          <cell r="I28">
            <v>5021.66</v>
          </cell>
          <cell r="J28">
            <v>132.12</v>
          </cell>
          <cell r="K28">
            <v>3219.85</v>
          </cell>
          <cell r="L28">
            <v>39.380000000000003</v>
          </cell>
          <cell r="M28">
            <v>0.65</v>
          </cell>
        </row>
        <row r="29">
          <cell r="A29" t="str">
            <v>INTECH MACHINE</v>
          </cell>
          <cell r="B29">
            <v>13</v>
          </cell>
          <cell r="C29">
            <v>8305.73</v>
          </cell>
          <cell r="D29">
            <v>180.56</v>
          </cell>
          <cell r="E29">
            <v>0</v>
          </cell>
          <cell r="F29">
            <v>0</v>
          </cell>
          <cell r="G29">
            <v>0</v>
          </cell>
          <cell r="H29">
            <v>8305.73</v>
          </cell>
          <cell r="I29">
            <v>5238.75</v>
          </cell>
          <cell r="J29">
            <v>0</v>
          </cell>
          <cell r="K29">
            <v>3066.98</v>
          </cell>
          <cell r="L29">
            <v>36.93</v>
          </cell>
          <cell r="M29">
            <v>0.65</v>
          </cell>
        </row>
        <row r="30">
          <cell r="A30" t="str">
            <v>ASTRA</v>
          </cell>
          <cell r="B30">
            <v>34</v>
          </cell>
          <cell r="C30">
            <v>8298.1299999999992</v>
          </cell>
          <cell r="D30">
            <v>24.48</v>
          </cell>
          <cell r="E30">
            <v>0</v>
          </cell>
          <cell r="F30">
            <v>0</v>
          </cell>
          <cell r="G30">
            <v>25.9</v>
          </cell>
          <cell r="H30">
            <v>8272.23</v>
          </cell>
          <cell r="I30">
            <v>4748.4399999999996</v>
          </cell>
          <cell r="J30">
            <v>14.39</v>
          </cell>
          <cell r="K30">
            <v>3538.18</v>
          </cell>
          <cell r="L30">
            <v>42.71</v>
          </cell>
          <cell r="M30">
            <v>0.64</v>
          </cell>
        </row>
        <row r="31">
          <cell r="A31" t="str">
            <v>LORENZETTI</v>
          </cell>
          <cell r="B31">
            <v>8</v>
          </cell>
          <cell r="C31">
            <v>7164.01</v>
          </cell>
          <cell r="D31">
            <v>77.87</v>
          </cell>
          <cell r="E31">
            <v>0</v>
          </cell>
          <cell r="F31">
            <v>0</v>
          </cell>
          <cell r="G31">
            <v>189.7</v>
          </cell>
          <cell r="H31">
            <v>6974.31</v>
          </cell>
          <cell r="I31">
            <v>4367.88</v>
          </cell>
          <cell r="J31">
            <v>117.25</v>
          </cell>
          <cell r="K31">
            <v>2723.68</v>
          </cell>
          <cell r="L31">
            <v>38.65</v>
          </cell>
          <cell r="M31">
            <v>0.56000000000000005</v>
          </cell>
        </row>
        <row r="32">
          <cell r="A32" t="str">
            <v>SILVANA</v>
          </cell>
          <cell r="B32">
            <v>27</v>
          </cell>
          <cell r="C32">
            <v>7033.17</v>
          </cell>
          <cell r="D32">
            <v>21.64</v>
          </cell>
          <cell r="E32">
            <v>0</v>
          </cell>
          <cell r="F32">
            <v>0</v>
          </cell>
          <cell r="G32">
            <v>324.5</v>
          </cell>
          <cell r="H32">
            <v>6708.67</v>
          </cell>
          <cell r="I32">
            <v>4038.88</v>
          </cell>
          <cell r="J32">
            <v>187.07</v>
          </cell>
          <cell r="K32">
            <v>2856.86</v>
          </cell>
          <cell r="L32">
            <v>41.73</v>
          </cell>
          <cell r="M32">
            <v>0.55000000000000004</v>
          </cell>
        </row>
        <row r="33">
          <cell r="A33" t="str">
            <v>DOCOL METAIS</v>
          </cell>
          <cell r="B33">
            <v>20</v>
          </cell>
          <cell r="C33">
            <v>6926.62</v>
          </cell>
          <cell r="D33">
            <v>85.51</v>
          </cell>
          <cell r="E33">
            <v>0</v>
          </cell>
          <cell r="F33">
            <v>0</v>
          </cell>
          <cell r="G33">
            <v>107.7</v>
          </cell>
          <cell r="H33">
            <v>6818.92</v>
          </cell>
          <cell r="I33">
            <v>4025.05</v>
          </cell>
          <cell r="J33">
            <v>70.36</v>
          </cell>
          <cell r="K33">
            <v>2864.23</v>
          </cell>
          <cell r="L33">
            <v>41.78</v>
          </cell>
          <cell r="M33">
            <v>0.54</v>
          </cell>
        </row>
        <row r="34">
          <cell r="A34" t="str">
            <v>GRANPLAST</v>
          </cell>
          <cell r="B34">
            <v>29</v>
          </cell>
          <cell r="C34">
            <v>6665.01</v>
          </cell>
          <cell r="D34">
            <v>12.58</v>
          </cell>
          <cell r="E34">
            <v>0</v>
          </cell>
          <cell r="F34">
            <v>0</v>
          </cell>
          <cell r="G34">
            <v>31.39</v>
          </cell>
          <cell r="H34">
            <v>6633.62</v>
          </cell>
          <cell r="I34">
            <v>3584.48</v>
          </cell>
          <cell r="J34">
            <v>15.34</v>
          </cell>
          <cell r="K34">
            <v>3064.48</v>
          </cell>
          <cell r="L34">
            <v>46.08</v>
          </cell>
          <cell r="M34">
            <v>0.52</v>
          </cell>
        </row>
        <row r="35">
          <cell r="A35" t="str">
            <v>ANAUGER</v>
          </cell>
          <cell r="B35">
            <v>8</v>
          </cell>
          <cell r="C35">
            <v>6569.16</v>
          </cell>
          <cell r="D35">
            <v>345.75</v>
          </cell>
          <cell r="E35">
            <v>0</v>
          </cell>
          <cell r="F35">
            <v>0</v>
          </cell>
          <cell r="G35">
            <v>0</v>
          </cell>
          <cell r="H35">
            <v>6569.16</v>
          </cell>
          <cell r="I35">
            <v>4524.1400000000003</v>
          </cell>
          <cell r="J35">
            <v>0</v>
          </cell>
          <cell r="K35">
            <v>2045.02</v>
          </cell>
          <cell r="L35">
            <v>31.13</v>
          </cell>
          <cell r="M35">
            <v>0.51</v>
          </cell>
        </row>
        <row r="36">
          <cell r="A36" t="str">
            <v>VIQUA</v>
          </cell>
          <cell r="B36">
            <v>26</v>
          </cell>
          <cell r="C36">
            <v>6526.76</v>
          </cell>
          <cell r="D36">
            <v>38.17</v>
          </cell>
          <cell r="E36">
            <v>0</v>
          </cell>
          <cell r="F36">
            <v>0</v>
          </cell>
          <cell r="G36">
            <v>243.68</v>
          </cell>
          <cell r="H36">
            <v>6283.08</v>
          </cell>
          <cell r="I36">
            <v>3963.34</v>
          </cell>
          <cell r="J36">
            <v>148.72999999999999</v>
          </cell>
          <cell r="K36">
            <v>2468.4699999999998</v>
          </cell>
          <cell r="L36">
            <v>38.700000000000003</v>
          </cell>
          <cell r="M36">
            <v>0.51</v>
          </cell>
        </row>
        <row r="37">
          <cell r="A37" t="str">
            <v>ELIZABETH PORC.</v>
          </cell>
          <cell r="B37">
            <v>5</v>
          </cell>
          <cell r="C37">
            <v>5336.8885</v>
          </cell>
          <cell r="D37">
            <v>58.23</v>
          </cell>
          <cell r="E37">
            <v>0</v>
          </cell>
          <cell r="F37">
            <v>0</v>
          </cell>
          <cell r="G37">
            <v>0</v>
          </cell>
          <cell r="H37">
            <v>5336.8885</v>
          </cell>
          <cell r="I37">
            <v>3370.0655000000002</v>
          </cell>
          <cell r="J37">
            <v>0</v>
          </cell>
          <cell r="K37">
            <v>1966.8230000000001</v>
          </cell>
          <cell r="L37">
            <v>36.85</v>
          </cell>
          <cell r="M37">
            <v>0.41</v>
          </cell>
        </row>
        <row r="38">
          <cell r="A38" t="str">
            <v>MGM</v>
          </cell>
          <cell r="B38">
            <v>9</v>
          </cell>
          <cell r="C38">
            <v>5100.95</v>
          </cell>
          <cell r="D38">
            <v>364.35</v>
          </cell>
          <cell r="E38">
            <v>0</v>
          </cell>
          <cell r="F38">
            <v>0</v>
          </cell>
          <cell r="G38">
            <v>0</v>
          </cell>
          <cell r="H38">
            <v>5100.95</v>
          </cell>
          <cell r="I38">
            <v>3088.55</v>
          </cell>
          <cell r="J38">
            <v>0</v>
          </cell>
          <cell r="K38">
            <v>2012.4</v>
          </cell>
          <cell r="L38">
            <v>39.450000000000003</v>
          </cell>
          <cell r="M38">
            <v>0.4</v>
          </cell>
        </row>
        <row r="39">
          <cell r="A39" t="str">
            <v>LUCONI</v>
          </cell>
          <cell r="B39">
            <v>41</v>
          </cell>
          <cell r="C39">
            <v>4891.3100000000004</v>
          </cell>
          <cell r="D39">
            <v>12.51</v>
          </cell>
          <cell r="E39">
            <v>0</v>
          </cell>
          <cell r="F39">
            <v>0</v>
          </cell>
          <cell r="G39">
            <v>35.299999999999997</v>
          </cell>
          <cell r="H39">
            <v>4856.01</v>
          </cell>
          <cell r="I39">
            <v>2401.2600000000002</v>
          </cell>
          <cell r="J39">
            <v>16.29</v>
          </cell>
          <cell r="K39">
            <v>2471.04</v>
          </cell>
          <cell r="L39">
            <v>50.69</v>
          </cell>
          <cell r="M39">
            <v>0.38</v>
          </cell>
        </row>
        <row r="40">
          <cell r="A40" t="str">
            <v>ETERNIT</v>
          </cell>
          <cell r="B40">
            <v>8</v>
          </cell>
          <cell r="C40">
            <v>4885.54</v>
          </cell>
          <cell r="D40">
            <v>60.32</v>
          </cell>
          <cell r="E40">
            <v>0</v>
          </cell>
          <cell r="F40">
            <v>0</v>
          </cell>
          <cell r="G40">
            <v>0</v>
          </cell>
          <cell r="H40">
            <v>4885.54</v>
          </cell>
          <cell r="I40">
            <v>3510.25</v>
          </cell>
          <cell r="J40">
            <v>0</v>
          </cell>
          <cell r="K40">
            <v>1375.29</v>
          </cell>
          <cell r="L40">
            <v>28.15</v>
          </cell>
          <cell r="M40">
            <v>0.38</v>
          </cell>
        </row>
        <row r="41">
          <cell r="A41" t="str">
            <v>HERC</v>
          </cell>
          <cell r="B41">
            <v>22</v>
          </cell>
          <cell r="C41">
            <v>4564.6499999999996</v>
          </cell>
          <cell r="D41">
            <v>24.15</v>
          </cell>
          <cell r="E41">
            <v>0</v>
          </cell>
          <cell r="F41">
            <v>0</v>
          </cell>
          <cell r="G41">
            <v>59.65</v>
          </cell>
          <cell r="H41">
            <v>4505</v>
          </cell>
          <cell r="I41">
            <v>2471.2800000000002</v>
          </cell>
          <cell r="J41">
            <v>32.479999999999997</v>
          </cell>
          <cell r="K41">
            <v>2066.1999999999998</v>
          </cell>
          <cell r="L41">
            <v>45.59</v>
          </cell>
          <cell r="M41">
            <v>0.35</v>
          </cell>
        </row>
        <row r="42">
          <cell r="A42" t="str">
            <v>BLUKIT</v>
          </cell>
          <cell r="B42">
            <v>23</v>
          </cell>
          <cell r="C42">
            <v>4553.07</v>
          </cell>
          <cell r="D42">
            <v>25.58</v>
          </cell>
          <cell r="E42">
            <v>0</v>
          </cell>
          <cell r="F42">
            <v>0</v>
          </cell>
          <cell r="G42">
            <v>185.3</v>
          </cell>
          <cell r="H42">
            <v>4367.7700000000004</v>
          </cell>
          <cell r="I42">
            <v>2726.55</v>
          </cell>
          <cell r="J42">
            <v>110.75</v>
          </cell>
          <cell r="K42">
            <v>1751.97</v>
          </cell>
          <cell r="L42">
            <v>39.44</v>
          </cell>
          <cell r="M42">
            <v>0.35</v>
          </cell>
        </row>
        <row r="43">
          <cell r="A43" t="str">
            <v>VEDACIT</v>
          </cell>
          <cell r="B43">
            <v>14</v>
          </cell>
          <cell r="C43">
            <v>4477.5600000000004</v>
          </cell>
          <cell r="D43">
            <v>93.28</v>
          </cell>
          <cell r="E43">
            <v>0</v>
          </cell>
          <cell r="F43">
            <v>0</v>
          </cell>
          <cell r="G43">
            <v>59</v>
          </cell>
          <cell r="H43">
            <v>4418.5600000000004</v>
          </cell>
          <cell r="I43">
            <v>2462.9299999999998</v>
          </cell>
          <cell r="J43">
            <v>31.59</v>
          </cell>
          <cell r="K43">
            <v>1987.22</v>
          </cell>
          <cell r="L43">
            <v>44.7</v>
          </cell>
          <cell r="M43">
            <v>0.35</v>
          </cell>
        </row>
        <row r="44">
          <cell r="A44" t="str">
            <v>BELLA PIA</v>
          </cell>
          <cell r="B44">
            <v>13</v>
          </cell>
          <cell r="C44">
            <v>4014.7</v>
          </cell>
          <cell r="D44">
            <v>182.49</v>
          </cell>
          <cell r="E44">
            <v>0</v>
          </cell>
          <cell r="F44">
            <v>0</v>
          </cell>
          <cell r="G44">
            <v>314.10000000000002</v>
          </cell>
          <cell r="H44">
            <v>3700.6</v>
          </cell>
          <cell r="I44">
            <v>2421.65</v>
          </cell>
          <cell r="J44">
            <v>206.26</v>
          </cell>
          <cell r="K44">
            <v>1485.21</v>
          </cell>
          <cell r="L44">
            <v>39</v>
          </cell>
          <cell r="M44">
            <v>0.31</v>
          </cell>
        </row>
        <row r="45">
          <cell r="A45" t="str">
            <v>NORTON</v>
          </cell>
          <cell r="B45">
            <v>32</v>
          </cell>
          <cell r="C45">
            <v>4013.38</v>
          </cell>
          <cell r="D45">
            <v>3.03</v>
          </cell>
          <cell r="E45">
            <v>0</v>
          </cell>
          <cell r="F45">
            <v>0</v>
          </cell>
          <cell r="G45">
            <v>5.7</v>
          </cell>
          <cell r="H45">
            <v>4007.68</v>
          </cell>
          <cell r="I45">
            <v>2022.57</v>
          </cell>
          <cell r="J45">
            <v>2.19</v>
          </cell>
          <cell r="K45">
            <v>1987.3</v>
          </cell>
          <cell r="L45">
            <v>49.54</v>
          </cell>
          <cell r="M45">
            <v>0.31</v>
          </cell>
        </row>
        <row r="46">
          <cell r="A46" t="str">
            <v>CORTAG</v>
          </cell>
          <cell r="B46">
            <v>15</v>
          </cell>
          <cell r="C46">
            <v>3817.09</v>
          </cell>
          <cell r="D46">
            <v>28.49</v>
          </cell>
          <cell r="E46">
            <v>0</v>
          </cell>
          <cell r="F46">
            <v>0</v>
          </cell>
          <cell r="G46">
            <v>229.9</v>
          </cell>
          <cell r="H46">
            <v>3587.19</v>
          </cell>
          <cell r="I46">
            <v>2476.7399999999998</v>
          </cell>
          <cell r="J46">
            <v>172.12</v>
          </cell>
          <cell r="K46">
            <v>1282.57</v>
          </cell>
          <cell r="L46">
            <v>35.19</v>
          </cell>
          <cell r="M46">
            <v>0.3</v>
          </cell>
        </row>
        <row r="47">
          <cell r="A47" t="str">
            <v>BRASFORMA</v>
          </cell>
          <cell r="B47">
            <v>4</v>
          </cell>
          <cell r="C47">
            <v>3774.02</v>
          </cell>
          <cell r="D47">
            <v>48.38</v>
          </cell>
          <cell r="E47">
            <v>0</v>
          </cell>
          <cell r="F47">
            <v>0</v>
          </cell>
          <cell r="G47">
            <v>127.9</v>
          </cell>
          <cell r="H47">
            <v>3646.12</v>
          </cell>
          <cell r="I47">
            <v>2142.56</v>
          </cell>
          <cell r="J47">
            <v>70.97</v>
          </cell>
          <cell r="K47">
            <v>1574.53</v>
          </cell>
          <cell r="L47">
            <v>42.52</v>
          </cell>
          <cell r="M47">
            <v>0.28999999999999998</v>
          </cell>
        </row>
        <row r="48">
          <cell r="A48" t="str">
            <v>LEDVANCE</v>
          </cell>
          <cell r="B48">
            <v>10</v>
          </cell>
          <cell r="C48">
            <v>3725.93</v>
          </cell>
          <cell r="D48">
            <v>9.36</v>
          </cell>
          <cell r="E48">
            <v>0</v>
          </cell>
          <cell r="F48">
            <v>0</v>
          </cell>
          <cell r="G48">
            <v>94.18</v>
          </cell>
          <cell r="H48">
            <v>3631.75</v>
          </cell>
          <cell r="I48">
            <v>2299.84</v>
          </cell>
          <cell r="J48">
            <v>58.86</v>
          </cell>
          <cell r="K48">
            <v>1390.77</v>
          </cell>
          <cell r="L48">
            <v>37.93</v>
          </cell>
          <cell r="M48">
            <v>0.28999999999999998</v>
          </cell>
        </row>
        <row r="49">
          <cell r="A49" t="str">
            <v>LEGRAND</v>
          </cell>
          <cell r="B49">
            <v>15</v>
          </cell>
          <cell r="C49">
            <v>3713.01</v>
          </cell>
          <cell r="D49">
            <v>15.73</v>
          </cell>
          <cell r="E49">
            <v>0</v>
          </cell>
          <cell r="F49">
            <v>0</v>
          </cell>
          <cell r="G49">
            <v>106.2</v>
          </cell>
          <cell r="H49">
            <v>3606.81</v>
          </cell>
          <cell r="I49">
            <v>2263.3000000000002</v>
          </cell>
          <cell r="J49">
            <v>66.61</v>
          </cell>
          <cell r="K49">
            <v>1410.12</v>
          </cell>
          <cell r="L49">
            <v>38.67</v>
          </cell>
          <cell r="M49">
            <v>0.28999999999999998</v>
          </cell>
        </row>
        <row r="50">
          <cell r="A50" t="str">
            <v>ARAFORROS</v>
          </cell>
          <cell r="B50">
            <v>10</v>
          </cell>
          <cell r="C50">
            <v>3607</v>
          </cell>
          <cell r="D50">
            <v>150.29</v>
          </cell>
          <cell r="E50">
            <v>0</v>
          </cell>
          <cell r="F50">
            <v>0</v>
          </cell>
          <cell r="G50">
            <v>139.9</v>
          </cell>
          <cell r="H50">
            <v>3467.1</v>
          </cell>
          <cell r="I50">
            <v>2089.6999999999998</v>
          </cell>
          <cell r="J50">
            <v>79</v>
          </cell>
          <cell r="K50">
            <v>1456.4</v>
          </cell>
          <cell r="L50">
            <v>41.28</v>
          </cell>
          <cell r="M50">
            <v>0.28000000000000003</v>
          </cell>
        </row>
        <row r="51">
          <cell r="A51" t="str">
            <v>MASCOTE</v>
          </cell>
          <cell r="B51">
            <v>29</v>
          </cell>
          <cell r="C51">
            <v>3143.58</v>
          </cell>
          <cell r="D51">
            <v>14.29</v>
          </cell>
          <cell r="E51">
            <v>0</v>
          </cell>
          <cell r="F51">
            <v>0</v>
          </cell>
          <cell r="G51">
            <v>196.53</v>
          </cell>
          <cell r="H51">
            <v>2947.05</v>
          </cell>
          <cell r="I51">
            <v>1713</v>
          </cell>
          <cell r="J51">
            <v>109.11</v>
          </cell>
          <cell r="K51">
            <v>1343.16</v>
          </cell>
          <cell r="L51">
            <v>44.26</v>
          </cell>
          <cell r="M51">
            <v>0.24</v>
          </cell>
        </row>
        <row r="52">
          <cell r="A52" t="str">
            <v>BOTAFOGO</v>
          </cell>
          <cell r="B52">
            <v>3</v>
          </cell>
          <cell r="C52">
            <v>2830.9</v>
          </cell>
          <cell r="D52">
            <v>707.73</v>
          </cell>
          <cell r="E52">
            <v>0</v>
          </cell>
          <cell r="F52">
            <v>0</v>
          </cell>
          <cell r="G52">
            <v>628.9</v>
          </cell>
          <cell r="H52">
            <v>2202</v>
          </cell>
          <cell r="I52">
            <v>1783.62</v>
          </cell>
          <cell r="J52">
            <v>366.58</v>
          </cell>
          <cell r="K52">
            <v>784.96</v>
          </cell>
          <cell r="L52">
            <v>31.85</v>
          </cell>
          <cell r="M52">
            <v>0.22</v>
          </cell>
        </row>
        <row r="53">
          <cell r="A53" t="str">
            <v>ADERE</v>
          </cell>
          <cell r="B53">
            <v>14</v>
          </cell>
          <cell r="C53">
            <v>2827.93</v>
          </cell>
          <cell r="D53">
            <v>10.67</v>
          </cell>
          <cell r="E53">
            <v>0</v>
          </cell>
          <cell r="F53">
            <v>0</v>
          </cell>
          <cell r="G53">
            <v>0</v>
          </cell>
          <cell r="H53">
            <v>2827.93</v>
          </cell>
          <cell r="I53">
            <v>1658.52</v>
          </cell>
          <cell r="J53">
            <v>0</v>
          </cell>
          <cell r="K53">
            <v>1169.4100000000001</v>
          </cell>
          <cell r="L53">
            <v>41.35</v>
          </cell>
          <cell r="M53">
            <v>0.22</v>
          </cell>
        </row>
        <row r="54">
          <cell r="A54" t="str">
            <v>PADO</v>
          </cell>
          <cell r="B54">
            <v>9</v>
          </cell>
          <cell r="C54">
            <v>2773.56</v>
          </cell>
          <cell r="D54">
            <v>34.24</v>
          </cell>
          <cell r="E54">
            <v>0</v>
          </cell>
          <cell r="F54">
            <v>0</v>
          </cell>
          <cell r="G54">
            <v>0</v>
          </cell>
          <cell r="H54">
            <v>2773.56</v>
          </cell>
          <cell r="I54">
            <v>1662.82</v>
          </cell>
          <cell r="J54">
            <v>0</v>
          </cell>
          <cell r="K54">
            <v>1110.74</v>
          </cell>
          <cell r="L54">
            <v>40.049999999999997</v>
          </cell>
          <cell r="M54">
            <v>0.22</v>
          </cell>
        </row>
        <row r="55">
          <cell r="A55" t="str">
            <v>ANJO QUIMICA DO BRASIL LTDA</v>
          </cell>
          <cell r="B55">
            <v>12</v>
          </cell>
          <cell r="C55">
            <v>2744.66</v>
          </cell>
          <cell r="D55">
            <v>26.91</v>
          </cell>
          <cell r="E55">
            <v>0</v>
          </cell>
          <cell r="F55">
            <v>0</v>
          </cell>
          <cell r="G55">
            <v>0</v>
          </cell>
          <cell r="H55">
            <v>2744.66</v>
          </cell>
          <cell r="I55">
            <v>1706.19</v>
          </cell>
          <cell r="J55">
            <v>0</v>
          </cell>
          <cell r="K55">
            <v>1038.47</v>
          </cell>
          <cell r="L55">
            <v>37.840000000000003</v>
          </cell>
          <cell r="M55">
            <v>0.21</v>
          </cell>
        </row>
        <row r="56">
          <cell r="A56" t="str">
            <v>TRAMONTINA NORDESTE</v>
          </cell>
          <cell r="B56">
            <v>9</v>
          </cell>
          <cell r="C56">
            <v>2666.66</v>
          </cell>
          <cell r="D56">
            <v>57.97</v>
          </cell>
          <cell r="E56">
            <v>0</v>
          </cell>
          <cell r="F56">
            <v>0</v>
          </cell>
          <cell r="G56">
            <v>494.8</v>
          </cell>
          <cell r="H56">
            <v>2171.86</v>
          </cell>
          <cell r="I56">
            <v>1667.06</v>
          </cell>
          <cell r="J56">
            <v>289.89</v>
          </cell>
          <cell r="K56">
            <v>794.69</v>
          </cell>
          <cell r="L56">
            <v>33.44</v>
          </cell>
          <cell r="M56">
            <v>0.21</v>
          </cell>
        </row>
        <row r="57">
          <cell r="A57" t="str">
            <v>PULVITEC</v>
          </cell>
          <cell r="B57">
            <v>31</v>
          </cell>
          <cell r="C57">
            <v>2650.19</v>
          </cell>
          <cell r="D57">
            <v>7.59</v>
          </cell>
          <cell r="E57">
            <v>0</v>
          </cell>
          <cell r="F57">
            <v>0</v>
          </cell>
          <cell r="G57">
            <v>32.5</v>
          </cell>
          <cell r="H57">
            <v>2617.69</v>
          </cell>
          <cell r="I57">
            <v>1295.71</v>
          </cell>
          <cell r="J57">
            <v>18.32</v>
          </cell>
          <cell r="K57">
            <v>1340.3</v>
          </cell>
          <cell r="L57">
            <v>50.93</v>
          </cell>
          <cell r="M57">
            <v>0.21</v>
          </cell>
        </row>
        <row r="58">
          <cell r="A58" t="str">
            <v>PRATIMIX</v>
          </cell>
          <cell r="B58">
            <v>24</v>
          </cell>
          <cell r="C58">
            <v>2645.27</v>
          </cell>
          <cell r="D58">
            <v>10.33</v>
          </cell>
          <cell r="E58">
            <v>0</v>
          </cell>
          <cell r="F58">
            <v>0</v>
          </cell>
          <cell r="G58">
            <v>282.5</v>
          </cell>
          <cell r="H58">
            <v>2362.77</v>
          </cell>
          <cell r="I58">
            <v>1477.86</v>
          </cell>
          <cell r="J58">
            <v>158.4</v>
          </cell>
          <cell r="K58">
            <v>1043.31</v>
          </cell>
          <cell r="L58">
            <v>41.95</v>
          </cell>
          <cell r="M58">
            <v>0.21</v>
          </cell>
        </row>
        <row r="59">
          <cell r="A59" t="str">
            <v>PRATEFIX</v>
          </cell>
          <cell r="B59">
            <v>6</v>
          </cell>
          <cell r="C59">
            <v>2602.58</v>
          </cell>
          <cell r="D59">
            <v>37.72</v>
          </cell>
          <cell r="E59">
            <v>0</v>
          </cell>
          <cell r="F59">
            <v>0</v>
          </cell>
          <cell r="G59">
            <v>0</v>
          </cell>
          <cell r="H59">
            <v>2602.58</v>
          </cell>
          <cell r="I59">
            <v>1385.66</v>
          </cell>
          <cell r="J59">
            <v>0</v>
          </cell>
          <cell r="K59">
            <v>1216.92</v>
          </cell>
          <cell r="L59">
            <v>46.76</v>
          </cell>
          <cell r="M59">
            <v>0.2</v>
          </cell>
        </row>
        <row r="60">
          <cell r="A60" t="str">
            <v>VONDER</v>
          </cell>
          <cell r="B60">
            <v>9</v>
          </cell>
          <cell r="C60">
            <v>2541.4</v>
          </cell>
          <cell r="D60">
            <v>20.66</v>
          </cell>
          <cell r="E60">
            <v>0</v>
          </cell>
          <cell r="F60">
            <v>0</v>
          </cell>
          <cell r="G60">
            <v>78.599999999999994</v>
          </cell>
          <cell r="H60">
            <v>2462.8000000000002</v>
          </cell>
          <cell r="I60">
            <v>1310.3800000000001</v>
          </cell>
          <cell r="J60">
            <v>36.82</v>
          </cell>
          <cell r="K60">
            <v>1189.24</v>
          </cell>
          <cell r="L60">
            <v>47.48</v>
          </cell>
          <cell r="M60">
            <v>0.2</v>
          </cell>
        </row>
        <row r="61">
          <cell r="A61" t="str">
            <v>PLASTMAR IND E COM</v>
          </cell>
          <cell r="B61">
            <v>6</v>
          </cell>
          <cell r="C61">
            <v>2409.1</v>
          </cell>
          <cell r="D61">
            <v>44.61</v>
          </cell>
          <cell r="E61">
            <v>0</v>
          </cell>
          <cell r="F61">
            <v>0</v>
          </cell>
          <cell r="G61">
            <v>0</v>
          </cell>
          <cell r="H61">
            <v>2409.1</v>
          </cell>
          <cell r="I61">
            <v>1409.91</v>
          </cell>
          <cell r="J61">
            <v>0</v>
          </cell>
          <cell r="K61">
            <v>999.19</v>
          </cell>
          <cell r="L61">
            <v>41.48</v>
          </cell>
          <cell r="M61">
            <v>0.19</v>
          </cell>
        </row>
        <row r="62">
          <cell r="A62" t="str">
            <v>EXATRON</v>
          </cell>
          <cell r="B62">
            <v>4</v>
          </cell>
          <cell r="C62">
            <v>2372.9299999999998</v>
          </cell>
          <cell r="D62">
            <v>64.13</v>
          </cell>
          <cell r="E62">
            <v>0</v>
          </cell>
          <cell r="F62">
            <v>0</v>
          </cell>
          <cell r="G62">
            <v>94.8</v>
          </cell>
          <cell r="H62">
            <v>2278.13</v>
          </cell>
          <cell r="I62">
            <v>1359.66</v>
          </cell>
          <cell r="J62">
            <v>57.12</v>
          </cell>
          <cell r="K62">
            <v>975.59</v>
          </cell>
          <cell r="L62">
            <v>42.13</v>
          </cell>
          <cell r="M62">
            <v>0.18</v>
          </cell>
        </row>
        <row r="63">
          <cell r="A63" t="str">
            <v>CENSI</v>
          </cell>
          <cell r="B63">
            <v>27</v>
          </cell>
          <cell r="C63">
            <v>2330.6999999999998</v>
          </cell>
          <cell r="D63">
            <v>19.260000000000002</v>
          </cell>
          <cell r="E63">
            <v>0</v>
          </cell>
          <cell r="F63">
            <v>0</v>
          </cell>
          <cell r="G63">
            <v>34.200000000000003</v>
          </cell>
          <cell r="H63">
            <v>2296.5</v>
          </cell>
          <cell r="I63">
            <v>1370.11</v>
          </cell>
          <cell r="J63">
            <v>20.85</v>
          </cell>
          <cell r="K63">
            <v>947.24</v>
          </cell>
          <cell r="L63">
            <v>41.01</v>
          </cell>
          <cell r="M63">
            <v>0.18</v>
          </cell>
        </row>
        <row r="64">
          <cell r="A64" t="str">
            <v>ILUMI</v>
          </cell>
          <cell r="B64">
            <v>12</v>
          </cell>
          <cell r="C64">
            <v>2230.15</v>
          </cell>
          <cell r="D64">
            <v>11.68</v>
          </cell>
          <cell r="E64">
            <v>0</v>
          </cell>
          <cell r="F64">
            <v>0</v>
          </cell>
          <cell r="G64">
            <v>13.6</v>
          </cell>
          <cell r="H64">
            <v>2216.5500000000002</v>
          </cell>
          <cell r="I64">
            <v>1227.55</v>
          </cell>
          <cell r="J64">
            <v>7.09</v>
          </cell>
          <cell r="K64">
            <v>996.09</v>
          </cell>
          <cell r="L64">
            <v>44.81</v>
          </cell>
          <cell r="M64">
            <v>0.17</v>
          </cell>
        </row>
        <row r="65">
          <cell r="A65" t="str">
            <v>STARRETT INDUSTRIA E COMERCIO</v>
          </cell>
          <cell r="B65">
            <v>11</v>
          </cell>
          <cell r="C65">
            <v>2209.25</v>
          </cell>
          <cell r="D65">
            <v>12.55</v>
          </cell>
          <cell r="E65">
            <v>0</v>
          </cell>
          <cell r="F65">
            <v>0</v>
          </cell>
          <cell r="G65">
            <v>0</v>
          </cell>
          <cell r="H65">
            <v>2209.25</v>
          </cell>
          <cell r="I65">
            <v>1172.1300000000001</v>
          </cell>
          <cell r="J65">
            <v>0</v>
          </cell>
          <cell r="K65">
            <v>1037.1199999999999</v>
          </cell>
          <cell r="L65">
            <v>46.94</v>
          </cell>
          <cell r="M65">
            <v>0.17</v>
          </cell>
        </row>
        <row r="66">
          <cell r="A66" t="str">
            <v>METALOSA</v>
          </cell>
          <cell r="B66">
            <v>6</v>
          </cell>
          <cell r="C66">
            <v>2079</v>
          </cell>
          <cell r="D66">
            <v>207.9</v>
          </cell>
          <cell r="E66">
            <v>0</v>
          </cell>
          <cell r="F66">
            <v>0</v>
          </cell>
          <cell r="G66">
            <v>168.9</v>
          </cell>
          <cell r="H66">
            <v>1910.1</v>
          </cell>
          <cell r="I66">
            <v>1250.48</v>
          </cell>
          <cell r="J66">
            <v>110.06</v>
          </cell>
          <cell r="K66">
            <v>769.68</v>
          </cell>
          <cell r="L66">
            <v>39.090000000000003</v>
          </cell>
          <cell r="M66">
            <v>0.16</v>
          </cell>
        </row>
        <row r="67">
          <cell r="A67" t="str">
            <v>OSTEN</v>
          </cell>
          <cell r="B67">
            <v>2</v>
          </cell>
          <cell r="C67">
            <v>1996.9</v>
          </cell>
          <cell r="D67">
            <v>28.13</v>
          </cell>
          <cell r="E67">
            <v>0</v>
          </cell>
          <cell r="F67">
            <v>0</v>
          </cell>
          <cell r="G67">
            <v>0</v>
          </cell>
          <cell r="H67">
            <v>1996.9</v>
          </cell>
          <cell r="I67">
            <v>1313.01</v>
          </cell>
          <cell r="J67">
            <v>0</v>
          </cell>
          <cell r="K67">
            <v>683.89</v>
          </cell>
          <cell r="L67">
            <v>34.25</v>
          </cell>
          <cell r="M67">
            <v>0.16</v>
          </cell>
        </row>
        <row r="68">
          <cell r="A68" t="str">
            <v>ALIANÇA</v>
          </cell>
          <cell r="B68">
            <v>6</v>
          </cell>
          <cell r="C68">
            <v>1973.5</v>
          </cell>
          <cell r="D68">
            <v>56.39</v>
          </cell>
          <cell r="E68">
            <v>0</v>
          </cell>
          <cell r="F68">
            <v>0</v>
          </cell>
          <cell r="G68">
            <v>0</v>
          </cell>
          <cell r="H68">
            <v>1973.5</v>
          </cell>
          <cell r="I68">
            <v>1232.76</v>
          </cell>
          <cell r="J68">
            <v>0</v>
          </cell>
          <cell r="K68">
            <v>740.74</v>
          </cell>
          <cell r="L68">
            <v>37.53</v>
          </cell>
          <cell r="M68">
            <v>0.15</v>
          </cell>
        </row>
        <row r="69">
          <cell r="A69" t="str">
            <v>BEMFIXA</v>
          </cell>
          <cell r="B69">
            <v>8</v>
          </cell>
          <cell r="C69">
            <v>1858.35</v>
          </cell>
          <cell r="D69">
            <v>10.87</v>
          </cell>
          <cell r="E69">
            <v>0</v>
          </cell>
          <cell r="F69">
            <v>0</v>
          </cell>
          <cell r="G69">
            <v>23.8</v>
          </cell>
          <cell r="H69">
            <v>1834.55</v>
          </cell>
          <cell r="I69">
            <v>1147.69</v>
          </cell>
          <cell r="J69">
            <v>15.16</v>
          </cell>
          <cell r="K69">
            <v>702.02</v>
          </cell>
          <cell r="L69">
            <v>38.090000000000003</v>
          </cell>
          <cell r="M69">
            <v>0.14000000000000001</v>
          </cell>
        </row>
        <row r="70">
          <cell r="A70" t="str">
            <v>PADRAO FORTE</v>
          </cell>
          <cell r="B70">
            <v>9</v>
          </cell>
          <cell r="C70">
            <v>1757.71</v>
          </cell>
          <cell r="D70">
            <v>34.46</v>
          </cell>
          <cell r="E70">
            <v>0</v>
          </cell>
          <cell r="F70">
            <v>0</v>
          </cell>
          <cell r="G70">
            <v>0</v>
          </cell>
          <cell r="H70">
            <v>1757.71</v>
          </cell>
          <cell r="I70">
            <v>1043.92</v>
          </cell>
          <cell r="J70">
            <v>0</v>
          </cell>
          <cell r="K70">
            <v>713.79</v>
          </cell>
          <cell r="L70">
            <v>40.61</v>
          </cell>
          <cell r="M70">
            <v>0.14000000000000001</v>
          </cell>
        </row>
        <row r="71">
          <cell r="A71" t="str">
            <v>Momfort</v>
          </cell>
          <cell r="B71">
            <v>5</v>
          </cell>
          <cell r="C71">
            <v>1652.23</v>
          </cell>
          <cell r="D71">
            <v>28</v>
          </cell>
          <cell r="E71">
            <v>0</v>
          </cell>
          <cell r="F71">
            <v>0</v>
          </cell>
          <cell r="G71">
            <v>19.399999999999999</v>
          </cell>
          <cell r="H71">
            <v>1632.83</v>
          </cell>
          <cell r="I71">
            <v>871.63</v>
          </cell>
          <cell r="J71">
            <v>10.210000000000001</v>
          </cell>
          <cell r="K71">
            <v>771.41</v>
          </cell>
          <cell r="L71">
            <v>46.98</v>
          </cell>
          <cell r="M71">
            <v>0.13</v>
          </cell>
        </row>
        <row r="72">
          <cell r="A72" t="str">
            <v>MARLUVAS</v>
          </cell>
          <cell r="B72">
            <v>3</v>
          </cell>
          <cell r="C72">
            <v>1640.71</v>
          </cell>
          <cell r="D72">
            <v>71.34</v>
          </cell>
          <cell r="E72">
            <v>0</v>
          </cell>
          <cell r="F72">
            <v>0</v>
          </cell>
          <cell r="G72">
            <v>49.4</v>
          </cell>
          <cell r="H72">
            <v>1591.31</v>
          </cell>
          <cell r="I72">
            <v>1100.4100000000001</v>
          </cell>
          <cell r="J72">
            <v>33.83</v>
          </cell>
          <cell r="K72">
            <v>524.73</v>
          </cell>
          <cell r="L72">
            <v>32.659999999999997</v>
          </cell>
          <cell r="M72">
            <v>0.13</v>
          </cell>
        </row>
        <row r="73">
          <cell r="A73" t="str">
            <v>J LOBATO</v>
          </cell>
          <cell r="B73">
            <v>6</v>
          </cell>
          <cell r="C73">
            <v>1640.59</v>
          </cell>
          <cell r="D73">
            <v>20.77</v>
          </cell>
          <cell r="E73">
            <v>0</v>
          </cell>
          <cell r="F73">
            <v>0</v>
          </cell>
          <cell r="G73">
            <v>46.35</v>
          </cell>
          <cell r="H73">
            <v>1594.24</v>
          </cell>
          <cell r="I73">
            <v>745.93</v>
          </cell>
          <cell r="J73">
            <v>21.03</v>
          </cell>
          <cell r="K73">
            <v>869.34</v>
          </cell>
          <cell r="L73">
            <v>53.68</v>
          </cell>
          <cell r="M73">
            <v>0.13</v>
          </cell>
        </row>
        <row r="74">
          <cell r="A74" t="str">
            <v>BOSCH</v>
          </cell>
          <cell r="B74">
            <v>4</v>
          </cell>
          <cell r="C74">
            <v>1613.2</v>
          </cell>
          <cell r="D74">
            <v>201.65</v>
          </cell>
          <cell r="E74">
            <v>0</v>
          </cell>
          <cell r="F74">
            <v>0</v>
          </cell>
          <cell r="G74">
            <v>0</v>
          </cell>
          <cell r="H74">
            <v>1613.2</v>
          </cell>
          <cell r="I74">
            <v>1049.5999999999999</v>
          </cell>
          <cell r="J74">
            <v>0</v>
          </cell>
          <cell r="K74">
            <v>563.6</v>
          </cell>
          <cell r="L74">
            <v>34.94</v>
          </cell>
          <cell r="M74">
            <v>0.13</v>
          </cell>
        </row>
        <row r="75">
          <cell r="A75" t="str">
            <v>TRAMONTINA</v>
          </cell>
          <cell r="B75">
            <v>6</v>
          </cell>
          <cell r="C75">
            <v>1582.01</v>
          </cell>
          <cell r="D75">
            <v>41.63</v>
          </cell>
          <cell r="E75">
            <v>0</v>
          </cell>
          <cell r="F75">
            <v>0</v>
          </cell>
          <cell r="G75">
            <v>0</v>
          </cell>
          <cell r="H75">
            <v>1582.01</v>
          </cell>
          <cell r="I75">
            <v>897.27</v>
          </cell>
          <cell r="J75">
            <v>0</v>
          </cell>
          <cell r="K75">
            <v>684.74</v>
          </cell>
          <cell r="L75">
            <v>43.28</v>
          </cell>
          <cell r="M75">
            <v>0.12</v>
          </cell>
        </row>
        <row r="76">
          <cell r="A76" t="str">
            <v>NAWA COM ATAC VAR PROD LAR E L</v>
          </cell>
          <cell r="B76">
            <v>3</v>
          </cell>
          <cell r="C76">
            <v>1485.65</v>
          </cell>
          <cell r="D76">
            <v>297.13</v>
          </cell>
          <cell r="E76">
            <v>0</v>
          </cell>
          <cell r="F76">
            <v>0</v>
          </cell>
          <cell r="G76">
            <v>0</v>
          </cell>
          <cell r="H76">
            <v>1485.65</v>
          </cell>
          <cell r="I76">
            <v>907.1</v>
          </cell>
          <cell r="J76">
            <v>0</v>
          </cell>
          <cell r="K76">
            <v>578.54999999999995</v>
          </cell>
          <cell r="L76">
            <v>38.94</v>
          </cell>
          <cell r="M76">
            <v>0.12</v>
          </cell>
        </row>
        <row r="77">
          <cell r="A77" t="str">
            <v>BOGNAR</v>
          </cell>
          <cell r="B77">
            <v>7</v>
          </cell>
          <cell r="C77">
            <v>1443.3</v>
          </cell>
          <cell r="D77">
            <v>49.77</v>
          </cell>
          <cell r="E77">
            <v>0</v>
          </cell>
          <cell r="F77">
            <v>0</v>
          </cell>
          <cell r="G77">
            <v>162</v>
          </cell>
          <cell r="H77">
            <v>1281.3</v>
          </cell>
          <cell r="I77">
            <v>883.47</v>
          </cell>
          <cell r="J77">
            <v>100.68</v>
          </cell>
          <cell r="K77">
            <v>498.51</v>
          </cell>
          <cell r="L77">
            <v>37.130000000000003</v>
          </cell>
          <cell r="M77">
            <v>0.11</v>
          </cell>
        </row>
        <row r="78">
          <cell r="A78" t="str">
            <v>TAF</v>
          </cell>
          <cell r="B78">
            <v>6</v>
          </cell>
          <cell r="C78">
            <v>1372.82</v>
          </cell>
          <cell r="D78">
            <v>31.2</v>
          </cell>
          <cell r="E78">
            <v>0</v>
          </cell>
          <cell r="F78">
            <v>0</v>
          </cell>
          <cell r="G78">
            <v>0</v>
          </cell>
          <cell r="H78">
            <v>1372.82</v>
          </cell>
          <cell r="I78">
            <v>750.77</v>
          </cell>
          <cell r="J78">
            <v>0</v>
          </cell>
          <cell r="K78">
            <v>622.04999999999995</v>
          </cell>
          <cell r="L78">
            <v>45.31</v>
          </cell>
          <cell r="M78">
            <v>0.11</v>
          </cell>
        </row>
        <row r="79">
          <cell r="A79" t="str">
            <v>KALIPSO</v>
          </cell>
          <cell r="B79">
            <v>11</v>
          </cell>
          <cell r="C79">
            <v>1347.11</v>
          </cell>
          <cell r="D79">
            <v>7.24</v>
          </cell>
          <cell r="E79">
            <v>0</v>
          </cell>
          <cell r="F79">
            <v>0</v>
          </cell>
          <cell r="G79">
            <v>0</v>
          </cell>
          <cell r="H79">
            <v>1347.11</v>
          </cell>
          <cell r="I79">
            <v>613.19000000000005</v>
          </cell>
          <cell r="J79">
            <v>0</v>
          </cell>
          <cell r="K79">
            <v>733.92</v>
          </cell>
          <cell r="L79">
            <v>54.48</v>
          </cell>
          <cell r="M79">
            <v>0.1</v>
          </cell>
        </row>
        <row r="80">
          <cell r="A80" t="str">
            <v>INCESA</v>
          </cell>
          <cell r="B80">
            <v>3</v>
          </cell>
          <cell r="C80">
            <v>1316</v>
          </cell>
          <cell r="D80">
            <v>32.9</v>
          </cell>
          <cell r="E80">
            <v>0</v>
          </cell>
          <cell r="F80">
            <v>0</v>
          </cell>
          <cell r="G80">
            <v>0</v>
          </cell>
          <cell r="H80">
            <v>1316</v>
          </cell>
          <cell r="I80">
            <v>982.9</v>
          </cell>
          <cell r="J80">
            <v>0</v>
          </cell>
          <cell r="K80">
            <v>333.1</v>
          </cell>
          <cell r="L80">
            <v>25.31</v>
          </cell>
          <cell r="M80">
            <v>0.1</v>
          </cell>
        </row>
        <row r="81">
          <cell r="A81" t="str">
            <v>ORBI QUIMICA LTDA</v>
          </cell>
          <cell r="B81">
            <v>10</v>
          </cell>
          <cell r="C81">
            <v>1291.8399999999999</v>
          </cell>
          <cell r="D81">
            <v>15.75</v>
          </cell>
          <cell r="E81">
            <v>0</v>
          </cell>
          <cell r="F81">
            <v>0</v>
          </cell>
          <cell r="G81">
            <v>46.8</v>
          </cell>
          <cell r="H81">
            <v>1245.04</v>
          </cell>
          <cell r="I81">
            <v>710.55</v>
          </cell>
          <cell r="J81">
            <v>24.57</v>
          </cell>
          <cell r="K81">
            <v>559.05999999999995</v>
          </cell>
          <cell r="L81">
            <v>44.12</v>
          </cell>
          <cell r="M81">
            <v>0.1</v>
          </cell>
        </row>
        <row r="82">
          <cell r="A82" t="str">
            <v>SECALUX</v>
          </cell>
          <cell r="B82">
            <v>5</v>
          </cell>
          <cell r="C82">
            <v>1285.0999999999999</v>
          </cell>
          <cell r="D82">
            <v>55.87</v>
          </cell>
          <cell r="E82">
            <v>0</v>
          </cell>
          <cell r="F82">
            <v>0</v>
          </cell>
          <cell r="G82">
            <v>24.9</v>
          </cell>
          <cell r="H82">
            <v>1260.2</v>
          </cell>
          <cell r="I82">
            <v>807.03</v>
          </cell>
          <cell r="J82">
            <v>14.91</v>
          </cell>
          <cell r="K82">
            <v>468.08</v>
          </cell>
          <cell r="L82">
            <v>36.85</v>
          </cell>
          <cell r="M82">
            <v>0.1</v>
          </cell>
        </row>
        <row r="83">
          <cell r="A83" t="str">
            <v>BRASFORT</v>
          </cell>
          <cell r="B83">
            <v>6</v>
          </cell>
          <cell r="C83">
            <v>1208.96</v>
          </cell>
          <cell r="D83">
            <v>15.91</v>
          </cell>
          <cell r="E83">
            <v>0</v>
          </cell>
          <cell r="F83">
            <v>0</v>
          </cell>
          <cell r="G83">
            <v>0</v>
          </cell>
          <cell r="H83">
            <v>1208.96</v>
          </cell>
          <cell r="I83">
            <v>712.08</v>
          </cell>
          <cell r="J83">
            <v>0</v>
          </cell>
          <cell r="K83">
            <v>496.88</v>
          </cell>
          <cell r="L83">
            <v>41.1</v>
          </cell>
          <cell r="M83">
            <v>0.09</v>
          </cell>
        </row>
        <row r="84">
          <cell r="A84" t="str">
            <v>NOVA FIXACAO</v>
          </cell>
          <cell r="B84">
            <v>12</v>
          </cell>
          <cell r="C84">
            <v>1096.3699999999999</v>
          </cell>
          <cell r="D84">
            <v>2.2799999999999998</v>
          </cell>
          <cell r="E84">
            <v>0</v>
          </cell>
          <cell r="F84">
            <v>0</v>
          </cell>
          <cell r="G84">
            <v>18.399999999999999</v>
          </cell>
          <cell r="H84">
            <v>1077.97</v>
          </cell>
          <cell r="I84">
            <v>635.12</v>
          </cell>
          <cell r="J84">
            <v>10.64</v>
          </cell>
          <cell r="K84">
            <v>453.49</v>
          </cell>
          <cell r="L84">
            <v>41.77</v>
          </cell>
          <cell r="M84">
            <v>0.09</v>
          </cell>
        </row>
        <row r="85">
          <cell r="A85" t="str">
            <v>GERDAU</v>
          </cell>
          <cell r="B85">
            <v>8</v>
          </cell>
          <cell r="C85">
            <v>1083.92</v>
          </cell>
          <cell r="D85">
            <v>37.380000000000003</v>
          </cell>
          <cell r="E85">
            <v>0</v>
          </cell>
          <cell r="F85">
            <v>0</v>
          </cell>
          <cell r="G85">
            <v>0</v>
          </cell>
          <cell r="H85">
            <v>1083.92</v>
          </cell>
          <cell r="I85">
            <v>671.3</v>
          </cell>
          <cell r="J85">
            <v>0</v>
          </cell>
          <cell r="K85">
            <v>412.62</v>
          </cell>
          <cell r="L85">
            <v>38.07</v>
          </cell>
          <cell r="M85">
            <v>0.08</v>
          </cell>
        </row>
        <row r="86">
          <cell r="A86" t="str">
            <v>STAM</v>
          </cell>
          <cell r="B86">
            <v>4</v>
          </cell>
          <cell r="C86">
            <v>1036.9100000000001</v>
          </cell>
          <cell r="D86">
            <v>51.85</v>
          </cell>
          <cell r="E86">
            <v>0</v>
          </cell>
          <cell r="F86">
            <v>0</v>
          </cell>
          <cell r="G86">
            <v>0</v>
          </cell>
          <cell r="H86">
            <v>1036.9100000000001</v>
          </cell>
          <cell r="I86">
            <v>574.04</v>
          </cell>
          <cell r="J86">
            <v>0</v>
          </cell>
          <cell r="K86">
            <v>462.87</v>
          </cell>
          <cell r="L86">
            <v>44.64</v>
          </cell>
          <cell r="M86">
            <v>0.08</v>
          </cell>
        </row>
        <row r="87">
          <cell r="A87" t="str">
            <v>LGMAIS</v>
          </cell>
          <cell r="B87">
            <v>3</v>
          </cell>
          <cell r="C87">
            <v>981.9</v>
          </cell>
          <cell r="D87">
            <v>140.27000000000001</v>
          </cell>
          <cell r="E87">
            <v>0</v>
          </cell>
          <cell r="F87">
            <v>0</v>
          </cell>
          <cell r="G87">
            <v>0</v>
          </cell>
          <cell r="H87">
            <v>981.9</v>
          </cell>
          <cell r="I87">
            <v>585.88</v>
          </cell>
          <cell r="J87">
            <v>0</v>
          </cell>
          <cell r="K87">
            <v>396.02</v>
          </cell>
          <cell r="L87">
            <v>40.33</v>
          </cell>
          <cell r="M87">
            <v>0.08</v>
          </cell>
        </row>
        <row r="88">
          <cell r="A88" t="str">
            <v>FRANKLIN</v>
          </cell>
          <cell r="B88">
            <v>3</v>
          </cell>
          <cell r="C88">
            <v>975.7</v>
          </cell>
          <cell r="D88">
            <v>325.23</v>
          </cell>
          <cell r="E88">
            <v>0</v>
          </cell>
          <cell r="F88">
            <v>0</v>
          </cell>
          <cell r="G88">
            <v>0</v>
          </cell>
          <cell r="H88">
            <v>975.7</v>
          </cell>
          <cell r="I88">
            <v>547.54</v>
          </cell>
          <cell r="J88">
            <v>0</v>
          </cell>
          <cell r="K88">
            <v>428.16</v>
          </cell>
          <cell r="L88">
            <v>43.88</v>
          </cell>
          <cell r="M88">
            <v>0.08</v>
          </cell>
        </row>
        <row r="89">
          <cell r="A89" t="str">
            <v>FORTLINE</v>
          </cell>
          <cell r="B89">
            <v>4</v>
          </cell>
          <cell r="C89">
            <v>967</v>
          </cell>
          <cell r="D89">
            <v>96.7</v>
          </cell>
          <cell r="E89">
            <v>0</v>
          </cell>
          <cell r="F89">
            <v>0</v>
          </cell>
          <cell r="G89">
            <v>139.9</v>
          </cell>
          <cell r="H89">
            <v>827.1</v>
          </cell>
          <cell r="I89">
            <v>585.54</v>
          </cell>
          <cell r="J89">
            <v>86.31</v>
          </cell>
          <cell r="K89">
            <v>327.87</v>
          </cell>
          <cell r="L89">
            <v>37.229999999999997</v>
          </cell>
          <cell r="M89">
            <v>0.08</v>
          </cell>
        </row>
        <row r="90">
          <cell r="A90" t="str">
            <v>PINTSILK</v>
          </cell>
          <cell r="B90">
            <v>4</v>
          </cell>
          <cell r="C90">
            <v>919.98</v>
          </cell>
          <cell r="D90">
            <v>102.22</v>
          </cell>
          <cell r="E90">
            <v>0</v>
          </cell>
          <cell r="F90">
            <v>0</v>
          </cell>
          <cell r="G90">
            <v>0</v>
          </cell>
          <cell r="H90">
            <v>919.98</v>
          </cell>
          <cell r="I90">
            <v>532.21</v>
          </cell>
          <cell r="J90">
            <v>0</v>
          </cell>
          <cell r="K90">
            <v>387.77</v>
          </cell>
          <cell r="L90">
            <v>42.15</v>
          </cell>
          <cell r="M90">
            <v>7.0000000000000007E-2</v>
          </cell>
        </row>
        <row r="91">
          <cell r="A91" t="str">
            <v>ULTRA CLEAN</v>
          </cell>
          <cell r="B91">
            <v>6</v>
          </cell>
          <cell r="C91">
            <v>730.9</v>
          </cell>
          <cell r="D91">
            <v>19.75</v>
          </cell>
          <cell r="E91">
            <v>0</v>
          </cell>
          <cell r="F91">
            <v>0</v>
          </cell>
          <cell r="G91">
            <v>0</v>
          </cell>
          <cell r="H91">
            <v>730.9</v>
          </cell>
          <cell r="I91">
            <v>440.54</v>
          </cell>
          <cell r="J91">
            <v>0</v>
          </cell>
          <cell r="K91">
            <v>290.36</v>
          </cell>
          <cell r="L91">
            <v>39.729999999999997</v>
          </cell>
          <cell r="M91">
            <v>0.06</v>
          </cell>
        </row>
        <row r="92">
          <cell r="A92" t="str">
            <v>HIDRACOR</v>
          </cell>
          <cell r="B92">
            <v>9</v>
          </cell>
          <cell r="C92">
            <v>619.29999999999995</v>
          </cell>
          <cell r="D92">
            <v>3.89</v>
          </cell>
          <cell r="E92">
            <v>0</v>
          </cell>
          <cell r="F92">
            <v>0</v>
          </cell>
          <cell r="G92">
            <v>0</v>
          </cell>
          <cell r="H92">
            <v>619.29999999999995</v>
          </cell>
          <cell r="I92">
            <v>219.91</v>
          </cell>
          <cell r="J92">
            <v>0</v>
          </cell>
          <cell r="K92">
            <v>399.39</v>
          </cell>
          <cell r="L92">
            <v>64.489999999999995</v>
          </cell>
          <cell r="M92">
            <v>0.05</v>
          </cell>
        </row>
        <row r="93">
          <cell r="A93" t="str">
            <v>GARDENLIFE</v>
          </cell>
          <cell r="B93">
            <v>2</v>
          </cell>
          <cell r="C93">
            <v>565.5</v>
          </cell>
          <cell r="D93">
            <v>43.5</v>
          </cell>
          <cell r="E93">
            <v>0</v>
          </cell>
          <cell r="F93">
            <v>0</v>
          </cell>
          <cell r="G93">
            <v>0</v>
          </cell>
          <cell r="H93">
            <v>565.5</v>
          </cell>
          <cell r="I93">
            <v>363.09</v>
          </cell>
          <cell r="J93">
            <v>0</v>
          </cell>
          <cell r="K93">
            <v>202.41</v>
          </cell>
          <cell r="L93">
            <v>35.79</v>
          </cell>
          <cell r="M93">
            <v>0.04</v>
          </cell>
        </row>
        <row r="94">
          <cell r="A94" t="str">
            <v>DUDA</v>
          </cell>
          <cell r="B94">
            <v>2</v>
          </cell>
          <cell r="C94">
            <v>529.38</v>
          </cell>
          <cell r="D94">
            <v>34.380000000000003</v>
          </cell>
          <cell r="E94">
            <v>0</v>
          </cell>
          <cell r="F94">
            <v>0</v>
          </cell>
          <cell r="G94">
            <v>0</v>
          </cell>
          <cell r="H94">
            <v>529.38</v>
          </cell>
          <cell r="I94">
            <v>300.92399999999998</v>
          </cell>
          <cell r="J94">
            <v>0</v>
          </cell>
          <cell r="K94">
            <v>228.45599999999999</v>
          </cell>
          <cell r="L94">
            <v>43.16</v>
          </cell>
          <cell r="M94">
            <v>0.04</v>
          </cell>
        </row>
        <row r="95">
          <cell r="A95" t="str">
            <v>ULTRACLEAN</v>
          </cell>
          <cell r="B95">
            <v>5</v>
          </cell>
          <cell r="C95">
            <v>521.20000000000005</v>
          </cell>
          <cell r="D95">
            <v>18.61</v>
          </cell>
          <cell r="E95">
            <v>0</v>
          </cell>
          <cell r="F95">
            <v>0</v>
          </cell>
          <cell r="G95">
            <v>0</v>
          </cell>
          <cell r="H95">
            <v>521.20000000000005</v>
          </cell>
          <cell r="I95">
            <v>295.61</v>
          </cell>
          <cell r="J95">
            <v>0</v>
          </cell>
          <cell r="K95">
            <v>225.59</v>
          </cell>
          <cell r="L95">
            <v>43.28</v>
          </cell>
          <cell r="M95">
            <v>0.04</v>
          </cell>
        </row>
        <row r="96">
          <cell r="A96" t="str">
            <v>CHEMONE</v>
          </cell>
          <cell r="B96">
            <v>5</v>
          </cell>
          <cell r="C96">
            <v>491.75</v>
          </cell>
          <cell r="D96">
            <v>19.670000000000002</v>
          </cell>
          <cell r="E96">
            <v>0</v>
          </cell>
          <cell r="F96">
            <v>0</v>
          </cell>
          <cell r="G96">
            <v>0</v>
          </cell>
          <cell r="H96">
            <v>491.75</v>
          </cell>
          <cell r="I96">
            <v>285.05</v>
          </cell>
          <cell r="J96">
            <v>0</v>
          </cell>
          <cell r="K96">
            <v>206.7</v>
          </cell>
          <cell r="L96">
            <v>42.03</v>
          </cell>
          <cell r="M96">
            <v>0.04</v>
          </cell>
        </row>
        <row r="97">
          <cell r="A97" t="str">
            <v>Max-Giro</v>
          </cell>
          <cell r="B97">
            <v>4</v>
          </cell>
          <cell r="C97">
            <v>473.78</v>
          </cell>
          <cell r="D97">
            <v>12.47</v>
          </cell>
          <cell r="E97">
            <v>0</v>
          </cell>
          <cell r="F97">
            <v>0</v>
          </cell>
          <cell r="G97">
            <v>0</v>
          </cell>
          <cell r="H97">
            <v>473.78</v>
          </cell>
          <cell r="I97">
            <v>264.64999999999998</v>
          </cell>
          <cell r="J97">
            <v>0</v>
          </cell>
          <cell r="K97">
            <v>209.13</v>
          </cell>
          <cell r="L97">
            <v>44.14</v>
          </cell>
          <cell r="M97">
            <v>0.04</v>
          </cell>
        </row>
        <row r="98">
          <cell r="A98" t="str">
            <v>COMFORT DOOR</v>
          </cell>
          <cell r="B98">
            <v>1</v>
          </cell>
          <cell r="C98">
            <v>442.3</v>
          </cell>
          <cell r="D98">
            <v>26.02</v>
          </cell>
          <cell r="E98">
            <v>0</v>
          </cell>
          <cell r="F98">
            <v>0</v>
          </cell>
          <cell r="G98">
            <v>0</v>
          </cell>
          <cell r="H98">
            <v>442.3</v>
          </cell>
          <cell r="I98">
            <v>236.78</v>
          </cell>
          <cell r="J98">
            <v>0</v>
          </cell>
          <cell r="K98">
            <v>205.52</v>
          </cell>
          <cell r="L98">
            <v>46.47</v>
          </cell>
          <cell r="M98">
            <v>0.03</v>
          </cell>
        </row>
        <row r="99">
          <cell r="A99" t="str">
            <v>NORCOLA</v>
          </cell>
          <cell r="B99">
            <v>4</v>
          </cell>
          <cell r="C99">
            <v>435.3</v>
          </cell>
          <cell r="D99">
            <v>48.37</v>
          </cell>
          <cell r="E99">
            <v>0</v>
          </cell>
          <cell r="F99">
            <v>0</v>
          </cell>
          <cell r="G99">
            <v>0</v>
          </cell>
          <cell r="H99">
            <v>435.3</v>
          </cell>
          <cell r="I99">
            <v>302.23</v>
          </cell>
          <cell r="J99">
            <v>0</v>
          </cell>
          <cell r="K99">
            <v>133.07</v>
          </cell>
          <cell r="L99">
            <v>30.57</v>
          </cell>
          <cell r="M99">
            <v>0.03</v>
          </cell>
        </row>
        <row r="100">
          <cell r="A100" t="str">
            <v>OVERTIME</v>
          </cell>
          <cell r="B100">
            <v>3</v>
          </cell>
          <cell r="C100">
            <v>418.48</v>
          </cell>
          <cell r="D100">
            <v>24.62</v>
          </cell>
          <cell r="E100">
            <v>0</v>
          </cell>
          <cell r="F100">
            <v>0</v>
          </cell>
          <cell r="G100">
            <v>0</v>
          </cell>
          <cell r="H100">
            <v>418.48</v>
          </cell>
          <cell r="I100">
            <v>251.09</v>
          </cell>
          <cell r="J100">
            <v>0</v>
          </cell>
          <cell r="K100">
            <v>167.39</v>
          </cell>
          <cell r="L100">
            <v>40</v>
          </cell>
          <cell r="M100">
            <v>0.03</v>
          </cell>
        </row>
        <row r="101">
          <cell r="A101" t="str">
            <v>LEDAN</v>
          </cell>
          <cell r="B101">
            <v>6</v>
          </cell>
          <cell r="C101">
            <v>418.36</v>
          </cell>
          <cell r="D101">
            <v>4.92</v>
          </cell>
          <cell r="E101">
            <v>0</v>
          </cell>
          <cell r="F101">
            <v>0</v>
          </cell>
          <cell r="G101">
            <v>0</v>
          </cell>
          <cell r="H101">
            <v>418.36</v>
          </cell>
          <cell r="I101">
            <v>264.17</v>
          </cell>
          <cell r="J101">
            <v>0</v>
          </cell>
          <cell r="K101">
            <v>154.19</v>
          </cell>
          <cell r="L101">
            <v>36.86</v>
          </cell>
          <cell r="M101">
            <v>0.03</v>
          </cell>
        </row>
        <row r="102">
          <cell r="A102" t="str">
            <v>COZIMAX</v>
          </cell>
          <cell r="B102">
            <v>2</v>
          </cell>
          <cell r="C102">
            <v>417.7</v>
          </cell>
          <cell r="D102">
            <v>139.22999999999999</v>
          </cell>
          <cell r="E102">
            <v>0</v>
          </cell>
          <cell r="F102">
            <v>0</v>
          </cell>
          <cell r="G102">
            <v>0</v>
          </cell>
          <cell r="H102">
            <v>417.7</v>
          </cell>
          <cell r="I102">
            <v>244.6</v>
          </cell>
          <cell r="J102">
            <v>0</v>
          </cell>
          <cell r="K102">
            <v>173.1</v>
          </cell>
          <cell r="L102">
            <v>41.44</v>
          </cell>
          <cell r="M102">
            <v>0.03</v>
          </cell>
        </row>
        <row r="103">
          <cell r="A103" t="str">
            <v>RHPE</v>
          </cell>
          <cell r="B103">
            <v>1</v>
          </cell>
          <cell r="C103">
            <v>255.98</v>
          </cell>
          <cell r="D103">
            <v>85.33</v>
          </cell>
          <cell r="E103">
            <v>0</v>
          </cell>
          <cell r="F103">
            <v>0</v>
          </cell>
          <cell r="G103">
            <v>85.9</v>
          </cell>
          <cell r="H103">
            <v>170.08</v>
          </cell>
          <cell r="I103">
            <v>160.02000000000001</v>
          </cell>
          <cell r="J103">
            <v>53.34</v>
          </cell>
          <cell r="K103">
            <v>63.4</v>
          </cell>
          <cell r="L103">
            <v>31.29</v>
          </cell>
          <cell r="M103">
            <v>0.02</v>
          </cell>
        </row>
        <row r="104">
          <cell r="A104" t="str">
            <v>TRAMONTINA ELETRIK S.A.</v>
          </cell>
          <cell r="B104">
            <v>4</v>
          </cell>
          <cell r="C104">
            <v>254.25</v>
          </cell>
          <cell r="D104">
            <v>15.89</v>
          </cell>
          <cell r="E104">
            <v>0</v>
          </cell>
          <cell r="F104">
            <v>0</v>
          </cell>
          <cell r="G104">
            <v>0</v>
          </cell>
          <cell r="H104">
            <v>254.25</v>
          </cell>
          <cell r="I104">
            <v>156.4</v>
          </cell>
          <cell r="J104">
            <v>0</v>
          </cell>
          <cell r="K104">
            <v>97.85</v>
          </cell>
          <cell r="L104">
            <v>38.49</v>
          </cell>
          <cell r="M104">
            <v>0.02</v>
          </cell>
        </row>
        <row r="105">
          <cell r="A105" t="str">
            <v>RANCAN</v>
          </cell>
          <cell r="B105">
            <v>2</v>
          </cell>
          <cell r="C105">
            <v>239.6</v>
          </cell>
          <cell r="D105">
            <v>59.9</v>
          </cell>
          <cell r="E105">
            <v>0</v>
          </cell>
          <cell r="F105">
            <v>0</v>
          </cell>
          <cell r="G105">
            <v>0</v>
          </cell>
          <cell r="H105">
            <v>239.6</v>
          </cell>
          <cell r="I105">
            <v>132.69</v>
          </cell>
          <cell r="J105">
            <v>0</v>
          </cell>
          <cell r="K105">
            <v>106.91</v>
          </cell>
          <cell r="L105">
            <v>44.62</v>
          </cell>
          <cell r="M105">
            <v>0.02</v>
          </cell>
        </row>
        <row r="106">
          <cell r="A106" t="str">
            <v>PRECON</v>
          </cell>
          <cell r="B106">
            <v>2</v>
          </cell>
          <cell r="C106">
            <v>236.8</v>
          </cell>
          <cell r="D106">
            <v>118.4</v>
          </cell>
          <cell r="E106">
            <v>0</v>
          </cell>
          <cell r="F106">
            <v>0</v>
          </cell>
          <cell r="G106">
            <v>0</v>
          </cell>
          <cell r="H106">
            <v>236.8</v>
          </cell>
          <cell r="I106">
            <v>150.58000000000001</v>
          </cell>
          <cell r="J106">
            <v>0</v>
          </cell>
          <cell r="K106">
            <v>86.22</v>
          </cell>
          <cell r="L106">
            <v>36.409999999999997</v>
          </cell>
          <cell r="M106">
            <v>0.02</v>
          </cell>
        </row>
        <row r="107">
          <cell r="A107" t="str">
            <v>PADOVA</v>
          </cell>
          <cell r="B107">
            <v>4</v>
          </cell>
          <cell r="C107">
            <v>216.93</v>
          </cell>
          <cell r="D107">
            <v>18.079999999999998</v>
          </cell>
          <cell r="E107">
            <v>0</v>
          </cell>
          <cell r="F107">
            <v>0</v>
          </cell>
          <cell r="G107">
            <v>0</v>
          </cell>
          <cell r="H107">
            <v>216.93</v>
          </cell>
          <cell r="I107">
            <v>131.56</v>
          </cell>
          <cell r="J107">
            <v>0</v>
          </cell>
          <cell r="K107">
            <v>85.37</v>
          </cell>
          <cell r="L107">
            <v>39.35</v>
          </cell>
          <cell r="M107">
            <v>0.02</v>
          </cell>
        </row>
        <row r="108">
          <cell r="A108" t="str">
            <v>EXTRALUZ</v>
          </cell>
          <cell r="B108">
            <v>5</v>
          </cell>
          <cell r="C108">
            <v>174.8</v>
          </cell>
          <cell r="D108">
            <v>14.57</v>
          </cell>
          <cell r="E108">
            <v>0</v>
          </cell>
          <cell r="F108">
            <v>0</v>
          </cell>
          <cell r="G108">
            <v>0</v>
          </cell>
          <cell r="H108">
            <v>174.8</v>
          </cell>
          <cell r="I108">
            <v>105.95</v>
          </cell>
          <cell r="J108">
            <v>0</v>
          </cell>
          <cell r="K108">
            <v>68.849999999999994</v>
          </cell>
          <cell r="L108">
            <v>39.39</v>
          </cell>
          <cell r="M108">
            <v>0.01</v>
          </cell>
        </row>
        <row r="109">
          <cell r="A109" t="str">
            <v>ARCELORMITTAL</v>
          </cell>
          <cell r="B109">
            <v>3</v>
          </cell>
          <cell r="C109">
            <v>155.5</v>
          </cell>
          <cell r="D109">
            <v>25.92</v>
          </cell>
          <cell r="E109">
            <v>0</v>
          </cell>
          <cell r="F109">
            <v>0</v>
          </cell>
          <cell r="G109">
            <v>0</v>
          </cell>
          <cell r="H109">
            <v>155.5</v>
          </cell>
          <cell r="I109">
            <v>89.14</v>
          </cell>
          <cell r="J109">
            <v>0</v>
          </cell>
          <cell r="K109">
            <v>66.36</v>
          </cell>
          <cell r="L109">
            <v>42.68</v>
          </cell>
          <cell r="M109">
            <v>0.01</v>
          </cell>
        </row>
        <row r="110">
          <cell r="A110" t="str">
            <v>ANJO TINTAS E SOLVENTES</v>
          </cell>
          <cell r="B110">
            <v>3</v>
          </cell>
          <cell r="C110">
            <v>147.6</v>
          </cell>
          <cell r="D110">
            <v>36.9</v>
          </cell>
          <cell r="E110">
            <v>0</v>
          </cell>
          <cell r="F110">
            <v>0</v>
          </cell>
          <cell r="G110">
            <v>0</v>
          </cell>
          <cell r="H110">
            <v>147.6</v>
          </cell>
          <cell r="I110">
            <v>85.76</v>
          </cell>
          <cell r="J110">
            <v>0</v>
          </cell>
          <cell r="K110">
            <v>61.84</v>
          </cell>
          <cell r="L110">
            <v>41.9</v>
          </cell>
          <cell r="M110">
            <v>0.01</v>
          </cell>
        </row>
        <row r="111">
          <cell r="A111" t="str">
            <v xml:space="preserve"> RESISWAL</v>
          </cell>
          <cell r="B111">
            <v>3</v>
          </cell>
          <cell r="C111">
            <v>131.69999999999999</v>
          </cell>
          <cell r="D111">
            <v>43.9</v>
          </cell>
          <cell r="E111">
            <v>0</v>
          </cell>
          <cell r="F111">
            <v>0</v>
          </cell>
          <cell r="G111">
            <v>0</v>
          </cell>
          <cell r="H111">
            <v>131.69999999999999</v>
          </cell>
          <cell r="I111">
            <v>72.900000000000006</v>
          </cell>
          <cell r="J111">
            <v>0</v>
          </cell>
          <cell r="K111">
            <v>58.8</v>
          </cell>
          <cell r="L111">
            <v>44.65</v>
          </cell>
          <cell r="M111">
            <v>0.01</v>
          </cell>
        </row>
        <row r="112">
          <cell r="A112" t="str">
            <v>INCA</v>
          </cell>
          <cell r="B112">
            <v>3</v>
          </cell>
          <cell r="C112">
            <v>121.6</v>
          </cell>
          <cell r="D112">
            <v>2.48</v>
          </cell>
          <cell r="E112">
            <v>0</v>
          </cell>
          <cell r="F112">
            <v>0</v>
          </cell>
          <cell r="G112">
            <v>0</v>
          </cell>
          <cell r="H112">
            <v>121.6</v>
          </cell>
          <cell r="I112">
            <v>62.76</v>
          </cell>
          <cell r="J112">
            <v>0</v>
          </cell>
          <cell r="K112">
            <v>58.84</v>
          </cell>
          <cell r="L112">
            <v>48.39</v>
          </cell>
          <cell r="M112">
            <v>0.01</v>
          </cell>
        </row>
        <row r="113">
          <cell r="A113" t="str">
            <v>EXTRALUX</v>
          </cell>
          <cell r="B113">
            <v>3</v>
          </cell>
          <cell r="C113">
            <v>106.32</v>
          </cell>
          <cell r="D113">
            <v>17.72</v>
          </cell>
          <cell r="E113">
            <v>0</v>
          </cell>
          <cell r="F113">
            <v>0</v>
          </cell>
          <cell r="G113">
            <v>0</v>
          </cell>
          <cell r="H113">
            <v>106.32</v>
          </cell>
          <cell r="I113">
            <v>63.23</v>
          </cell>
          <cell r="J113">
            <v>0</v>
          </cell>
          <cell r="K113">
            <v>43.09</v>
          </cell>
          <cell r="L113">
            <v>40.53</v>
          </cell>
          <cell r="M113">
            <v>0.01</v>
          </cell>
        </row>
        <row r="114">
          <cell r="A114" t="str">
            <v>ATTENA</v>
          </cell>
          <cell r="B114">
            <v>3</v>
          </cell>
          <cell r="C114">
            <v>103.23</v>
          </cell>
          <cell r="D114">
            <v>25.81</v>
          </cell>
          <cell r="E114">
            <v>0</v>
          </cell>
          <cell r="F114">
            <v>0</v>
          </cell>
          <cell r="G114">
            <v>0</v>
          </cell>
          <cell r="H114">
            <v>103.23</v>
          </cell>
          <cell r="I114">
            <v>128.61000000000001</v>
          </cell>
          <cell r="J114">
            <v>0</v>
          </cell>
          <cell r="K114">
            <v>-25.38</v>
          </cell>
          <cell r="L114">
            <v>0</v>
          </cell>
          <cell r="M114">
            <v>0.01</v>
          </cell>
        </row>
        <row r="115">
          <cell r="A115" t="str">
            <v>GABRIELLA</v>
          </cell>
          <cell r="B115">
            <v>2</v>
          </cell>
          <cell r="C115">
            <v>96.14</v>
          </cell>
          <cell r="D115">
            <v>32.049999999999997</v>
          </cell>
          <cell r="E115">
            <v>0</v>
          </cell>
          <cell r="F115">
            <v>0</v>
          </cell>
          <cell r="G115">
            <v>0</v>
          </cell>
          <cell r="H115">
            <v>96.14</v>
          </cell>
          <cell r="I115">
            <v>67.67</v>
          </cell>
          <cell r="J115">
            <v>0</v>
          </cell>
          <cell r="K115">
            <v>28.47</v>
          </cell>
          <cell r="L115">
            <v>29.61</v>
          </cell>
          <cell r="M115">
            <v>0.01</v>
          </cell>
        </row>
        <row r="116">
          <cell r="A116" t="str">
            <v>EMPLAC</v>
          </cell>
          <cell r="B116">
            <v>2</v>
          </cell>
          <cell r="C116">
            <v>73.400000000000006</v>
          </cell>
          <cell r="D116">
            <v>7.34</v>
          </cell>
          <cell r="E116">
            <v>0</v>
          </cell>
          <cell r="F116">
            <v>0</v>
          </cell>
          <cell r="G116">
            <v>0</v>
          </cell>
          <cell r="H116">
            <v>73.400000000000006</v>
          </cell>
          <cell r="I116">
            <v>34.54</v>
          </cell>
          <cell r="J116">
            <v>0</v>
          </cell>
          <cell r="K116">
            <v>38.86</v>
          </cell>
          <cell r="L116">
            <v>52.94</v>
          </cell>
          <cell r="M116">
            <v>0.01</v>
          </cell>
        </row>
        <row r="117">
          <cell r="A117" t="str">
            <v>INJEPLAST</v>
          </cell>
          <cell r="B117">
            <v>1</v>
          </cell>
          <cell r="C117">
            <v>20</v>
          </cell>
          <cell r="D117">
            <v>0.4</v>
          </cell>
          <cell r="E117">
            <v>0</v>
          </cell>
          <cell r="F117">
            <v>0</v>
          </cell>
          <cell r="G117">
            <v>0</v>
          </cell>
          <cell r="H117">
            <v>20</v>
          </cell>
          <cell r="I117">
            <v>9</v>
          </cell>
          <cell r="J117">
            <v>0</v>
          </cell>
          <cell r="K117">
            <v>11</v>
          </cell>
          <cell r="L117">
            <v>55</v>
          </cell>
          <cell r="M117">
            <v>0</v>
          </cell>
        </row>
        <row r="118">
          <cell r="A118" t="str">
            <v>outros</v>
          </cell>
          <cell r="B118">
            <v>0</v>
          </cell>
          <cell r="C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ABR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215</v>
          </cell>
          <cell r="C2">
            <v>226719.48</v>
          </cell>
          <cell r="D2">
            <v>26.39</v>
          </cell>
          <cell r="E2">
            <v>0</v>
          </cell>
          <cell r="F2">
            <v>0</v>
          </cell>
          <cell r="G2">
            <v>4109.8804</v>
          </cell>
          <cell r="H2">
            <v>222609.59959999999</v>
          </cell>
          <cell r="I2">
            <v>140045.4614</v>
          </cell>
          <cell r="J2">
            <v>2662.9551999999999</v>
          </cell>
          <cell r="K2">
            <v>85227.093399999998</v>
          </cell>
          <cell r="L2">
            <v>38.04</v>
          </cell>
          <cell r="M2">
            <v>16.690000000000001</v>
          </cell>
        </row>
        <row r="3">
          <cell r="A3" t="str">
            <v>INCENOR</v>
          </cell>
          <cell r="B3">
            <v>119</v>
          </cell>
          <cell r="C3">
            <v>161629.53479999999</v>
          </cell>
          <cell r="D3">
            <v>36.61</v>
          </cell>
          <cell r="E3">
            <v>0</v>
          </cell>
          <cell r="F3">
            <v>0</v>
          </cell>
          <cell r="G3">
            <v>84.072000000000003</v>
          </cell>
          <cell r="H3">
            <v>161545.46280000001</v>
          </cell>
          <cell r="I3">
            <v>102714.02</v>
          </cell>
          <cell r="J3">
            <v>53.444000000000003</v>
          </cell>
          <cell r="K3">
            <v>58884.8868</v>
          </cell>
          <cell r="L3">
            <v>36.44</v>
          </cell>
          <cell r="M3">
            <v>11.9</v>
          </cell>
        </row>
        <row r="4">
          <cell r="A4" t="str">
            <v>IQUINE</v>
          </cell>
          <cell r="B4">
            <v>71</v>
          </cell>
          <cell r="C4">
            <v>93367.2601</v>
          </cell>
          <cell r="D4">
            <v>24.33</v>
          </cell>
          <cell r="E4">
            <v>0</v>
          </cell>
          <cell r="F4">
            <v>0</v>
          </cell>
          <cell r="G4">
            <v>574.20000000000005</v>
          </cell>
          <cell r="H4">
            <v>92793.060100000002</v>
          </cell>
          <cell r="I4">
            <v>55495.3897</v>
          </cell>
          <cell r="J4">
            <v>336.19</v>
          </cell>
          <cell r="K4">
            <v>37633.860399999998</v>
          </cell>
          <cell r="L4">
            <v>40.450000000000003</v>
          </cell>
          <cell r="M4">
            <v>6.87</v>
          </cell>
        </row>
        <row r="5">
          <cell r="A5" t="str">
            <v>DO MESTRE</v>
          </cell>
          <cell r="B5">
            <v>219</v>
          </cell>
          <cell r="C5">
            <v>76618.38</v>
          </cell>
          <cell r="D5">
            <v>20.23</v>
          </cell>
          <cell r="E5">
            <v>0</v>
          </cell>
          <cell r="F5">
            <v>0</v>
          </cell>
          <cell r="G5">
            <v>819.3</v>
          </cell>
          <cell r="H5">
            <v>75799.08</v>
          </cell>
          <cell r="I5">
            <v>47688.06</v>
          </cell>
          <cell r="J5">
            <v>508.79</v>
          </cell>
          <cell r="K5">
            <v>28619.81</v>
          </cell>
          <cell r="L5">
            <v>37.6</v>
          </cell>
          <cell r="M5">
            <v>5.64</v>
          </cell>
        </row>
        <row r="6">
          <cell r="A6" t="str">
            <v>BRASILIT</v>
          </cell>
          <cell r="B6">
            <v>46</v>
          </cell>
          <cell r="C6">
            <v>70315.98</v>
          </cell>
          <cell r="D6">
            <v>70.25</v>
          </cell>
          <cell r="E6">
            <v>0</v>
          </cell>
          <cell r="F6">
            <v>0</v>
          </cell>
          <cell r="G6">
            <v>402</v>
          </cell>
          <cell r="H6">
            <v>69913.98</v>
          </cell>
          <cell r="I6">
            <v>60951.03</v>
          </cell>
          <cell r="J6">
            <v>282.83999999999997</v>
          </cell>
          <cell r="K6">
            <v>9245.7900000000009</v>
          </cell>
          <cell r="L6">
            <v>13.2</v>
          </cell>
          <cell r="M6">
            <v>5.18</v>
          </cell>
        </row>
        <row r="7">
          <cell r="A7" t="str">
            <v>POINTER</v>
          </cell>
          <cell r="B7">
            <v>58</v>
          </cell>
          <cell r="C7">
            <v>65999.597200000004</v>
          </cell>
          <cell r="D7">
            <v>34.33</v>
          </cell>
          <cell r="E7">
            <v>0</v>
          </cell>
          <cell r="F7">
            <v>0</v>
          </cell>
          <cell r="G7">
            <v>747.45600000000002</v>
          </cell>
          <cell r="H7">
            <v>65252.141199999998</v>
          </cell>
          <cell r="I7">
            <v>40910.472699999998</v>
          </cell>
          <cell r="J7">
            <v>515.58479999999997</v>
          </cell>
          <cell r="K7">
            <v>24857.2533</v>
          </cell>
          <cell r="L7">
            <v>37.96</v>
          </cell>
          <cell r="M7">
            <v>4.8600000000000003</v>
          </cell>
        </row>
        <row r="8">
          <cell r="A8" t="str">
            <v>WEBER QUARTZOLIT</v>
          </cell>
          <cell r="B8">
            <v>143</v>
          </cell>
          <cell r="C8">
            <v>57505.13</v>
          </cell>
          <cell r="D8">
            <v>30.35</v>
          </cell>
          <cell r="E8">
            <v>0</v>
          </cell>
          <cell r="F8">
            <v>0</v>
          </cell>
          <cell r="G8">
            <v>1581.84</v>
          </cell>
          <cell r="H8">
            <v>55923.29</v>
          </cell>
          <cell r="I8">
            <v>36691.83</v>
          </cell>
          <cell r="J8">
            <v>1001.06</v>
          </cell>
          <cell r="K8">
            <v>20232.52</v>
          </cell>
          <cell r="L8">
            <v>35.81</v>
          </cell>
          <cell r="M8">
            <v>4.2300000000000004</v>
          </cell>
        </row>
        <row r="9">
          <cell r="A9" t="str">
            <v>MEGAÓ</v>
          </cell>
          <cell r="B9">
            <v>61</v>
          </cell>
          <cell r="C9">
            <v>54017.17</v>
          </cell>
          <cell r="D9">
            <v>58.21</v>
          </cell>
          <cell r="E9">
            <v>0</v>
          </cell>
          <cell r="F9">
            <v>0</v>
          </cell>
          <cell r="G9">
            <v>929.37</v>
          </cell>
          <cell r="H9">
            <v>53087.8</v>
          </cell>
          <cell r="I9">
            <v>33713.040000000001</v>
          </cell>
          <cell r="J9">
            <v>558.6</v>
          </cell>
          <cell r="K9">
            <v>19933.36</v>
          </cell>
          <cell r="L9">
            <v>37.29</v>
          </cell>
          <cell r="M9">
            <v>3.98</v>
          </cell>
        </row>
        <row r="10">
          <cell r="A10" t="str">
            <v>ROCA</v>
          </cell>
          <cell r="B10">
            <v>57</v>
          </cell>
          <cell r="C10">
            <v>40331.599999999999</v>
          </cell>
          <cell r="D10">
            <v>151.05000000000001</v>
          </cell>
          <cell r="E10">
            <v>0</v>
          </cell>
          <cell r="F10">
            <v>0</v>
          </cell>
          <cell r="G10">
            <v>988.25</v>
          </cell>
          <cell r="H10">
            <v>39343.35</v>
          </cell>
          <cell r="I10">
            <v>26563.74</v>
          </cell>
          <cell r="J10">
            <v>642.96</v>
          </cell>
          <cell r="K10">
            <v>13422.57</v>
          </cell>
          <cell r="L10">
            <v>33.82</v>
          </cell>
          <cell r="M10">
            <v>2.97</v>
          </cell>
        </row>
        <row r="11">
          <cell r="A11" t="str">
            <v>QUALITY</v>
          </cell>
          <cell r="B11">
            <v>44</v>
          </cell>
          <cell r="C11">
            <v>31555.77</v>
          </cell>
          <cell r="D11">
            <v>227.02</v>
          </cell>
          <cell r="E11">
            <v>0</v>
          </cell>
          <cell r="F11">
            <v>0</v>
          </cell>
          <cell r="G11">
            <v>1928.66</v>
          </cell>
          <cell r="H11">
            <v>29627.11</v>
          </cell>
          <cell r="I11">
            <v>19292.349999999999</v>
          </cell>
          <cell r="J11">
            <v>1186.93</v>
          </cell>
          <cell r="K11">
            <v>11521.69</v>
          </cell>
          <cell r="L11">
            <v>37.94</v>
          </cell>
          <cell r="M11">
            <v>2.3199999999999998</v>
          </cell>
        </row>
        <row r="12">
          <cell r="A12" t="str">
            <v>CERBRAS</v>
          </cell>
          <cell r="B12">
            <v>34</v>
          </cell>
          <cell r="C12">
            <v>26529.3007</v>
          </cell>
          <cell r="D12">
            <v>42.14</v>
          </cell>
          <cell r="E12">
            <v>0</v>
          </cell>
          <cell r="F12">
            <v>0</v>
          </cell>
          <cell r="G12">
            <v>0</v>
          </cell>
          <cell r="H12">
            <v>26529.3007</v>
          </cell>
          <cell r="I12">
            <v>16973.7284</v>
          </cell>
          <cell r="J12">
            <v>0</v>
          </cell>
          <cell r="K12">
            <v>9555.5722999999998</v>
          </cell>
          <cell r="L12">
            <v>36.020000000000003</v>
          </cell>
          <cell r="M12">
            <v>1.95</v>
          </cell>
        </row>
        <row r="13">
          <cell r="A13" t="str">
            <v>TECNOGRES</v>
          </cell>
          <cell r="B13">
            <v>17</v>
          </cell>
          <cell r="C13">
            <v>26227.351699999999</v>
          </cell>
          <cell r="D13">
            <v>55.97</v>
          </cell>
          <cell r="E13">
            <v>0</v>
          </cell>
          <cell r="F13">
            <v>0</v>
          </cell>
          <cell r="G13">
            <v>0</v>
          </cell>
          <cell r="H13">
            <v>26227.351699999999</v>
          </cell>
          <cell r="I13">
            <v>17757.446899999999</v>
          </cell>
          <cell r="J13">
            <v>0</v>
          </cell>
          <cell r="K13">
            <v>8469.9048000000003</v>
          </cell>
          <cell r="L13">
            <v>32.29</v>
          </cell>
          <cell r="M13">
            <v>1.93</v>
          </cell>
        </row>
        <row r="14">
          <cell r="A14" t="str">
            <v>ETERNIT</v>
          </cell>
          <cell r="B14">
            <v>23</v>
          </cell>
          <cell r="C14">
            <v>21900.47</v>
          </cell>
          <cell r="D14">
            <v>53.29</v>
          </cell>
          <cell r="E14">
            <v>0</v>
          </cell>
          <cell r="F14">
            <v>0</v>
          </cell>
          <cell r="G14">
            <v>124.5</v>
          </cell>
          <cell r="H14">
            <v>21775.97</v>
          </cell>
          <cell r="I14">
            <v>16923.73</v>
          </cell>
          <cell r="J14">
            <v>90.15</v>
          </cell>
          <cell r="K14">
            <v>4942.3900000000003</v>
          </cell>
          <cell r="L14">
            <v>22.66</v>
          </cell>
          <cell r="M14">
            <v>1.61</v>
          </cell>
        </row>
        <row r="15">
          <cell r="A15" t="str">
            <v>FORTLEV</v>
          </cell>
          <cell r="B15">
            <v>30</v>
          </cell>
          <cell r="C15">
            <v>21557.66</v>
          </cell>
          <cell r="D15">
            <v>54.85</v>
          </cell>
          <cell r="E15">
            <v>0</v>
          </cell>
          <cell r="F15">
            <v>0</v>
          </cell>
          <cell r="G15">
            <v>537.09</v>
          </cell>
          <cell r="H15">
            <v>21020.57</v>
          </cell>
          <cell r="I15">
            <v>15363.92</v>
          </cell>
          <cell r="J15">
            <v>380.04</v>
          </cell>
          <cell r="K15">
            <v>6036.69</v>
          </cell>
          <cell r="L15">
            <v>28.51</v>
          </cell>
          <cell r="M15">
            <v>1.59</v>
          </cell>
        </row>
        <row r="16">
          <cell r="A16" t="str">
            <v>COBRECOM</v>
          </cell>
          <cell r="B16">
            <v>21</v>
          </cell>
          <cell r="C16">
            <v>20888.27</v>
          </cell>
          <cell r="D16">
            <v>167.11</v>
          </cell>
          <cell r="E16">
            <v>0</v>
          </cell>
          <cell r="F16">
            <v>0</v>
          </cell>
          <cell r="G16">
            <v>293.7</v>
          </cell>
          <cell r="H16">
            <v>20594.57</v>
          </cell>
          <cell r="I16">
            <v>14786.76</v>
          </cell>
          <cell r="J16">
            <v>171.12</v>
          </cell>
          <cell r="K16">
            <v>5978.93</v>
          </cell>
          <cell r="L16">
            <v>28.86</v>
          </cell>
          <cell r="M16">
            <v>1.54</v>
          </cell>
        </row>
        <row r="17">
          <cell r="A17" t="str">
            <v>PAMESA</v>
          </cell>
          <cell r="B17">
            <v>16</v>
          </cell>
          <cell r="C17">
            <v>20155.142</v>
          </cell>
          <cell r="D17">
            <v>31.05</v>
          </cell>
          <cell r="E17">
            <v>0</v>
          </cell>
          <cell r="F17">
            <v>0</v>
          </cell>
          <cell r="G17">
            <v>0</v>
          </cell>
          <cell r="H17">
            <v>20155.142</v>
          </cell>
          <cell r="I17">
            <v>13433.6893</v>
          </cell>
          <cell r="J17">
            <v>0</v>
          </cell>
          <cell r="K17">
            <v>6721.4526999999998</v>
          </cell>
          <cell r="L17">
            <v>33.35</v>
          </cell>
          <cell r="M17">
            <v>1.48</v>
          </cell>
        </row>
        <row r="18">
          <cell r="A18" t="str">
            <v>KRONA</v>
          </cell>
          <cell r="B18">
            <v>55</v>
          </cell>
          <cell r="C18">
            <v>18934.59</v>
          </cell>
          <cell r="D18">
            <v>6.64</v>
          </cell>
          <cell r="E18">
            <v>0</v>
          </cell>
          <cell r="F18">
            <v>0</v>
          </cell>
          <cell r="G18">
            <v>572.71</v>
          </cell>
          <cell r="H18">
            <v>18361.88</v>
          </cell>
          <cell r="I18">
            <v>11908.75</v>
          </cell>
          <cell r="J18">
            <v>300.99</v>
          </cell>
          <cell r="K18">
            <v>6754.12</v>
          </cell>
          <cell r="L18">
            <v>36.25</v>
          </cell>
          <cell r="M18">
            <v>1.39</v>
          </cell>
        </row>
        <row r="19">
          <cell r="A19" t="str">
            <v>PORTO RICO</v>
          </cell>
          <cell r="B19">
            <v>31</v>
          </cell>
          <cell r="C19">
            <v>18600.72</v>
          </cell>
          <cell r="D19">
            <v>26.88</v>
          </cell>
          <cell r="E19">
            <v>0</v>
          </cell>
          <cell r="F19">
            <v>0</v>
          </cell>
          <cell r="G19">
            <v>223.2</v>
          </cell>
          <cell r="H19">
            <v>18377.52</v>
          </cell>
          <cell r="I19">
            <v>11315.04</v>
          </cell>
          <cell r="J19">
            <v>128.32</v>
          </cell>
          <cell r="K19">
            <v>7190.8</v>
          </cell>
          <cell r="L19">
            <v>38.93</v>
          </cell>
          <cell r="M19">
            <v>1.37</v>
          </cell>
        </row>
        <row r="20">
          <cell r="A20" t="str">
            <v>KDK PORTAS</v>
          </cell>
          <cell r="B20">
            <v>28</v>
          </cell>
          <cell r="C20">
            <v>16112.31</v>
          </cell>
          <cell r="D20">
            <v>167.84</v>
          </cell>
          <cell r="E20">
            <v>0</v>
          </cell>
          <cell r="F20">
            <v>0</v>
          </cell>
          <cell r="G20">
            <v>1337.66</v>
          </cell>
          <cell r="H20">
            <v>14774.65</v>
          </cell>
          <cell r="I20">
            <v>9624.01</v>
          </cell>
          <cell r="J20">
            <v>785.02</v>
          </cell>
          <cell r="K20">
            <v>5935.66</v>
          </cell>
          <cell r="L20">
            <v>38.729999999999997</v>
          </cell>
          <cell r="M20">
            <v>1.19</v>
          </cell>
        </row>
        <row r="21">
          <cell r="A21" t="str">
            <v>AVANT</v>
          </cell>
          <cell r="B21">
            <v>24</v>
          </cell>
          <cell r="C21">
            <v>14771.76</v>
          </cell>
          <cell r="D21">
            <v>27.92</v>
          </cell>
          <cell r="E21">
            <v>0</v>
          </cell>
          <cell r="F21">
            <v>0</v>
          </cell>
          <cell r="G21">
            <v>341</v>
          </cell>
          <cell r="H21">
            <v>14430.76</v>
          </cell>
          <cell r="I21">
            <v>7671.13</v>
          </cell>
          <cell r="J21">
            <v>186.66</v>
          </cell>
          <cell r="K21">
            <v>6946.29</v>
          </cell>
          <cell r="L21">
            <v>47.63</v>
          </cell>
          <cell r="M21">
            <v>1.0900000000000001</v>
          </cell>
        </row>
        <row r="22">
          <cell r="A22" t="str">
            <v>GRANPLAST</v>
          </cell>
          <cell r="B22">
            <v>33</v>
          </cell>
          <cell r="C22">
            <v>13993.48</v>
          </cell>
          <cell r="D22">
            <v>16.420000000000002</v>
          </cell>
          <cell r="E22">
            <v>0</v>
          </cell>
          <cell r="F22">
            <v>0</v>
          </cell>
          <cell r="G22">
            <v>6.51</v>
          </cell>
          <cell r="H22">
            <v>13986.97</v>
          </cell>
          <cell r="I22">
            <v>7308.63</v>
          </cell>
          <cell r="J22">
            <v>3.64</v>
          </cell>
          <cell r="K22">
            <v>6681.98</v>
          </cell>
          <cell r="L22">
            <v>47.76</v>
          </cell>
          <cell r="M22">
            <v>1.03</v>
          </cell>
        </row>
        <row r="23">
          <cell r="A23" t="str">
            <v>ATLAS</v>
          </cell>
          <cell r="B23">
            <v>45</v>
          </cell>
          <cell r="C23">
            <v>13354.33</v>
          </cell>
          <cell r="D23">
            <v>13.81</v>
          </cell>
          <cell r="E23">
            <v>0</v>
          </cell>
          <cell r="F23">
            <v>0</v>
          </cell>
          <cell r="G23">
            <v>136.47999999999999</v>
          </cell>
          <cell r="H23">
            <v>13217.85</v>
          </cell>
          <cell r="I23">
            <v>7238.14</v>
          </cell>
          <cell r="J23">
            <v>73.63</v>
          </cell>
          <cell r="K23">
            <v>6053.34</v>
          </cell>
          <cell r="L23">
            <v>45.58</v>
          </cell>
          <cell r="M23">
            <v>0.98</v>
          </cell>
        </row>
        <row r="24">
          <cell r="A24" t="str">
            <v>NITROLUX</v>
          </cell>
          <cell r="B24">
            <v>27</v>
          </cell>
          <cell r="C24">
            <v>13039.84</v>
          </cell>
          <cell r="D24">
            <v>13.77</v>
          </cell>
          <cell r="E24">
            <v>0</v>
          </cell>
          <cell r="F24">
            <v>0</v>
          </cell>
          <cell r="G24">
            <v>490.3</v>
          </cell>
          <cell r="H24">
            <v>12549.54</v>
          </cell>
          <cell r="I24">
            <v>6652.73</v>
          </cell>
          <cell r="J24">
            <v>256.54000000000002</v>
          </cell>
          <cell r="K24">
            <v>6153.35</v>
          </cell>
          <cell r="L24">
            <v>48.14</v>
          </cell>
          <cell r="M24">
            <v>0.96</v>
          </cell>
        </row>
        <row r="25">
          <cell r="A25" t="str">
            <v>METAIS LEAO</v>
          </cell>
          <cell r="B25">
            <v>31</v>
          </cell>
          <cell r="C25">
            <v>12850.51</v>
          </cell>
          <cell r="D25">
            <v>73.430000000000007</v>
          </cell>
          <cell r="E25">
            <v>0</v>
          </cell>
          <cell r="F25">
            <v>0</v>
          </cell>
          <cell r="G25">
            <v>225.7</v>
          </cell>
          <cell r="H25">
            <v>12624.81</v>
          </cell>
          <cell r="I25">
            <v>7708.43</v>
          </cell>
          <cell r="J25">
            <v>135.16999999999999</v>
          </cell>
          <cell r="K25">
            <v>5051.55</v>
          </cell>
          <cell r="L25">
            <v>39.729999999999997</v>
          </cell>
          <cell r="M25">
            <v>0.95</v>
          </cell>
        </row>
        <row r="26">
          <cell r="A26" t="str">
            <v>INTECH MACHINE</v>
          </cell>
          <cell r="B26">
            <v>19</v>
          </cell>
          <cell r="C26">
            <v>12769.61</v>
          </cell>
          <cell r="D26">
            <v>196.46</v>
          </cell>
          <cell r="E26">
            <v>0</v>
          </cell>
          <cell r="F26">
            <v>0</v>
          </cell>
          <cell r="G26">
            <v>358</v>
          </cell>
          <cell r="H26">
            <v>12411.61</v>
          </cell>
          <cell r="I26">
            <v>8085.15</v>
          </cell>
          <cell r="J26">
            <v>231.25</v>
          </cell>
          <cell r="K26">
            <v>4557.71</v>
          </cell>
          <cell r="L26">
            <v>36.35</v>
          </cell>
          <cell r="M26">
            <v>0.94</v>
          </cell>
        </row>
        <row r="27">
          <cell r="A27" t="str">
            <v>REALLE</v>
          </cell>
          <cell r="B27">
            <v>16</v>
          </cell>
          <cell r="C27">
            <v>11874.513499999999</v>
          </cell>
          <cell r="D27">
            <v>33.409999999999997</v>
          </cell>
          <cell r="E27">
            <v>0</v>
          </cell>
          <cell r="F27">
            <v>0</v>
          </cell>
          <cell r="G27">
            <v>581.58000000000004</v>
          </cell>
          <cell r="H27">
            <v>11292.933499999999</v>
          </cell>
          <cell r="I27">
            <v>7545.9916999999996</v>
          </cell>
          <cell r="J27">
            <v>347.00400000000002</v>
          </cell>
          <cell r="K27">
            <v>4093.9458</v>
          </cell>
          <cell r="L27">
            <v>35.51</v>
          </cell>
          <cell r="M27">
            <v>0.87</v>
          </cell>
        </row>
        <row r="28">
          <cell r="A28" t="str">
            <v>GHEL'PLUS</v>
          </cell>
          <cell r="B28">
            <v>28</v>
          </cell>
          <cell r="C28">
            <v>11773.95</v>
          </cell>
          <cell r="D28">
            <v>117.74</v>
          </cell>
          <cell r="E28">
            <v>0</v>
          </cell>
          <cell r="F28">
            <v>0</v>
          </cell>
          <cell r="G28">
            <v>375.8</v>
          </cell>
          <cell r="H28">
            <v>11398.15</v>
          </cell>
          <cell r="I28">
            <v>7391.58</v>
          </cell>
          <cell r="J28">
            <v>230.88</v>
          </cell>
          <cell r="K28">
            <v>4237.45</v>
          </cell>
          <cell r="L28">
            <v>36.71</v>
          </cell>
          <cell r="M28">
            <v>0.87</v>
          </cell>
        </row>
        <row r="29">
          <cell r="A29" t="str">
            <v>MEC-TRONIC</v>
          </cell>
          <cell r="B29">
            <v>39</v>
          </cell>
          <cell r="C29">
            <v>9368.25</v>
          </cell>
          <cell r="D29">
            <v>10.67</v>
          </cell>
          <cell r="E29">
            <v>0</v>
          </cell>
          <cell r="F29">
            <v>0</v>
          </cell>
          <cell r="G29">
            <v>244.09</v>
          </cell>
          <cell r="H29">
            <v>9124.16</v>
          </cell>
          <cell r="I29">
            <v>4517.41</v>
          </cell>
          <cell r="J29">
            <v>133.65</v>
          </cell>
          <cell r="K29">
            <v>4740.3999999999996</v>
          </cell>
          <cell r="L29">
            <v>51.33</v>
          </cell>
          <cell r="M29">
            <v>0.69</v>
          </cell>
        </row>
        <row r="30">
          <cell r="A30" t="str">
            <v>ASTRA</v>
          </cell>
          <cell r="B30">
            <v>34</v>
          </cell>
          <cell r="C30">
            <v>8352.94</v>
          </cell>
          <cell r="D30">
            <v>27.84</v>
          </cell>
          <cell r="E30">
            <v>0</v>
          </cell>
          <cell r="F30">
            <v>0</v>
          </cell>
          <cell r="G30">
            <v>102.8</v>
          </cell>
          <cell r="H30">
            <v>8250.14</v>
          </cell>
          <cell r="I30">
            <v>4813.41</v>
          </cell>
          <cell r="J30">
            <v>64.069999999999993</v>
          </cell>
          <cell r="K30">
            <v>3500.8</v>
          </cell>
          <cell r="L30">
            <v>42.23</v>
          </cell>
          <cell r="M30">
            <v>0.61</v>
          </cell>
        </row>
        <row r="31">
          <cell r="A31" t="str">
            <v>SILVANA</v>
          </cell>
          <cell r="B31">
            <v>26</v>
          </cell>
          <cell r="C31">
            <v>7813</v>
          </cell>
          <cell r="D31">
            <v>27.03</v>
          </cell>
          <cell r="E31">
            <v>0</v>
          </cell>
          <cell r="F31">
            <v>0</v>
          </cell>
          <cell r="G31">
            <v>164.1</v>
          </cell>
          <cell r="H31">
            <v>7648.9</v>
          </cell>
          <cell r="I31">
            <v>4556.8999999999996</v>
          </cell>
          <cell r="J31">
            <v>84.19</v>
          </cell>
          <cell r="K31">
            <v>3176.19</v>
          </cell>
          <cell r="L31">
            <v>41.1</v>
          </cell>
          <cell r="M31">
            <v>0.57999999999999996</v>
          </cell>
        </row>
        <row r="32">
          <cell r="A32" t="str">
            <v>BLACK DECKER</v>
          </cell>
          <cell r="B32">
            <v>26</v>
          </cell>
          <cell r="C32">
            <v>7711.89</v>
          </cell>
          <cell r="D32">
            <v>44.58</v>
          </cell>
          <cell r="E32">
            <v>0</v>
          </cell>
          <cell r="F32">
            <v>0</v>
          </cell>
          <cell r="G32">
            <v>29.5</v>
          </cell>
          <cell r="H32">
            <v>7682.39</v>
          </cell>
          <cell r="I32">
            <v>4620.32</v>
          </cell>
          <cell r="J32">
            <v>17.68</v>
          </cell>
          <cell r="K32">
            <v>3079.75</v>
          </cell>
          <cell r="L32">
            <v>40.03</v>
          </cell>
          <cell r="M32">
            <v>0.56999999999999995</v>
          </cell>
        </row>
        <row r="33">
          <cell r="A33" t="str">
            <v>LORENZETTI</v>
          </cell>
          <cell r="B33">
            <v>17</v>
          </cell>
          <cell r="C33">
            <v>7573.77</v>
          </cell>
          <cell r="D33">
            <v>69.48</v>
          </cell>
          <cell r="E33">
            <v>0</v>
          </cell>
          <cell r="F33">
            <v>0</v>
          </cell>
          <cell r="G33">
            <v>303.60000000000002</v>
          </cell>
          <cell r="H33">
            <v>7270.17</v>
          </cell>
          <cell r="I33">
            <v>4745.66</v>
          </cell>
          <cell r="J33">
            <v>191.11</v>
          </cell>
          <cell r="K33">
            <v>2715.62</v>
          </cell>
          <cell r="L33">
            <v>36.78</v>
          </cell>
          <cell r="M33">
            <v>0.56000000000000005</v>
          </cell>
        </row>
        <row r="34">
          <cell r="A34" t="str">
            <v>VIQUA</v>
          </cell>
          <cell r="B34">
            <v>24</v>
          </cell>
          <cell r="C34">
            <v>7196.73</v>
          </cell>
          <cell r="D34">
            <v>36.53</v>
          </cell>
          <cell r="E34">
            <v>0</v>
          </cell>
          <cell r="F34">
            <v>0</v>
          </cell>
          <cell r="G34">
            <v>187.41</v>
          </cell>
          <cell r="H34">
            <v>7009.32</v>
          </cell>
          <cell r="I34">
            <v>4420.32</v>
          </cell>
          <cell r="J34">
            <v>117.74</v>
          </cell>
          <cell r="K34">
            <v>2706.74</v>
          </cell>
          <cell r="L34">
            <v>38.24</v>
          </cell>
          <cell r="M34">
            <v>0.53</v>
          </cell>
        </row>
        <row r="35">
          <cell r="A35" t="str">
            <v>ANAUGER</v>
          </cell>
          <cell r="B35">
            <v>8</v>
          </cell>
          <cell r="C35">
            <v>6098.06</v>
          </cell>
          <cell r="D35">
            <v>277.18</v>
          </cell>
          <cell r="E35">
            <v>0</v>
          </cell>
          <cell r="F35">
            <v>0</v>
          </cell>
          <cell r="G35">
            <v>0</v>
          </cell>
          <cell r="H35">
            <v>6098.06</v>
          </cell>
          <cell r="I35">
            <v>4222.34</v>
          </cell>
          <cell r="J35">
            <v>0</v>
          </cell>
          <cell r="K35">
            <v>1875.72</v>
          </cell>
          <cell r="L35">
            <v>30.76</v>
          </cell>
          <cell r="M35">
            <v>0.45</v>
          </cell>
        </row>
        <row r="36">
          <cell r="A36" t="str">
            <v>BLUKIT</v>
          </cell>
          <cell r="B36">
            <v>33</v>
          </cell>
          <cell r="C36">
            <v>5812.06</v>
          </cell>
          <cell r="D36">
            <v>19.5</v>
          </cell>
          <cell r="E36">
            <v>0</v>
          </cell>
          <cell r="F36">
            <v>0</v>
          </cell>
          <cell r="G36">
            <v>163.9</v>
          </cell>
          <cell r="H36">
            <v>5648.16</v>
          </cell>
          <cell r="I36">
            <v>3528.29</v>
          </cell>
          <cell r="J36">
            <v>98.64</v>
          </cell>
          <cell r="K36">
            <v>2218.5100000000002</v>
          </cell>
          <cell r="L36">
            <v>38.83</v>
          </cell>
          <cell r="M36">
            <v>0.43</v>
          </cell>
        </row>
        <row r="37">
          <cell r="A37" t="str">
            <v>MGM</v>
          </cell>
          <cell r="B37">
            <v>11</v>
          </cell>
          <cell r="C37">
            <v>5292.1</v>
          </cell>
          <cell r="D37">
            <v>352.81</v>
          </cell>
          <cell r="E37">
            <v>0</v>
          </cell>
          <cell r="F37">
            <v>0</v>
          </cell>
          <cell r="G37">
            <v>0</v>
          </cell>
          <cell r="H37">
            <v>5292.1</v>
          </cell>
          <cell r="I37">
            <v>3295.9</v>
          </cell>
          <cell r="J37">
            <v>0</v>
          </cell>
          <cell r="K37">
            <v>1996.2</v>
          </cell>
          <cell r="L37">
            <v>37.72</v>
          </cell>
          <cell r="M37">
            <v>0.39</v>
          </cell>
        </row>
        <row r="38">
          <cell r="A38" t="str">
            <v>LEDVANCE</v>
          </cell>
          <cell r="B38">
            <v>15</v>
          </cell>
          <cell r="C38">
            <v>5247.98</v>
          </cell>
          <cell r="D38">
            <v>8.33</v>
          </cell>
          <cell r="E38">
            <v>0</v>
          </cell>
          <cell r="F38">
            <v>0</v>
          </cell>
          <cell r="G38">
            <v>38.799999999999997</v>
          </cell>
          <cell r="H38">
            <v>5209.18</v>
          </cell>
          <cell r="I38">
            <v>3438.92</v>
          </cell>
          <cell r="J38">
            <v>26.24</v>
          </cell>
          <cell r="K38">
            <v>1796.5</v>
          </cell>
          <cell r="L38">
            <v>34.4</v>
          </cell>
          <cell r="M38">
            <v>0.39</v>
          </cell>
        </row>
        <row r="39">
          <cell r="A39" t="str">
            <v>BELLA PIA</v>
          </cell>
          <cell r="B39">
            <v>14</v>
          </cell>
          <cell r="C39">
            <v>5093.9399999999996</v>
          </cell>
          <cell r="D39">
            <v>212.25</v>
          </cell>
          <cell r="E39">
            <v>0</v>
          </cell>
          <cell r="F39">
            <v>0</v>
          </cell>
          <cell r="G39">
            <v>1165.0999999999999</v>
          </cell>
          <cell r="H39">
            <v>3928.84</v>
          </cell>
          <cell r="I39">
            <v>3115.47</v>
          </cell>
          <cell r="J39">
            <v>694.33</v>
          </cell>
          <cell r="K39">
            <v>1507.7</v>
          </cell>
          <cell r="L39">
            <v>34.270000000000003</v>
          </cell>
          <cell r="M39">
            <v>0.37</v>
          </cell>
        </row>
        <row r="40">
          <cell r="A40" t="str">
            <v>LEGRAND</v>
          </cell>
          <cell r="B40">
            <v>14</v>
          </cell>
          <cell r="C40">
            <v>4667.67</v>
          </cell>
          <cell r="D40">
            <v>15.72</v>
          </cell>
          <cell r="E40">
            <v>0</v>
          </cell>
          <cell r="F40">
            <v>0</v>
          </cell>
          <cell r="G40">
            <v>45.56</v>
          </cell>
          <cell r="H40">
            <v>4622.1099999999997</v>
          </cell>
          <cell r="I40">
            <v>2865.31</v>
          </cell>
          <cell r="J40">
            <v>29.35</v>
          </cell>
          <cell r="K40">
            <v>1786.15</v>
          </cell>
          <cell r="L40">
            <v>38.51</v>
          </cell>
          <cell r="M40">
            <v>0.34</v>
          </cell>
        </row>
        <row r="41">
          <cell r="A41" t="str">
            <v>LUCONI</v>
          </cell>
          <cell r="B41">
            <v>33</v>
          </cell>
          <cell r="C41">
            <v>4611.01</v>
          </cell>
          <cell r="D41">
            <v>10.16</v>
          </cell>
          <cell r="E41">
            <v>0</v>
          </cell>
          <cell r="F41">
            <v>0</v>
          </cell>
          <cell r="G41">
            <v>127.8</v>
          </cell>
          <cell r="H41">
            <v>4483.21</v>
          </cell>
          <cell r="I41">
            <v>2258.4</v>
          </cell>
          <cell r="J41">
            <v>62.84</v>
          </cell>
          <cell r="K41">
            <v>2287.65</v>
          </cell>
          <cell r="L41">
            <v>50.3</v>
          </cell>
          <cell r="M41">
            <v>0.34</v>
          </cell>
        </row>
        <row r="42">
          <cell r="A42" t="str">
            <v>DOCOL METAIS</v>
          </cell>
          <cell r="B42">
            <v>17</v>
          </cell>
          <cell r="C42">
            <v>4602.01</v>
          </cell>
          <cell r="D42">
            <v>69.73</v>
          </cell>
          <cell r="E42">
            <v>0</v>
          </cell>
          <cell r="F42">
            <v>0</v>
          </cell>
          <cell r="G42">
            <v>58.9</v>
          </cell>
          <cell r="H42">
            <v>4543.1099999999997</v>
          </cell>
          <cell r="I42">
            <v>2599.5300000000002</v>
          </cell>
          <cell r="J42">
            <v>33.03</v>
          </cell>
          <cell r="K42">
            <v>1976.61</v>
          </cell>
          <cell r="L42">
            <v>43.26</v>
          </cell>
          <cell r="M42">
            <v>0.34</v>
          </cell>
        </row>
        <row r="43">
          <cell r="A43" t="str">
            <v>BRASFORMA</v>
          </cell>
          <cell r="B43">
            <v>7</v>
          </cell>
          <cell r="C43">
            <v>4288.37</v>
          </cell>
          <cell r="D43">
            <v>51.67</v>
          </cell>
          <cell r="E43">
            <v>0</v>
          </cell>
          <cell r="F43">
            <v>0</v>
          </cell>
          <cell r="G43">
            <v>157.69999999999999</v>
          </cell>
          <cell r="H43">
            <v>4130.67</v>
          </cell>
          <cell r="I43">
            <v>2437.19</v>
          </cell>
          <cell r="J43">
            <v>96.09</v>
          </cell>
          <cell r="K43">
            <v>1789.57</v>
          </cell>
          <cell r="L43">
            <v>42.69</v>
          </cell>
          <cell r="M43">
            <v>0.32</v>
          </cell>
        </row>
        <row r="44">
          <cell r="A44" t="str">
            <v>HERC</v>
          </cell>
          <cell r="B44">
            <v>16</v>
          </cell>
          <cell r="C44">
            <v>3842.4</v>
          </cell>
          <cell r="D44">
            <v>25.62</v>
          </cell>
          <cell r="E44">
            <v>0</v>
          </cell>
          <cell r="F44">
            <v>0</v>
          </cell>
          <cell r="G44">
            <v>0</v>
          </cell>
          <cell r="H44">
            <v>3842.4</v>
          </cell>
          <cell r="I44">
            <v>2084.23</v>
          </cell>
          <cell r="J44">
            <v>0</v>
          </cell>
          <cell r="K44">
            <v>1758.17</v>
          </cell>
          <cell r="L44">
            <v>45.76</v>
          </cell>
          <cell r="M44">
            <v>0.28000000000000003</v>
          </cell>
        </row>
        <row r="45">
          <cell r="A45" t="str">
            <v>ADERE</v>
          </cell>
          <cell r="B45">
            <v>26</v>
          </cell>
          <cell r="C45">
            <v>3583.34</v>
          </cell>
          <cell r="D45">
            <v>10.15</v>
          </cell>
          <cell r="E45">
            <v>0</v>
          </cell>
          <cell r="F45">
            <v>0</v>
          </cell>
          <cell r="G45">
            <v>19.8</v>
          </cell>
          <cell r="H45">
            <v>3563.54</v>
          </cell>
          <cell r="I45">
            <v>2112.5</v>
          </cell>
          <cell r="J45">
            <v>12.12</v>
          </cell>
          <cell r="K45">
            <v>1463.16</v>
          </cell>
          <cell r="L45">
            <v>40.97</v>
          </cell>
          <cell r="M45">
            <v>0.26</v>
          </cell>
        </row>
        <row r="46">
          <cell r="A46" t="str">
            <v>NORTON</v>
          </cell>
          <cell r="B46">
            <v>24</v>
          </cell>
          <cell r="C46">
            <v>3446.92</v>
          </cell>
          <cell r="D46">
            <v>2.76</v>
          </cell>
          <cell r="E46">
            <v>0</v>
          </cell>
          <cell r="F46">
            <v>0</v>
          </cell>
          <cell r="G46">
            <v>0</v>
          </cell>
          <cell r="H46">
            <v>3446.92</v>
          </cell>
          <cell r="I46">
            <v>1717.78</v>
          </cell>
          <cell r="J46">
            <v>0</v>
          </cell>
          <cell r="K46">
            <v>1729.14</v>
          </cell>
          <cell r="L46">
            <v>50.16</v>
          </cell>
          <cell r="M46">
            <v>0.25</v>
          </cell>
        </row>
        <row r="47">
          <cell r="A47" t="str">
            <v>ELIZABETH PORC.</v>
          </cell>
          <cell r="B47">
            <v>5</v>
          </cell>
          <cell r="C47">
            <v>3435.6588999999999</v>
          </cell>
          <cell r="D47">
            <v>59.85</v>
          </cell>
          <cell r="E47">
            <v>0</v>
          </cell>
          <cell r="F47">
            <v>0</v>
          </cell>
          <cell r="G47">
            <v>0</v>
          </cell>
          <cell r="H47">
            <v>3435.6588999999999</v>
          </cell>
          <cell r="I47">
            <v>2100.1815000000001</v>
          </cell>
          <cell r="J47">
            <v>0</v>
          </cell>
          <cell r="K47">
            <v>1335.4774</v>
          </cell>
          <cell r="L47">
            <v>38.869999999999997</v>
          </cell>
          <cell r="M47">
            <v>0.25</v>
          </cell>
        </row>
        <row r="48">
          <cell r="A48" t="str">
            <v>VEDACIT</v>
          </cell>
          <cell r="B48">
            <v>9</v>
          </cell>
          <cell r="C48">
            <v>3207.68</v>
          </cell>
          <cell r="D48">
            <v>57.28</v>
          </cell>
          <cell r="E48">
            <v>0</v>
          </cell>
          <cell r="F48">
            <v>0</v>
          </cell>
          <cell r="G48">
            <v>0</v>
          </cell>
          <cell r="H48">
            <v>3207.68</v>
          </cell>
          <cell r="I48">
            <v>1725.58</v>
          </cell>
          <cell r="J48">
            <v>0</v>
          </cell>
          <cell r="K48">
            <v>1482.1</v>
          </cell>
          <cell r="L48">
            <v>46.2</v>
          </cell>
          <cell r="M48">
            <v>0.24</v>
          </cell>
        </row>
        <row r="49">
          <cell r="A49" t="str">
            <v>PRATEFIX</v>
          </cell>
          <cell r="B49">
            <v>12</v>
          </cell>
          <cell r="C49">
            <v>3109.83</v>
          </cell>
          <cell r="D49">
            <v>36.159999999999997</v>
          </cell>
          <cell r="E49">
            <v>0</v>
          </cell>
          <cell r="F49">
            <v>0</v>
          </cell>
          <cell r="G49">
            <v>57.4</v>
          </cell>
          <cell r="H49">
            <v>3052.43</v>
          </cell>
          <cell r="I49">
            <v>1673.78</v>
          </cell>
          <cell r="J49">
            <v>26.12</v>
          </cell>
          <cell r="K49">
            <v>1404.77</v>
          </cell>
          <cell r="L49">
            <v>45.55</v>
          </cell>
          <cell r="M49">
            <v>0.23</v>
          </cell>
        </row>
        <row r="50">
          <cell r="A50" t="str">
            <v>STARRETT INDUSTRIA E COMERCIO</v>
          </cell>
          <cell r="B50">
            <v>13</v>
          </cell>
          <cell r="C50">
            <v>3021.96</v>
          </cell>
          <cell r="D50">
            <v>14.39</v>
          </cell>
          <cell r="E50">
            <v>0</v>
          </cell>
          <cell r="F50">
            <v>0</v>
          </cell>
          <cell r="G50">
            <v>0</v>
          </cell>
          <cell r="H50">
            <v>3021.96</v>
          </cell>
          <cell r="I50">
            <v>1623.63</v>
          </cell>
          <cell r="J50">
            <v>0</v>
          </cell>
          <cell r="K50">
            <v>1398.33</v>
          </cell>
          <cell r="L50">
            <v>46.27</v>
          </cell>
          <cell r="M50">
            <v>0.22</v>
          </cell>
        </row>
        <row r="51">
          <cell r="A51" t="str">
            <v>VONDER</v>
          </cell>
          <cell r="B51">
            <v>5</v>
          </cell>
          <cell r="C51">
            <v>2933.69</v>
          </cell>
          <cell r="D51">
            <v>19.82</v>
          </cell>
          <cell r="E51">
            <v>0</v>
          </cell>
          <cell r="F51">
            <v>0</v>
          </cell>
          <cell r="G51">
            <v>23.9</v>
          </cell>
          <cell r="H51">
            <v>2909.79</v>
          </cell>
          <cell r="I51">
            <v>1492.77</v>
          </cell>
          <cell r="J51">
            <v>13.48</v>
          </cell>
          <cell r="K51">
            <v>1430.5</v>
          </cell>
          <cell r="L51">
            <v>48.99</v>
          </cell>
          <cell r="M51">
            <v>0.22</v>
          </cell>
        </row>
        <row r="52">
          <cell r="A52" t="str">
            <v>ANJO QUIMICA DO BRASIL LTDA</v>
          </cell>
          <cell r="B52">
            <v>8</v>
          </cell>
          <cell r="C52">
            <v>2762.97</v>
          </cell>
          <cell r="D52">
            <v>26.57</v>
          </cell>
          <cell r="E52">
            <v>0</v>
          </cell>
          <cell r="F52">
            <v>0</v>
          </cell>
          <cell r="G52">
            <v>17.899999999999999</v>
          </cell>
          <cell r="H52">
            <v>2745.07</v>
          </cell>
          <cell r="I52">
            <v>1644.64</v>
          </cell>
          <cell r="J52">
            <v>10.27</v>
          </cell>
          <cell r="K52">
            <v>1110.7</v>
          </cell>
          <cell r="L52">
            <v>40.35</v>
          </cell>
          <cell r="M52">
            <v>0.2</v>
          </cell>
        </row>
        <row r="53">
          <cell r="A53" t="str">
            <v>ILUMI</v>
          </cell>
          <cell r="B53">
            <v>12</v>
          </cell>
          <cell r="C53">
            <v>2508.0700000000002</v>
          </cell>
          <cell r="D53">
            <v>10.76</v>
          </cell>
          <cell r="E53">
            <v>0</v>
          </cell>
          <cell r="F53">
            <v>0</v>
          </cell>
          <cell r="G53">
            <v>15.6</v>
          </cell>
          <cell r="H53">
            <v>2492.4699999999998</v>
          </cell>
          <cell r="I53">
            <v>1372.8</v>
          </cell>
          <cell r="J53">
            <v>8.6999999999999993</v>
          </cell>
          <cell r="K53">
            <v>1128.3699999999999</v>
          </cell>
          <cell r="L53">
            <v>45.15</v>
          </cell>
          <cell r="M53">
            <v>0.18</v>
          </cell>
        </row>
        <row r="54">
          <cell r="A54" t="str">
            <v>CORTAG</v>
          </cell>
          <cell r="B54">
            <v>18</v>
          </cell>
          <cell r="C54">
            <v>2475.98</v>
          </cell>
          <cell r="D54">
            <v>32.58</v>
          </cell>
          <cell r="E54">
            <v>0</v>
          </cell>
          <cell r="F54">
            <v>0</v>
          </cell>
          <cell r="G54">
            <v>77.7</v>
          </cell>
          <cell r="H54">
            <v>2398.2800000000002</v>
          </cell>
          <cell r="I54">
            <v>1543.26</v>
          </cell>
          <cell r="J54">
            <v>41.19</v>
          </cell>
          <cell r="K54">
            <v>896.21</v>
          </cell>
          <cell r="L54">
            <v>36.81</v>
          </cell>
          <cell r="M54">
            <v>0.18</v>
          </cell>
        </row>
        <row r="55">
          <cell r="A55" t="str">
            <v>PLASTMAR IND E COM</v>
          </cell>
          <cell r="B55">
            <v>9</v>
          </cell>
          <cell r="C55">
            <v>2429.09</v>
          </cell>
          <cell r="D55">
            <v>55.21</v>
          </cell>
          <cell r="E55">
            <v>0</v>
          </cell>
          <cell r="F55">
            <v>0</v>
          </cell>
          <cell r="G55">
            <v>0</v>
          </cell>
          <cell r="H55">
            <v>2429.09</v>
          </cell>
          <cell r="I55">
            <v>1408.95</v>
          </cell>
          <cell r="J55">
            <v>0</v>
          </cell>
          <cell r="K55">
            <v>1020.14</v>
          </cell>
          <cell r="L55">
            <v>42</v>
          </cell>
          <cell r="M55">
            <v>0.18</v>
          </cell>
        </row>
        <row r="56">
          <cell r="A56" t="str">
            <v>ARAFORROS</v>
          </cell>
          <cell r="B56">
            <v>8</v>
          </cell>
          <cell r="C56">
            <v>2360.9</v>
          </cell>
          <cell r="D56">
            <v>138.88</v>
          </cell>
          <cell r="E56">
            <v>0</v>
          </cell>
          <cell r="F56">
            <v>0</v>
          </cell>
          <cell r="G56">
            <v>275.60000000000002</v>
          </cell>
          <cell r="H56">
            <v>2085.3000000000002</v>
          </cell>
          <cell r="I56">
            <v>1386.62</v>
          </cell>
          <cell r="J56">
            <v>161.28</v>
          </cell>
          <cell r="K56">
            <v>859.96</v>
          </cell>
          <cell r="L56">
            <v>39.1</v>
          </cell>
          <cell r="M56">
            <v>0.17</v>
          </cell>
        </row>
        <row r="57">
          <cell r="A57" t="str">
            <v>PADO</v>
          </cell>
          <cell r="B57">
            <v>9</v>
          </cell>
          <cell r="C57">
            <v>2108.35</v>
          </cell>
          <cell r="D57">
            <v>41.34</v>
          </cell>
          <cell r="E57">
            <v>0</v>
          </cell>
          <cell r="F57">
            <v>0</v>
          </cell>
          <cell r="G57">
            <v>0</v>
          </cell>
          <cell r="H57">
            <v>2108.35</v>
          </cell>
          <cell r="I57">
            <v>1222.69</v>
          </cell>
          <cell r="J57">
            <v>0</v>
          </cell>
          <cell r="K57">
            <v>885.66</v>
          </cell>
          <cell r="L57">
            <v>42.01</v>
          </cell>
          <cell r="M57">
            <v>0.16</v>
          </cell>
        </row>
        <row r="58">
          <cell r="A58" t="str">
            <v>PULVITEC</v>
          </cell>
          <cell r="B58">
            <v>29</v>
          </cell>
          <cell r="C58">
            <v>2106.1999999999998</v>
          </cell>
          <cell r="D58">
            <v>7.42</v>
          </cell>
          <cell r="E58">
            <v>0</v>
          </cell>
          <cell r="F58">
            <v>0</v>
          </cell>
          <cell r="G58">
            <v>9.6</v>
          </cell>
          <cell r="H58">
            <v>2096.6</v>
          </cell>
          <cell r="I58">
            <v>1030.8900000000001</v>
          </cell>
          <cell r="J58">
            <v>4.78</v>
          </cell>
          <cell r="K58">
            <v>1070.49</v>
          </cell>
          <cell r="L58">
            <v>50.94</v>
          </cell>
          <cell r="M58">
            <v>0.16</v>
          </cell>
        </row>
        <row r="59">
          <cell r="A59" t="str">
            <v>Momfort</v>
          </cell>
          <cell r="B59">
            <v>12</v>
          </cell>
          <cell r="C59">
            <v>2043.37</v>
          </cell>
          <cell r="D59">
            <v>34.06</v>
          </cell>
          <cell r="E59">
            <v>0</v>
          </cell>
          <cell r="F59">
            <v>0</v>
          </cell>
          <cell r="G59">
            <v>27.9</v>
          </cell>
          <cell r="H59">
            <v>2015.47</v>
          </cell>
          <cell r="I59">
            <v>1119.28</v>
          </cell>
          <cell r="J59">
            <v>14.5</v>
          </cell>
          <cell r="K59">
            <v>910.69</v>
          </cell>
          <cell r="L59">
            <v>44.89</v>
          </cell>
          <cell r="M59">
            <v>0.15</v>
          </cell>
        </row>
        <row r="60">
          <cell r="A60" t="str">
            <v>PRATIMIX</v>
          </cell>
          <cell r="B60">
            <v>14</v>
          </cell>
          <cell r="C60">
            <v>2017.58</v>
          </cell>
          <cell r="D60">
            <v>10.039999999999999</v>
          </cell>
          <cell r="E60">
            <v>0</v>
          </cell>
          <cell r="F60">
            <v>0</v>
          </cell>
          <cell r="G60">
            <v>36.700000000000003</v>
          </cell>
          <cell r="H60">
            <v>1980.88</v>
          </cell>
          <cell r="I60">
            <v>1130.69</v>
          </cell>
          <cell r="J60">
            <v>20.11</v>
          </cell>
          <cell r="K60">
            <v>870.3</v>
          </cell>
          <cell r="L60">
            <v>43.57</v>
          </cell>
          <cell r="M60">
            <v>0.15</v>
          </cell>
        </row>
        <row r="61">
          <cell r="A61" t="str">
            <v>CENSI</v>
          </cell>
          <cell r="B61">
            <v>18</v>
          </cell>
          <cell r="C61">
            <v>1959.61</v>
          </cell>
          <cell r="D61">
            <v>23.61</v>
          </cell>
          <cell r="E61">
            <v>0</v>
          </cell>
          <cell r="F61">
            <v>0</v>
          </cell>
          <cell r="G61">
            <v>49.6</v>
          </cell>
          <cell r="H61">
            <v>1910.01</v>
          </cell>
          <cell r="I61">
            <v>1169.43</v>
          </cell>
          <cell r="J61">
            <v>28.84</v>
          </cell>
          <cell r="K61">
            <v>769.42</v>
          </cell>
          <cell r="L61">
            <v>39.85</v>
          </cell>
          <cell r="M61">
            <v>0.14000000000000001</v>
          </cell>
        </row>
        <row r="62">
          <cell r="A62" t="str">
            <v>ALIANÇA</v>
          </cell>
          <cell r="B62">
            <v>5</v>
          </cell>
          <cell r="C62">
            <v>1867.75</v>
          </cell>
          <cell r="D62">
            <v>58.37</v>
          </cell>
          <cell r="E62">
            <v>0</v>
          </cell>
          <cell r="F62">
            <v>0</v>
          </cell>
          <cell r="G62">
            <v>78.900000000000006</v>
          </cell>
          <cell r="H62">
            <v>1788.85</v>
          </cell>
          <cell r="I62">
            <v>1166.6400000000001</v>
          </cell>
          <cell r="J62">
            <v>45.35</v>
          </cell>
          <cell r="K62">
            <v>667.56</v>
          </cell>
          <cell r="L62">
            <v>36.630000000000003</v>
          </cell>
          <cell r="M62">
            <v>0.14000000000000001</v>
          </cell>
        </row>
        <row r="63">
          <cell r="A63" t="str">
            <v>BEMFIXA</v>
          </cell>
          <cell r="B63">
            <v>8</v>
          </cell>
          <cell r="C63">
            <v>1841.22</v>
          </cell>
          <cell r="D63">
            <v>13.54</v>
          </cell>
          <cell r="E63">
            <v>0</v>
          </cell>
          <cell r="F63">
            <v>0</v>
          </cell>
          <cell r="G63">
            <v>21.5</v>
          </cell>
          <cell r="H63">
            <v>1819.72</v>
          </cell>
          <cell r="I63">
            <v>1121.4000000000001</v>
          </cell>
          <cell r="J63">
            <v>12.88</v>
          </cell>
          <cell r="K63">
            <v>711.2</v>
          </cell>
          <cell r="L63">
            <v>38.9</v>
          </cell>
          <cell r="M63">
            <v>0.14000000000000001</v>
          </cell>
        </row>
        <row r="64">
          <cell r="A64" t="str">
            <v>EXATRON</v>
          </cell>
          <cell r="B64">
            <v>6</v>
          </cell>
          <cell r="C64">
            <v>1770.1</v>
          </cell>
          <cell r="D64">
            <v>61.04</v>
          </cell>
          <cell r="E64">
            <v>0</v>
          </cell>
          <cell r="F64">
            <v>0</v>
          </cell>
          <cell r="G64">
            <v>68.900000000000006</v>
          </cell>
          <cell r="H64">
            <v>1701.2</v>
          </cell>
          <cell r="I64">
            <v>993.67</v>
          </cell>
          <cell r="J64">
            <v>42.27</v>
          </cell>
          <cell r="K64">
            <v>749.8</v>
          </cell>
          <cell r="L64">
            <v>43.4</v>
          </cell>
          <cell r="M64">
            <v>0.13</v>
          </cell>
        </row>
        <row r="65">
          <cell r="A65" t="str">
            <v>TAF</v>
          </cell>
          <cell r="B65">
            <v>8</v>
          </cell>
          <cell r="C65">
            <v>1744.36</v>
          </cell>
          <cell r="D65">
            <v>29.07</v>
          </cell>
          <cell r="E65">
            <v>0</v>
          </cell>
          <cell r="F65">
            <v>0</v>
          </cell>
          <cell r="G65">
            <v>0</v>
          </cell>
          <cell r="H65">
            <v>1744.36</v>
          </cell>
          <cell r="I65">
            <v>955.6</v>
          </cell>
          <cell r="J65">
            <v>0</v>
          </cell>
          <cell r="K65">
            <v>788.76</v>
          </cell>
          <cell r="L65">
            <v>45.22</v>
          </cell>
          <cell r="M65">
            <v>0.13</v>
          </cell>
        </row>
        <row r="66">
          <cell r="A66" t="str">
            <v>MARLUVAS</v>
          </cell>
          <cell r="B66">
            <v>4</v>
          </cell>
          <cell r="C66">
            <v>1732.9</v>
          </cell>
          <cell r="D66">
            <v>66.650000000000006</v>
          </cell>
          <cell r="E66">
            <v>0</v>
          </cell>
          <cell r="F66">
            <v>0</v>
          </cell>
          <cell r="G66">
            <v>53.9</v>
          </cell>
          <cell r="H66">
            <v>1679</v>
          </cell>
          <cell r="I66">
            <v>1154.27</v>
          </cell>
          <cell r="J66">
            <v>36.83</v>
          </cell>
          <cell r="K66">
            <v>561.55999999999995</v>
          </cell>
          <cell r="L66">
            <v>33.11</v>
          </cell>
          <cell r="M66">
            <v>0.13</v>
          </cell>
        </row>
        <row r="67">
          <cell r="A67" t="str">
            <v>INCESA</v>
          </cell>
          <cell r="B67">
            <v>5</v>
          </cell>
          <cell r="C67">
            <v>1639.5530000000001</v>
          </cell>
          <cell r="D67">
            <v>42.09</v>
          </cell>
          <cell r="E67">
            <v>0</v>
          </cell>
          <cell r="F67">
            <v>0</v>
          </cell>
          <cell r="G67">
            <v>114.75</v>
          </cell>
          <cell r="H67">
            <v>1524.8030000000001</v>
          </cell>
          <cell r="I67">
            <v>1012.2995</v>
          </cell>
          <cell r="J67">
            <v>66.325000000000003</v>
          </cell>
          <cell r="K67">
            <v>578.82849999999996</v>
          </cell>
          <cell r="L67">
            <v>36.79</v>
          </cell>
          <cell r="M67">
            <v>0.12</v>
          </cell>
        </row>
        <row r="68">
          <cell r="A68" t="str">
            <v>NAWA COM ATAC VAR PROD LAR E L</v>
          </cell>
          <cell r="B68">
            <v>5</v>
          </cell>
          <cell r="C68">
            <v>1568.75</v>
          </cell>
          <cell r="D68">
            <v>261.45999999999998</v>
          </cell>
          <cell r="E68">
            <v>0</v>
          </cell>
          <cell r="F68">
            <v>0</v>
          </cell>
          <cell r="G68">
            <v>0</v>
          </cell>
          <cell r="H68">
            <v>1568.75</v>
          </cell>
          <cell r="I68">
            <v>962.44</v>
          </cell>
          <cell r="J68">
            <v>0</v>
          </cell>
          <cell r="K68">
            <v>606.30999999999995</v>
          </cell>
          <cell r="L68">
            <v>38.65</v>
          </cell>
          <cell r="M68">
            <v>0.12</v>
          </cell>
        </row>
        <row r="69">
          <cell r="A69" t="str">
            <v>PADRAO FORTE</v>
          </cell>
          <cell r="B69">
            <v>4</v>
          </cell>
          <cell r="C69">
            <v>1566.23</v>
          </cell>
          <cell r="D69">
            <v>46.07</v>
          </cell>
          <cell r="E69">
            <v>0</v>
          </cell>
          <cell r="F69">
            <v>0</v>
          </cell>
          <cell r="G69">
            <v>0</v>
          </cell>
          <cell r="H69">
            <v>1566.23</v>
          </cell>
          <cell r="I69">
            <v>927.3</v>
          </cell>
          <cell r="J69">
            <v>0</v>
          </cell>
          <cell r="K69">
            <v>638.92999999999995</v>
          </cell>
          <cell r="L69">
            <v>40.79</v>
          </cell>
          <cell r="M69">
            <v>0.12</v>
          </cell>
        </row>
        <row r="70">
          <cell r="A70" t="str">
            <v>BOGNAR</v>
          </cell>
          <cell r="B70">
            <v>11</v>
          </cell>
          <cell r="C70">
            <v>1515.6</v>
          </cell>
          <cell r="D70">
            <v>45.93</v>
          </cell>
          <cell r="E70">
            <v>0</v>
          </cell>
          <cell r="F70">
            <v>0</v>
          </cell>
          <cell r="G70">
            <v>69.8</v>
          </cell>
          <cell r="H70">
            <v>1445.8</v>
          </cell>
          <cell r="I70">
            <v>922.91</v>
          </cell>
          <cell r="J70">
            <v>41.8</v>
          </cell>
          <cell r="K70">
            <v>564.69000000000005</v>
          </cell>
          <cell r="L70">
            <v>38.32</v>
          </cell>
          <cell r="M70">
            <v>0.11</v>
          </cell>
        </row>
        <row r="71">
          <cell r="A71" t="str">
            <v>TRAMONTINA</v>
          </cell>
          <cell r="B71">
            <v>6</v>
          </cell>
          <cell r="C71">
            <v>1372.8</v>
          </cell>
          <cell r="D71">
            <v>62.4</v>
          </cell>
          <cell r="E71">
            <v>0</v>
          </cell>
          <cell r="F71">
            <v>0</v>
          </cell>
          <cell r="G71">
            <v>0</v>
          </cell>
          <cell r="H71">
            <v>1372.8</v>
          </cell>
          <cell r="I71">
            <v>844.22</v>
          </cell>
          <cell r="J71">
            <v>0</v>
          </cell>
          <cell r="K71">
            <v>528.58000000000004</v>
          </cell>
          <cell r="L71">
            <v>38.5</v>
          </cell>
          <cell r="M71">
            <v>0.1</v>
          </cell>
        </row>
        <row r="72">
          <cell r="A72" t="str">
            <v>DUDA</v>
          </cell>
          <cell r="B72">
            <v>5</v>
          </cell>
          <cell r="C72">
            <v>1306.33</v>
          </cell>
          <cell r="D72">
            <v>33.840000000000003</v>
          </cell>
          <cell r="E72">
            <v>0</v>
          </cell>
          <cell r="F72">
            <v>0</v>
          </cell>
          <cell r="G72">
            <v>0</v>
          </cell>
          <cell r="H72">
            <v>1306.33</v>
          </cell>
          <cell r="I72">
            <v>758.16200000000003</v>
          </cell>
          <cell r="J72">
            <v>0</v>
          </cell>
          <cell r="K72">
            <v>548.16800000000001</v>
          </cell>
          <cell r="L72">
            <v>41.96</v>
          </cell>
          <cell r="M72">
            <v>0.1</v>
          </cell>
        </row>
        <row r="73">
          <cell r="A73" t="str">
            <v>ORBI QUIMICA LTDA</v>
          </cell>
          <cell r="B73">
            <v>6</v>
          </cell>
          <cell r="C73">
            <v>1205.49</v>
          </cell>
          <cell r="D73">
            <v>13.54</v>
          </cell>
          <cell r="E73">
            <v>0</v>
          </cell>
          <cell r="F73">
            <v>0</v>
          </cell>
          <cell r="G73">
            <v>0</v>
          </cell>
          <cell r="H73">
            <v>1205.49</v>
          </cell>
          <cell r="I73">
            <v>671.49</v>
          </cell>
          <cell r="J73">
            <v>0</v>
          </cell>
          <cell r="K73">
            <v>534</v>
          </cell>
          <cell r="L73">
            <v>44.3</v>
          </cell>
          <cell r="M73">
            <v>0.09</v>
          </cell>
        </row>
        <row r="74">
          <cell r="A74" t="str">
            <v>TRAMONTINA NORDESTE</v>
          </cell>
          <cell r="B74">
            <v>6</v>
          </cell>
          <cell r="C74">
            <v>1192.67</v>
          </cell>
          <cell r="D74">
            <v>32.229999999999997</v>
          </cell>
          <cell r="E74">
            <v>0</v>
          </cell>
          <cell r="F74">
            <v>0</v>
          </cell>
          <cell r="G74">
            <v>0</v>
          </cell>
          <cell r="H74">
            <v>1192.67</v>
          </cell>
          <cell r="I74">
            <v>781.54</v>
          </cell>
          <cell r="J74">
            <v>0</v>
          </cell>
          <cell r="K74">
            <v>411.13</v>
          </cell>
          <cell r="L74">
            <v>34.47</v>
          </cell>
          <cell r="M74">
            <v>0.09</v>
          </cell>
        </row>
        <row r="75">
          <cell r="A75" t="str">
            <v>METALOSA</v>
          </cell>
          <cell r="B75">
            <v>2</v>
          </cell>
          <cell r="C75">
            <v>1087.6300000000001</v>
          </cell>
          <cell r="D75">
            <v>217.53</v>
          </cell>
          <cell r="E75">
            <v>0</v>
          </cell>
          <cell r="F75">
            <v>0</v>
          </cell>
          <cell r="G75">
            <v>0</v>
          </cell>
          <cell r="H75">
            <v>1087.6300000000001</v>
          </cell>
          <cell r="I75">
            <v>629.37</v>
          </cell>
          <cell r="J75">
            <v>0</v>
          </cell>
          <cell r="K75">
            <v>458.26</v>
          </cell>
          <cell r="L75">
            <v>42.13</v>
          </cell>
          <cell r="M75">
            <v>0.08</v>
          </cell>
        </row>
        <row r="76">
          <cell r="A76" t="str">
            <v>BRASFORT</v>
          </cell>
          <cell r="B76">
            <v>4</v>
          </cell>
          <cell r="C76">
            <v>1025.04</v>
          </cell>
          <cell r="D76">
            <v>15.3</v>
          </cell>
          <cell r="E76">
            <v>0</v>
          </cell>
          <cell r="F76">
            <v>0</v>
          </cell>
          <cell r="G76">
            <v>0</v>
          </cell>
          <cell r="H76">
            <v>1025.04</v>
          </cell>
          <cell r="I76">
            <v>595.69000000000005</v>
          </cell>
          <cell r="J76">
            <v>0</v>
          </cell>
          <cell r="K76">
            <v>429.35</v>
          </cell>
          <cell r="L76">
            <v>41.89</v>
          </cell>
          <cell r="M76">
            <v>0.08</v>
          </cell>
        </row>
        <row r="77">
          <cell r="A77" t="str">
            <v>COZIMAX</v>
          </cell>
          <cell r="B77">
            <v>4</v>
          </cell>
          <cell r="C77">
            <v>1009.26</v>
          </cell>
          <cell r="D77">
            <v>144.18</v>
          </cell>
          <cell r="E77">
            <v>0</v>
          </cell>
          <cell r="F77">
            <v>0</v>
          </cell>
          <cell r="G77">
            <v>0</v>
          </cell>
          <cell r="H77">
            <v>1009.26</v>
          </cell>
          <cell r="I77">
            <v>629.17999999999995</v>
          </cell>
          <cell r="J77">
            <v>0</v>
          </cell>
          <cell r="K77">
            <v>380.08</v>
          </cell>
          <cell r="L77">
            <v>37.659999999999997</v>
          </cell>
          <cell r="M77">
            <v>7.0000000000000007E-2</v>
          </cell>
        </row>
        <row r="78">
          <cell r="A78" t="str">
            <v>KALIPSO</v>
          </cell>
          <cell r="B78">
            <v>5</v>
          </cell>
          <cell r="C78">
            <v>982.8</v>
          </cell>
          <cell r="D78">
            <v>7.62</v>
          </cell>
          <cell r="E78">
            <v>0</v>
          </cell>
          <cell r="F78">
            <v>0</v>
          </cell>
          <cell r="G78">
            <v>0</v>
          </cell>
          <cell r="H78">
            <v>982.8</v>
          </cell>
          <cell r="I78">
            <v>438.67</v>
          </cell>
          <cell r="J78">
            <v>0</v>
          </cell>
          <cell r="K78">
            <v>544.13</v>
          </cell>
          <cell r="L78">
            <v>55.37</v>
          </cell>
          <cell r="M78">
            <v>7.0000000000000007E-2</v>
          </cell>
        </row>
        <row r="79">
          <cell r="A79" t="str">
            <v>FORTLINE</v>
          </cell>
          <cell r="B79">
            <v>2</v>
          </cell>
          <cell r="C79">
            <v>903.2</v>
          </cell>
          <cell r="D79">
            <v>112.9</v>
          </cell>
          <cell r="E79">
            <v>0</v>
          </cell>
          <cell r="F79">
            <v>0</v>
          </cell>
          <cell r="G79">
            <v>0</v>
          </cell>
          <cell r="H79">
            <v>903.2</v>
          </cell>
          <cell r="I79">
            <v>551</v>
          </cell>
          <cell r="J79">
            <v>0</v>
          </cell>
          <cell r="K79">
            <v>352.2</v>
          </cell>
          <cell r="L79">
            <v>38.99</v>
          </cell>
          <cell r="M79">
            <v>7.0000000000000007E-2</v>
          </cell>
        </row>
        <row r="80">
          <cell r="A80" t="str">
            <v>MASCOTE</v>
          </cell>
          <cell r="B80">
            <v>19</v>
          </cell>
          <cell r="C80">
            <v>805.67</v>
          </cell>
          <cell r="D80">
            <v>8.85</v>
          </cell>
          <cell r="E80">
            <v>0</v>
          </cell>
          <cell r="F80">
            <v>0</v>
          </cell>
          <cell r="G80">
            <v>100.3</v>
          </cell>
          <cell r="H80">
            <v>705.37</v>
          </cell>
          <cell r="I80">
            <v>402.73</v>
          </cell>
          <cell r="J80">
            <v>51.99</v>
          </cell>
          <cell r="K80">
            <v>354.63</v>
          </cell>
          <cell r="L80">
            <v>47.05</v>
          </cell>
          <cell r="M80">
            <v>0.06</v>
          </cell>
        </row>
        <row r="81">
          <cell r="A81" t="str">
            <v>GERDAU</v>
          </cell>
          <cell r="B81">
            <v>6</v>
          </cell>
          <cell r="C81">
            <v>799.4</v>
          </cell>
          <cell r="D81">
            <v>30.75</v>
          </cell>
          <cell r="E81">
            <v>0</v>
          </cell>
          <cell r="F81">
            <v>0</v>
          </cell>
          <cell r="G81">
            <v>0</v>
          </cell>
          <cell r="H81">
            <v>799.4</v>
          </cell>
          <cell r="I81">
            <v>440.3</v>
          </cell>
          <cell r="J81">
            <v>0</v>
          </cell>
          <cell r="K81">
            <v>359.1</v>
          </cell>
          <cell r="L81">
            <v>44.92</v>
          </cell>
          <cell r="M81">
            <v>0.06</v>
          </cell>
        </row>
        <row r="82">
          <cell r="A82" t="str">
            <v>BOTAFOGO</v>
          </cell>
          <cell r="B82">
            <v>1</v>
          </cell>
          <cell r="C82">
            <v>775.9</v>
          </cell>
          <cell r="D82">
            <v>775.9</v>
          </cell>
          <cell r="E82">
            <v>0</v>
          </cell>
          <cell r="F82">
            <v>0</v>
          </cell>
          <cell r="G82">
            <v>0</v>
          </cell>
          <cell r="H82">
            <v>775.9</v>
          </cell>
          <cell r="I82">
            <v>441.24</v>
          </cell>
          <cell r="J82">
            <v>0</v>
          </cell>
          <cell r="K82">
            <v>334.66</v>
          </cell>
          <cell r="L82">
            <v>43.13</v>
          </cell>
          <cell r="M82">
            <v>0.06</v>
          </cell>
        </row>
        <row r="83">
          <cell r="A83" t="str">
            <v>STAM</v>
          </cell>
          <cell r="B83">
            <v>5</v>
          </cell>
          <cell r="C83">
            <v>764.82</v>
          </cell>
          <cell r="D83">
            <v>54.63</v>
          </cell>
          <cell r="E83">
            <v>0</v>
          </cell>
          <cell r="F83">
            <v>0</v>
          </cell>
          <cell r="G83">
            <v>0</v>
          </cell>
          <cell r="H83">
            <v>764.82</v>
          </cell>
          <cell r="I83">
            <v>427.71</v>
          </cell>
          <cell r="J83">
            <v>0</v>
          </cell>
          <cell r="K83">
            <v>337.11</v>
          </cell>
          <cell r="L83">
            <v>44.08</v>
          </cell>
          <cell r="M83">
            <v>0.06</v>
          </cell>
        </row>
        <row r="84">
          <cell r="A84" t="str">
            <v>CHEMONE</v>
          </cell>
          <cell r="B84">
            <v>7</v>
          </cell>
          <cell r="C84">
            <v>746.7</v>
          </cell>
          <cell r="D84">
            <v>20.74</v>
          </cell>
          <cell r="E84">
            <v>0</v>
          </cell>
          <cell r="F84">
            <v>0</v>
          </cell>
          <cell r="G84">
            <v>0</v>
          </cell>
          <cell r="H84">
            <v>746.7</v>
          </cell>
          <cell r="I84">
            <v>436.47</v>
          </cell>
          <cell r="J84">
            <v>0</v>
          </cell>
          <cell r="K84">
            <v>310.23</v>
          </cell>
          <cell r="L84">
            <v>41.55</v>
          </cell>
          <cell r="M84">
            <v>0.05</v>
          </cell>
        </row>
        <row r="85">
          <cell r="A85" t="str">
            <v>PINTSILK</v>
          </cell>
          <cell r="B85">
            <v>4</v>
          </cell>
          <cell r="C85">
            <v>734.4</v>
          </cell>
          <cell r="D85">
            <v>91.8</v>
          </cell>
          <cell r="E85">
            <v>0</v>
          </cell>
          <cell r="F85">
            <v>0</v>
          </cell>
          <cell r="G85">
            <v>0</v>
          </cell>
          <cell r="H85">
            <v>734.4</v>
          </cell>
          <cell r="I85">
            <v>428.66</v>
          </cell>
          <cell r="J85">
            <v>0</v>
          </cell>
          <cell r="K85">
            <v>305.74</v>
          </cell>
          <cell r="L85">
            <v>41.63</v>
          </cell>
          <cell r="M85">
            <v>0.05</v>
          </cell>
        </row>
        <row r="86">
          <cell r="A86" t="str">
            <v>PRECON</v>
          </cell>
          <cell r="B86">
            <v>2</v>
          </cell>
          <cell r="C86">
            <v>729.1</v>
          </cell>
          <cell r="D86">
            <v>81.010000000000005</v>
          </cell>
          <cell r="E86">
            <v>0</v>
          </cell>
          <cell r="F86">
            <v>0</v>
          </cell>
          <cell r="G86">
            <v>0</v>
          </cell>
          <cell r="H86">
            <v>729.1</v>
          </cell>
          <cell r="I86">
            <v>458.09</v>
          </cell>
          <cell r="J86">
            <v>0</v>
          </cell>
          <cell r="K86">
            <v>271.01</v>
          </cell>
          <cell r="L86">
            <v>37.17</v>
          </cell>
          <cell r="M86">
            <v>0.05</v>
          </cell>
        </row>
        <row r="87">
          <cell r="A87" t="str">
            <v>FRANKE</v>
          </cell>
          <cell r="B87">
            <v>3</v>
          </cell>
          <cell r="C87">
            <v>728.6</v>
          </cell>
          <cell r="D87">
            <v>242.87</v>
          </cell>
          <cell r="E87">
            <v>0</v>
          </cell>
          <cell r="F87">
            <v>0</v>
          </cell>
          <cell r="G87">
            <v>0</v>
          </cell>
          <cell r="H87">
            <v>728.6</v>
          </cell>
          <cell r="I87">
            <v>401.24</v>
          </cell>
          <cell r="J87">
            <v>0</v>
          </cell>
          <cell r="K87">
            <v>327.36</v>
          </cell>
          <cell r="L87">
            <v>44.93</v>
          </cell>
          <cell r="M87">
            <v>0.05</v>
          </cell>
        </row>
        <row r="88">
          <cell r="A88" t="str">
            <v>HIDRACOR</v>
          </cell>
          <cell r="B88">
            <v>6</v>
          </cell>
          <cell r="C88">
            <v>697.86</v>
          </cell>
          <cell r="D88">
            <v>3.9</v>
          </cell>
          <cell r="E88">
            <v>0</v>
          </cell>
          <cell r="F88">
            <v>0</v>
          </cell>
          <cell r="G88">
            <v>23.4</v>
          </cell>
          <cell r="H88">
            <v>674.46</v>
          </cell>
          <cell r="I88">
            <v>246.42</v>
          </cell>
          <cell r="J88">
            <v>8.2200000000000006</v>
          </cell>
          <cell r="K88">
            <v>436.26</v>
          </cell>
          <cell r="L88">
            <v>63.26</v>
          </cell>
          <cell r="M88">
            <v>0.05</v>
          </cell>
        </row>
        <row r="89">
          <cell r="A89" t="str">
            <v>J LOBATO</v>
          </cell>
          <cell r="B89">
            <v>7</v>
          </cell>
          <cell r="C89">
            <v>692.26</v>
          </cell>
          <cell r="D89">
            <v>19.23</v>
          </cell>
          <cell r="E89">
            <v>0</v>
          </cell>
          <cell r="F89">
            <v>0</v>
          </cell>
          <cell r="G89">
            <v>30.9</v>
          </cell>
          <cell r="H89">
            <v>661.36</v>
          </cell>
          <cell r="I89">
            <v>315.26</v>
          </cell>
          <cell r="J89">
            <v>14.01</v>
          </cell>
          <cell r="K89">
            <v>360.11</v>
          </cell>
          <cell r="L89">
            <v>53.09</v>
          </cell>
          <cell r="M89">
            <v>0.05</v>
          </cell>
        </row>
        <row r="90">
          <cell r="A90" t="str">
            <v>ARCELORMITTAL</v>
          </cell>
          <cell r="B90">
            <v>4</v>
          </cell>
          <cell r="C90">
            <v>670.1</v>
          </cell>
          <cell r="D90">
            <v>51.55</v>
          </cell>
          <cell r="E90">
            <v>0</v>
          </cell>
          <cell r="F90">
            <v>0</v>
          </cell>
          <cell r="G90">
            <v>0</v>
          </cell>
          <cell r="H90">
            <v>670.1</v>
          </cell>
          <cell r="I90">
            <v>387.13</v>
          </cell>
          <cell r="J90">
            <v>0</v>
          </cell>
          <cell r="K90">
            <v>282.97000000000003</v>
          </cell>
          <cell r="L90">
            <v>42.23</v>
          </cell>
          <cell r="M90">
            <v>0.05</v>
          </cell>
        </row>
        <row r="91">
          <cell r="A91" t="str">
            <v>ULTRA CLEAN</v>
          </cell>
          <cell r="B91">
            <v>5</v>
          </cell>
          <cell r="C91">
            <v>663.76</v>
          </cell>
          <cell r="D91">
            <v>22.13</v>
          </cell>
          <cell r="E91">
            <v>0</v>
          </cell>
          <cell r="F91">
            <v>0</v>
          </cell>
          <cell r="G91">
            <v>0</v>
          </cell>
          <cell r="H91">
            <v>663.76</v>
          </cell>
          <cell r="I91">
            <v>401.77</v>
          </cell>
          <cell r="J91">
            <v>0</v>
          </cell>
          <cell r="K91">
            <v>261.99</v>
          </cell>
          <cell r="L91">
            <v>39.47</v>
          </cell>
          <cell r="M91">
            <v>0.05</v>
          </cell>
        </row>
        <row r="92">
          <cell r="A92" t="str">
            <v>GARDENLIFE</v>
          </cell>
          <cell r="B92">
            <v>4</v>
          </cell>
          <cell r="C92">
            <v>660.51</v>
          </cell>
          <cell r="D92">
            <v>132.1</v>
          </cell>
          <cell r="E92">
            <v>0</v>
          </cell>
          <cell r="F92">
            <v>0</v>
          </cell>
          <cell r="G92">
            <v>0</v>
          </cell>
          <cell r="H92">
            <v>660.51</v>
          </cell>
          <cell r="I92">
            <v>418.43</v>
          </cell>
          <cell r="J92">
            <v>0</v>
          </cell>
          <cell r="K92">
            <v>242.08</v>
          </cell>
          <cell r="L92">
            <v>36.65</v>
          </cell>
          <cell r="M92">
            <v>0.05</v>
          </cell>
        </row>
        <row r="93">
          <cell r="A93" t="str">
            <v>ULTRACLEAN</v>
          </cell>
          <cell r="B93">
            <v>4</v>
          </cell>
          <cell r="C93">
            <v>608.21</v>
          </cell>
          <cell r="D93">
            <v>20.97</v>
          </cell>
          <cell r="E93">
            <v>0</v>
          </cell>
          <cell r="F93">
            <v>0</v>
          </cell>
          <cell r="G93">
            <v>0</v>
          </cell>
          <cell r="H93">
            <v>608.21</v>
          </cell>
          <cell r="I93">
            <v>344.3</v>
          </cell>
          <cell r="J93">
            <v>0</v>
          </cell>
          <cell r="K93">
            <v>263.91000000000003</v>
          </cell>
          <cell r="L93">
            <v>43.39</v>
          </cell>
          <cell r="M93">
            <v>0.04</v>
          </cell>
        </row>
        <row r="94">
          <cell r="A94" t="str">
            <v>BOSCH</v>
          </cell>
          <cell r="B94">
            <v>3</v>
          </cell>
          <cell r="C94">
            <v>582.9</v>
          </cell>
          <cell r="D94">
            <v>52.99</v>
          </cell>
          <cell r="E94">
            <v>0</v>
          </cell>
          <cell r="F94">
            <v>0</v>
          </cell>
          <cell r="G94">
            <v>0</v>
          </cell>
          <cell r="H94">
            <v>582.9</v>
          </cell>
          <cell r="I94">
            <v>364.48</v>
          </cell>
          <cell r="J94">
            <v>0</v>
          </cell>
          <cell r="K94">
            <v>218.42</v>
          </cell>
          <cell r="L94">
            <v>37.47</v>
          </cell>
          <cell r="M94">
            <v>0.04</v>
          </cell>
        </row>
        <row r="95">
          <cell r="A95" t="str">
            <v>SECALUX</v>
          </cell>
          <cell r="B95">
            <v>4</v>
          </cell>
          <cell r="C95">
            <v>579.91</v>
          </cell>
          <cell r="D95">
            <v>57.99</v>
          </cell>
          <cell r="E95">
            <v>0</v>
          </cell>
          <cell r="F95">
            <v>0</v>
          </cell>
          <cell r="G95">
            <v>31.9</v>
          </cell>
          <cell r="H95">
            <v>548.01</v>
          </cell>
          <cell r="I95">
            <v>356.62</v>
          </cell>
          <cell r="J95">
            <v>18.45</v>
          </cell>
          <cell r="K95">
            <v>209.84</v>
          </cell>
          <cell r="L95">
            <v>37.369999999999997</v>
          </cell>
          <cell r="M95">
            <v>0.04</v>
          </cell>
        </row>
        <row r="96">
          <cell r="A96" t="str">
            <v>NORCOLA</v>
          </cell>
          <cell r="B96">
            <v>5</v>
          </cell>
          <cell r="C96">
            <v>447</v>
          </cell>
          <cell r="D96">
            <v>44.7</v>
          </cell>
          <cell r="E96">
            <v>0</v>
          </cell>
          <cell r="F96">
            <v>0</v>
          </cell>
          <cell r="G96">
            <v>0</v>
          </cell>
          <cell r="H96">
            <v>447</v>
          </cell>
          <cell r="I96">
            <v>271.25</v>
          </cell>
          <cell r="J96">
            <v>0</v>
          </cell>
          <cell r="K96">
            <v>175.75</v>
          </cell>
          <cell r="L96">
            <v>39.32</v>
          </cell>
          <cell r="M96">
            <v>0.03</v>
          </cell>
        </row>
        <row r="97">
          <cell r="A97" t="str">
            <v>Max-Giro</v>
          </cell>
          <cell r="B97">
            <v>7</v>
          </cell>
          <cell r="C97">
            <v>438.47</v>
          </cell>
          <cell r="D97">
            <v>13.29</v>
          </cell>
          <cell r="E97">
            <v>0</v>
          </cell>
          <cell r="F97">
            <v>0</v>
          </cell>
          <cell r="G97">
            <v>13.4</v>
          </cell>
          <cell r="H97">
            <v>425.07</v>
          </cell>
          <cell r="I97">
            <v>249.47</v>
          </cell>
          <cell r="J97">
            <v>7.92</v>
          </cell>
          <cell r="K97">
            <v>183.52</v>
          </cell>
          <cell r="L97">
            <v>42.62</v>
          </cell>
          <cell r="M97">
            <v>0.03</v>
          </cell>
        </row>
        <row r="98">
          <cell r="A98" t="str">
            <v>NOVA FIXACAO</v>
          </cell>
          <cell r="B98">
            <v>5</v>
          </cell>
          <cell r="C98">
            <v>410.49</v>
          </cell>
          <cell r="D98">
            <v>2.11</v>
          </cell>
          <cell r="E98">
            <v>0</v>
          </cell>
          <cell r="F98">
            <v>0</v>
          </cell>
          <cell r="G98">
            <v>0</v>
          </cell>
          <cell r="H98">
            <v>410.49</v>
          </cell>
          <cell r="I98">
            <v>236.16</v>
          </cell>
          <cell r="J98">
            <v>0</v>
          </cell>
          <cell r="K98">
            <v>174.33</v>
          </cell>
          <cell r="L98">
            <v>42.47</v>
          </cell>
          <cell r="M98">
            <v>0.03</v>
          </cell>
        </row>
        <row r="99">
          <cell r="A99" t="str">
            <v>LEDAN</v>
          </cell>
          <cell r="B99">
            <v>3</v>
          </cell>
          <cell r="C99">
            <v>405.04</v>
          </cell>
          <cell r="D99">
            <v>7.23</v>
          </cell>
          <cell r="E99">
            <v>0</v>
          </cell>
          <cell r="F99">
            <v>0</v>
          </cell>
          <cell r="G99">
            <v>61.89</v>
          </cell>
          <cell r="H99">
            <v>343.15</v>
          </cell>
          <cell r="I99">
            <v>257.17</v>
          </cell>
          <cell r="J99">
            <v>37.72</v>
          </cell>
          <cell r="K99">
            <v>123.7</v>
          </cell>
          <cell r="L99">
            <v>33.68</v>
          </cell>
          <cell r="M99">
            <v>0.03</v>
          </cell>
        </row>
        <row r="100">
          <cell r="A100" t="str">
            <v>TOP MIX</v>
          </cell>
          <cell r="B100">
            <v>1</v>
          </cell>
          <cell r="C100">
            <v>399.9</v>
          </cell>
          <cell r="D100">
            <v>399.9</v>
          </cell>
          <cell r="E100">
            <v>0</v>
          </cell>
          <cell r="F100">
            <v>0</v>
          </cell>
          <cell r="G100">
            <v>0</v>
          </cell>
          <cell r="H100">
            <v>399.9</v>
          </cell>
          <cell r="I100">
            <v>242.25</v>
          </cell>
          <cell r="J100">
            <v>0</v>
          </cell>
          <cell r="K100">
            <v>157.65</v>
          </cell>
          <cell r="L100">
            <v>39.42</v>
          </cell>
          <cell r="M100">
            <v>0.03</v>
          </cell>
        </row>
        <row r="101">
          <cell r="A101" t="str">
            <v>ATTENA</v>
          </cell>
          <cell r="B101">
            <v>2</v>
          </cell>
          <cell r="C101">
            <v>319.27</v>
          </cell>
          <cell r="D101">
            <v>45.61</v>
          </cell>
          <cell r="E101">
            <v>0</v>
          </cell>
          <cell r="F101">
            <v>0</v>
          </cell>
          <cell r="G101">
            <v>0</v>
          </cell>
          <cell r="H101">
            <v>319.27</v>
          </cell>
          <cell r="I101">
            <v>441.4</v>
          </cell>
          <cell r="J101">
            <v>0</v>
          </cell>
          <cell r="K101">
            <v>-122.13</v>
          </cell>
          <cell r="L101">
            <v>0</v>
          </cell>
          <cell r="M101">
            <v>0.02</v>
          </cell>
        </row>
        <row r="102">
          <cell r="A102" t="str">
            <v>OVERTIME</v>
          </cell>
          <cell r="B102">
            <v>3</v>
          </cell>
          <cell r="C102">
            <v>306.69</v>
          </cell>
          <cell r="D102">
            <v>21.91</v>
          </cell>
          <cell r="E102">
            <v>0</v>
          </cell>
          <cell r="F102">
            <v>0</v>
          </cell>
          <cell r="G102">
            <v>0</v>
          </cell>
          <cell r="H102">
            <v>306.69</v>
          </cell>
          <cell r="I102">
            <v>183.92</v>
          </cell>
          <cell r="J102">
            <v>0</v>
          </cell>
          <cell r="K102">
            <v>122.77</v>
          </cell>
          <cell r="L102">
            <v>40.03</v>
          </cell>
          <cell r="M102">
            <v>0.02</v>
          </cell>
        </row>
        <row r="103">
          <cell r="A103" t="str">
            <v>TRAMONTINA ELETRIK S.A.</v>
          </cell>
          <cell r="B103">
            <v>3</v>
          </cell>
          <cell r="C103">
            <v>272.94</v>
          </cell>
          <cell r="D103">
            <v>15.16</v>
          </cell>
          <cell r="E103">
            <v>0</v>
          </cell>
          <cell r="F103">
            <v>0</v>
          </cell>
          <cell r="G103">
            <v>0</v>
          </cell>
          <cell r="H103">
            <v>272.94</v>
          </cell>
          <cell r="I103">
            <v>171.8</v>
          </cell>
          <cell r="J103">
            <v>0</v>
          </cell>
          <cell r="K103">
            <v>101.14</v>
          </cell>
          <cell r="L103">
            <v>37.06</v>
          </cell>
          <cell r="M103">
            <v>0.02</v>
          </cell>
        </row>
        <row r="104">
          <cell r="A104" t="str">
            <v>CRIVAL</v>
          </cell>
          <cell r="B104">
            <v>1</v>
          </cell>
          <cell r="C104">
            <v>270.60000000000002</v>
          </cell>
          <cell r="D104">
            <v>67.650000000000006</v>
          </cell>
          <cell r="E104">
            <v>0</v>
          </cell>
          <cell r="F104">
            <v>0</v>
          </cell>
          <cell r="G104">
            <v>0</v>
          </cell>
          <cell r="H104">
            <v>270.60000000000002</v>
          </cell>
          <cell r="I104">
            <v>159.71</v>
          </cell>
          <cell r="J104">
            <v>0</v>
          </cell>
          <cell r="K104">
            <v>110.89</v>
          </cell>
          <cell r="L104">
            <v>40.98</v>
          </cell>
          <cell r="M104">
            <v>0.02</v>
          </cell>
        </row>
        <row r="105">
          <cell r="A105" t="str">
            <v>ANJO TINTAS E SOLVENTES</v>
          </cell>
          <cell r="B105">
            <v>4</v>
          </cell>
          <cell r="C105">
            <v>259.10000000000002</v>
          </cell>
          <cell r="D105">
            <v>28.79</v>
          </cell>
          <cell r="E105">
            <v>0</v>
          </cell>
          <cell r="F105">
            <v>0</v>
          </cell>
          <cell r="G105">
            <v>0</v>
          </cell>
          <cell r="H105">
            <v>259.10000000000002</v>
          </cell>
          <cell r="I105">
            <v>151.47</v>
          </cell>
          <cell r="J105">
            <v>0</v>
          </cell>
          <cell r="K105">
            <v>107.63</v>
          </cell>
          <cell r="L105">
            <v>41.54</v>
          </cell>
          <cell r="M105">
            <v>0.02</v>
          </cell>
        </row>
        <row r="106">
          <cell r="A106" t="str">
            <v>RHPE</v>
          </cell>
          <cell r="B106">
            <v>2</v>
          </cell>
          <cell r="C106">
            <v>257.7</v>
          </cell>
          <cell r="D106">
            <v>85.9</v>
          </cell>
          <cell r="E106">
            <v>0</v>
          </cell>
          <cell r="F106">
            <v>0</v>
          </cell>
          <cell r="G106">
            <v>0</v>
          </cell>
          <cell r="H106">
            <v>257.7</v>
          </cell>
          <cell r="I106">
            <v>160.02000000000001</v>
          </cell>
          <cell r="J106">
            <v>0</v>
          </cell>
          <cell r="K106">
            <v>97.68</v>
          </cell>
          <cell r="L106">
            <v>37.9</v>
          </cell>
          <cell r="M106">
            <v>0.02</v>
          </cell>
        </row>
        <row r="107">
          <cell r="A107" t="str">
            <v>EXTRALUX</v>
          </cell>
          <cell r="B107">
            <v>5</v>
          </cell>
          <cell r="C107">
            <v>251.9</v>
          </cell>
          <cell r="D107">
            <v>17.989999999999998</v>
          </cell>
          <cell r="E107">
            <v>0</v>
          </cell>
          <cell r="F107">
            <v>0</v>
          </cell>
          <cell r="G107">
            <v>0</v>
          </cell>
          <cell r="H107">
            <v>251.9</v>
          </cell>
          <cell r="I107">
            <v>150.57</v>
          </cell>
          <cell r="J107">
            <v>0</v>
          </cell>
          <cell r="K107">
            <v>101.33</v>
          </cell>
          <cell r="L107">
            <v>40.229999999999997</v>
          </cell>
          <cell r="M107">
            <v>0.02</v>
          </cell>
        </row>
        <row r="108">
          <cell r="A108" t="str">
            <v>EXTRALUZ</v>
          </cell>
          <cell r="B108">
            <v>2</v>
          </cell>
          <cell r="C108">
            <v>240.9</v>
          </cell>
          <cell r="D108">
            <v>15.06</v>
          </cell>
          <cell r="E108">
            <v>0</v>
          </cell>
          <cell r="F108">
            <v>0</v>
          </cell>
          <cell r="G108">
            <v>0</v>
          </cell>
          <cell r="H108">
            <v>240.9</v>
          </cell>
          <cell r="I108">
            <v>145.15</v>
          </cell>
          <cell r="J108">
            <v>0</v>
          </cell>
          <cell r="K108">
            <v>95.75</v>
          </cell>
          <cell r="L108">
            <v>39.75</v>
          </cell>
          <cell r="M108">
            <v>0.02</v>
          </cell>
        </row>
        <row r="109">
          <cell r="A109" t="str">
            <v>COMFORT DOOR</v>
          </cell>
          <cell r="B109">
            <v>3</v>
          </cell>
          <cell r="C109">
            <v>221.45</v>
          </cell>
          <cell r="D109">
            <v>27.68</v>
          </cell>
          <cell r="E109">
            <v>0</v>
          </cell>
          <cell r="F109">
            <v>0</v>
          </cell>
          <cell r="G109">
            <v>0</v>
          </cell>
          <cell r="H109">
            <v>221.45</v>
          </cell>
          <cell r="I109">
            <v>118.94</v>
          </cell>
          <cell r="J109">
            <v>0</v>
          </cell>
          <cell r="K109">
            <v>102.51</v>
          </cell>
          <cell r="L109">
            <v>46.29</v>
          </cell>
          <cell r="M109">
            <v>0.02</v>
          </cell>
        </row>
        <row r="110">
          <cell r="A110" t="str">
            <v xml:space="preserve"> RESISWAL</v>
          </cell>
          <cell r="B110">
            <v>2</v>
          </cell>
          <cell r="C110">
            <v>170.6</v>
          </cell>
          <cell r="D110">
            <v>42.65</v>
          </cell>
          <cell r="E110">
            <v>0</v>
          </cell>
          <cell r="F110">
            <v>0</v>
          </cell>
          <cell r="G110">
            <v>0</v>
          </cell>
          <cell r="H110">
            <v>170.6</v>
          </cell>
          <cell r="I110">
            <v>94.44</v>
          </cell>
          <cell r="J110">
            <v>0</v>
          </cell>
          <cell r="K110">
            <v>76.16</v>
          </cell>
          <cell r="L110">
            <v>44.64</v>
          </cell>
          <cell r="M110">
            <v>0.01</v>
          </cell>
        </row>
        <row r="111">
          <cell r="A111" t="str">
            <v>RANCAN</v>
          </cell>
          <cell r="B111">
            <v>2</v>
          </cell>
          <cell r="C111">
            <v>119.8</v>
          </cell>
          <cell r="D111">
            <v>59.9</v>
          </cell>
          <cell r="E111">
            <v>0</v>
          </cell>
          <cell r="F111">
            <v>0</v>
          </cell>
          <cell r="G111">
            <v>0</v>
          </cell>
          <cell r="H111">
            <v>119.8</v>
          </cell>
          <cell r="I111">
            <v>65.13</v>
          </cell>
          <cell r="J111">
            <v>0</v>
          </cell>
          <cell r="K111">
            <v>54.67</v>
          </cell>
          <cell r="L111">
            <v>45.63</v>
          </cell>
          <cell r="M111">
            <v>0.01</v>
          </cell>
        </row>
        <row r="112">
          <cell r="A112" t="str">
            <v>ONDULINE</v>
          </cell>
          <cell r="B112">
            <v>1</v>
          </cell>
          <cell r="C112">
            <v>112.9</v>
          </cell>
          <cell r="D112">
            <v>112.9</v>
          </cell>
          <cell r="E112">
            <v>0</v>
          </cell>
          <cell r="F112">
            <v>0</v>
          </cell>
          <cell r="G112">
            <v>0</v>
          </cell>
          <cell r="H112">
            <v>112.9</v>
          </cell>
          <cell r="I112">
            <v>63.31</v>
          </cell>
          <cell r="J112">
            <v>0</v>
          </cell>
          <cell r="K112">
            <v>49.59</v>
          </cell>
          <cell r="L112">
            <v>43.92</v>
          </cell>
          <cell r="M112">
            <v>0.01</v>
          </cell>
        </row>
        <row r="113">
          <cell r="A113" t="str">
            <v>KAPAZI</v>
          </cell>
          <cell r="B113">
            <v>1</v>
          </cell>
          <cell r="C113">
            <v>96.8</v>
          </cell>
          <cell r="D113">
            <v>48.4</v>
          </cell>
          <cell r="E113">
            <v>0</v>
          </cell>
          <cell r="F113">
            <v>0</v>
          </cell>
          <cell r="G113">
            <v>0</v>
          </cell>
          <cell r="H113">
            <v>96.8</v>
          </cell>
          <cell r="I113">
            <v>62.17</v>
          </cell>
          <cell r="J113">
            <v>0</v>
          </cell>
          <cell r="K113">
            <v>34.630000000000003</v>
          </cell>
          <cell r="L113">
            <v>35.770000000000003</v>
          </cell>
          <cell r="M113">
            <v>0.01</v>
          </cell>
        </row>
        <row r="114">
          <cell r="A114" t="str">
            <v>PADOVA</v>
          </cell>
          <cell r="B114">
            <v>5</v>
          </cell>
          <cell r="C114">
            <v>96.73</v>
          </cell>
          <cell r="D114">
            <v>13.82</v>
          </cell>
          <cell r="E114">
            <v>0</v>
          </cell>
          <cell r="F114">
            <v>0</v>
          </cell>
          <cell r="G114">
            <v>0</v>
          </cell>
          <cell r="H114">
            <v>96.73</v>
          </cell>
          <cell r="I114">
            <v>57.38</v>
          </cell>
          <cell r="J114">
            <v>0</v>
          </cell>
          <cell r="K114">
            <v>39.35</v>
          </cell>
          <cell r="L114">
            <v>40.68</v>
          </cell>
          <cell r="M114">
            <v>0.01</v>
          </cell>
        </row>
        <row r="115">
          <cell r="A115" t="str">
            <v>LGMAIS</v>
          </cell>
          <cell r="B115">
            <v>1</v>
          </cell>
          <cell r="C115">
            <v>90.8</v>
          </cell>
          <cell r="D115">
            <v>45.4</v>
          </cell>
          <cell r="E115">
            <v>0</v>
          </cell>
          <cell r="F115">
            <v>0</v>
          </cell>
          <cell r="G115">
            <v>0</v>
          </cell>
          <cell r="H115">
            <v>90.8</v>
          </cell>
          <cell r="I115">
            <v>54.92</v>
          </cell>
          <cell r="J115">
            <v>0</v>
          </cell>
          <cell r="K115">
            <v>35.880000000000003</v>
          </cell>
          <cell r="L115">
            <v>39.520000000000003</v>
          </cell>
          <cell r="M115">
            <v>0.01</v>
          </cell>
        </row>
        <row r="116">
          <cell r="A116" t="str">
            <v>FRANKLIN</v>
          </cell>
          <cell r="B116">
            <v>1</v>
          </cell>
          <cell r="C116">
            <v>72.900000000000006</v>
          </cell>
          <cell r="D116">
            <v>72.900000000000006</v>
          </cell>
          <cell r="E116">
            <v>0</v>
          </cell>
          <cell r="F116">
            <v>0</v>
          </cell>
          <cell r="G116">
            <v>0</v>
          </cell>
          <cell r="H116">
            <v>72.900000000000006</v>
          </cell>
          <cell r="I116">
            <v>36.36</v>
          </cell>
          <cell r="J116">
            <v>0</v>
          </cell>
          <cell r="K116">
            <v>36.54</v>
          </cell>
          <cell r="L116">
            <v>50.12</v>
          </cell>
          <cell r="M116">
            <v>0.01</v>
          </cell>
        </row>
        <row r="117">
          <cell r="A117" t="str">
            <v>INCA</v>
          </cell>
          <cell r="B117">
            <v>5</v>
          </cell>
          <cell r="C117">
            <v>70.5</v>
          </cell>
          <cell r="D117">
            <v>2.61</v>
          </cell>
          <cell r="E117">
            <v>0</v>
          </cell>
          <cell r="F117">
            <v>0</v>
          </cell>
          <cell r="G117">
            <v>0</v>
          </cell>
          <cell r="H117">
            <v>70.5</v>
          </cell>
          <cell r="I117">
            <v>36.28</v>
          </cell>
          <cell r="J117">
            <v>0</v>
          </cell>
          <cell r="K117">
            <v>34.22</v>
          </cell>
          <cell r="L117">
            <v>48.54</v>
          </cell>
          <cell r="M117">
            <v>0.01</v>
          </cell>
        </row>
        <row r="118">
          <cell r="A118" t="str">
            <v>EMPLAC</v>
          </cell>
          <cell r="B118">
            <v>3</v>
          </cell>
          <cell r="C118">
            <v>68.349999999999994</v>
          </cell>
          <cell r="D118">
            <v>8.5399999999999991</v>
          </cell>
          <cell r="E118">
            <v>0</v>
          </cell>
          <cell r="F118">
            <v>0</v>
          </cell>
          <cell r="G118">
            <v>0</v>
          </cell>
          <cell r="H118">
            <v>68.349999999999994</v>
          </cell>
          <cell r="I118">
            <v>31.71</v>
          </cell>
          <cell r="J118">
            <v>0</v>
          </cell>
          <cell r="K118">
            <v>36.64</v>
          </cell>
          <cell r="L118">
            <v>53.61</v>
          </cell>
          <cell r="M118">
            <v>0.01</v>
          </cell>
        </row>
        <row r="119">
          <cell r="A119" t="str">
            <v>SIGMA</v>
          </cell>
          <cell r="B119">
            <v>1</v>
          </cell>
          <cell r="C119">
            <v>62.49</v>
          </cell>
          <cell r="D119">
            <v>62.49</v>
          </cell>
          <cell r="E119">
            <v>0</v>
          </cell>
          <cell r="F119">
            <v>0</v>
          </cell>
          <cell r="G119">
            <v>0</v>
          </cell>
          <cell r="H119">
            <v>62.49</v>
          </cell>
          <cell r="I119">
            <v>37.909999999999997</v>
          </cell>
          <cell r="J119">
            <v>0</v>
          </cell>
          <cell r="K119">
            <v>24.58</v>
          </cell>
          <cell r="L119">
            <v>39.33</v>
          </cell>
          <cell r="M119">
            <v>0</v>
          </cell>
        </row>
        <row r="120">
          <cell r="A120" t="str">
            <v>INJEPLAST</v>
          </cell>
          <cell r="B120">
            <v>1</v>
          </cell>
          <cell r="C120">
            <v>6</v>
          </cell>
          <cell r="D120">
            <v>0.4</v>
          </cell>
          <cell r="E120">
            <v>0</v>
          </cell>
          <cell r="F120">
            <v>0</v>
          </cell>
          <cell r="G120">
            <v>0</v>
          </cell>
          <cell r="H120">
            <v>6</v>
          </cell>
          <cell r="I120">
            <v>2.7</v>
          </cell>
          <cell r="J120">
            <v>0</v>
          </cell>
          <cell r="K120">
            <v>3.3</v>
          </cell>
          <cell r="L120">
            <v>55</v>
          </cell>
          <cell r="M120">
            <v>0</v>
          </cell>
        </row>
        <row r="121">
          <cell r="A121" t="str">
            <v>outros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MAIO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234</v>
          </cell>
          <cell r="C2">
            <v>215826.85449999999</v>
          </cell>
          <cell r="D2">
            <v>26.63</v>
          </cell>
          <cell r="E2">
            <v>0</v>
          </cell>
          <cell r="F2">
            <v>0</v>
          </cell>
          <cell r="G2">
            <v>4112.7151000000003</v>
          </cell>
          <cell r="H2">
            <v>211714.13939999999</v>
          </cell>
          <cell r="I2">
            <v>133951.82870000001</v>
          </cell>
          <cell r="J2">
            <v>2382.6379999999999</v>
          </cell>
          <cell r="K2">
            <v>80144.948699999994</v>
          </cell>
          <cell r="L2">
            <v>37.549999999999997</v>
          </cell>
          <cell r="M2">
            <v>15.64</v>
          </cell>
        </row>
        <row r="3">
          <cell r="A3" t="str">
            <v>INCENOR</v>
          </cell>
          <cell r="B3">
            <v>152</v>
          </cell>
          <cell r="C3">
            <v>173056.10459999999</v>
          </cell>
          <cell r="D3">
            <v>34.04</v>
          </cell>
          <cell r="E3">
            <v>0</v>
          </cell>
          <cell r="F3">
            <v>0</v>
          </cell>
          <cell r="G3">
            <v>5496.1926000000003</v>
          </cell>
          <cell r="H3">
            <v>167559.91200000001</v>
          </cell>
          <cell r="I3">
            <v>111404.8711</v>
          </cell>
          <cell r="J3">
            <v>3635.7822999999999</v>
          </cell>
          <cell r="K3">
            <v>59790.823199999999</v>
          </cell>
          <cell r="L3">
            <v>35.29</v>
          </cell>
          <cell r="M3">
            <v>12.54</v>
          </cell>
        </row>
        <row r="4">
          <cell r="A4" t="str">
            <v>IQUINE</v>
          </cell>
          <cell r="B4">
            <v>73</v>
          </cell>
          <cell r="C4">
            <v>85780.336500000005</v>
          </cell>
          <cell r="D4">
            <v>13.38</v>
          </cell>
          <cell r="E4">
            <v>0</v>
          </cell>
          <cell r="F4">
            <v>0</v>
          </cell>
          <cell r="G4">
            <v>423.13099999999997</v>
          </cell>
          <cell r="H4">
            <v>85357.205499999996</v>
          </cell>
          <cell r="I4">
            <v>51386.6397</v>
          </cell>
          <cell r="J4">
            <v>240.22880000000001</v>
          </cell>
          <cell r="K4">
            <v>34210.794600000001</v>
          </cell>
          <cell r="L4">
            <v>39.99</v>
          </cell>
          <cell r="M4">
            <v>6.22</v>
          </cell>
        </row>
        <row r="5">
          <cell r="A5" t="str">
            <v>DO MESTRE</v>
          </cell>
          <cell r="B5">
            <v>238</v>
          </cell>
          <cell r="C5">
            <v>84731.32</v>
          </cell>
          <cell r="D5">
            <v>21.11</v>
          </cell>
          <cell r="E5">
            <v>0</v>
          </cell>
          <cell r="F5">
            <v>0</v>
          </cell>
          <cell r="G5">
            <v>1134.3499999999999</v>
          </cell>
          <cell r="H5">
            <v>83596.97</v>
          </cell>
          <cell r="I5">
            <v>52495.7</v>
          </cell>
          <cell r="J5">
            <v>709.53</v>
          </cell>
          <cell r="K5">
            <v>31810.799999999999</v>
          </cell>
          <cell r="L5">
            <v>37.86</v>
          </cell>
          <cell r="M5">
            <v>6.14</v>
          </cell>
        </row>
        <row r="6">
          <cell r="A6" t="str">
            <v>WEBER QUARTZOLIT</v>
          </cell>
          <cell r="B6">
            <v>153</v>
          </cell>
          <cell r="C6">
            <v>63227.17</v>
          </cell>
          <cell r="D6">
            <v>30.95</v>
          </cell>
          <cell r="E6">
            <v>0</v>
          </cell>
          <cell r="F6">
            <v>0</v>
          </cell>
          <cell r="G6">
            <v>730.74</v>
          </cell>
          <cell r="H6">
            <v>62496.43</v>
          </cell>
          <cell r="I6">
            <v>40995.760000000002</v>
          </cell>
          <cell r="J6">
            <v>479.75</v>
          </cell>
          <cell r="K6">
            <v>21980.42</v>
          </cell>
          <cell r="L6">
            <v>35.03</v>
          </cell>
          <cell r="M6">
            <v>4.58</v>
          </cell>
        </row>
        <row r="7">
          <cell r="A7" t="str">
            <v>TECNOGRES</v>
          </cell>
          <cell r="B7">
            <v>21</v>
          </cell>
          <cell r="C7">
            <v>58183.111900000004</v>
          </cell>
          <cell r="D7">
            <v>61.36</v>
          </cell>
          <cell r="E7">
            <v>0</v>
          </cell>
          <cell r="F7">
            <v>0</v>
          </cell>
          <cell r="G7">
            <v>787.1232</v>
          </cell>
          <cell r="H7">
            <v>57395.988700000002</v>
          </cell>
          <cell r="I7">
            <v>37638.967499999999</v>
          </cell>
          <cell r="J7">
            <v>507.58080000000001</v>
          </cell>
          <cell r="K7">
            <v>20264.601999999999</v>
          </cell>
          <cell r="L7">
            <v>35.14</v>
          </cell>
          <cell r="M7">
            <v>4.22</v>
          </cell>
        </row>
        <row r="8">
          <cell r="A8" t="str">
            <v>POINTER</v>
          </cell>
          <cell r="B8">
            <v>59</v>
          </cell>
          <cell r="C8">
            <v>55838.168899999997</v>
          </cell>
          <cell r="D8">
            <v>36.47</v>
          </cell>
          <cell r="E8">
            <v>0</v>
          </cell>
          <cell r="F8">
            <v>0</v>
          </cell>
          <cell r="G8">
            <v>952.38959999999997</v>
          </cell>
          <cell r="H8">
            <v>54885.779300000002</v>
          </cell>
          <cell r="I8">
            <v>33162.263299999999</v>
          </cell>
          <cell r="J8">
            <v>565.00260000000003</v>
          </cell>
          <cell r="K8">
            <v>22288.518599999999</v>
          </cell>
          <cell r="L8">
            <v>40.32</v>
          </cell>
          <cell r="M8">
            <v>4.05</v>
          </cell>
        </row>
        <row r="9">
          <cell r="A9" t="str">
            <v>MEGAÓ</v>
          </cell>
          <cell r="B9">
            <v>61</v>
          </cell>
          <cell r="C9">
            <v>49376.87</v>
          </cell>
          <cell r="D9">
            <v>56.56</v>
          </cell>
          <cell r="E9">
            <v>0</v>
          </cell>
          <cell r="F9">
            <v>0</v>
          </cell>
          <cell r="G9">
            <v>336.93</v>
          </cell>
          <cell r="H9">
            <v>49039.94</v>
          </cell>
          <cell r="I9">
            <v>30203.040000000001</v>
          </cell>
          <cell r="J9">
            <v>198.49</v>
          </cell>
          <cell r="K9">
            <v>19035.39</v>
          </cell>
          <cell r="L9">
            <v>38.71</v>
          </cell>
          <cell r="M9">
            <v>3.58</v>
          </cell>
        </row>
        <row r="10">
          <cell r="A10" t="str">
            <v>QUALITY</v>
          </cell>
          <cell r="B10">
            <v>60</v>
          </cell>
          <cell r="C10">
            <v>48891.32</v>
          </cell>
          <cell r="D10">
            <v>230.62</v>
          </cell>
          <cell r="E10">
            <v>0</v>
          </cell>
          <cell r="F10">
            <v>0</v>
          </cell>
          <cell r="G10">
            <v>3207.91</v>
          </cell>
          <cell r="H10">
            <v>45683.41</v>
          </cell>
          <cell r="I10">
            <v>31255.74</v>
          </cell>
          <cell r="J10">
            <v>2037.26</v>
          </cell>
          <cell r="K10">
            <v>16464.93</v>
          </cell>
          <cell r="L10">
            <v>35.14</v>
          </cell>
          <cell r="M10">
            <v>3.54</v>
          </cell>
        </row>
        <row r="11">
          <cell r="A11" t="str">
            <v>ROCA</v>
          </cell>
          <cell r="B11">
            <v>67</v>
          </cell>
          <cell r="C11">
            <v>47852.61</v>
          </cell>
          <cell r="D11">
            <v>190.65</v>
          </cell>
          <cell r="E11">
            <v>0</v>
          </cell>
          <cell r="F11">
            <v>0</v>
          </cell>
          <cell r="G11">
            <v>585.09</v>
          </cell>
          <cell r="H11">
            <v>47267.519999999997</v>
          </cell>
          <cell r="I11">
            <v>31855.98</v>
          </cell>
          <cell r="J11">
            <v>356.88</v>
          </cell>
          <cell r="K11">
            <v>15768.42</v>
          </cell>
          <cell r="L11">
            <v>33.200000000000003</v>
          </cell>
          <cell r="M11">
            <v>3.47</v>
          </cell>
        </row>
        <row r="12">
          <cell r="A12" t="str">
            <v>ETERNIT</v>
          </cell>
          <cell r="B12">
            <v>32</v>
          </cell>
          <cell r="C12">
            <v>30945.7</v>
          </cell>
          <cell r="D12">
            <v>59.06</v>
          </cell>
          <cell r="E12">
            <v>0</v>
          </cell>
          <cell r="F12">
            <v>0</v>
          </cell>
          <cell r="G12">
            <v>3450</v>
          </cell>
          <cell r="H12">
            <v>27495.7</v>
          </cell>
          <cell r="I12">
            <v>24547.71</v>
          </cell>
          <cell r="J12">
            <v>2757.9</v>
          </cell>
          <cell r="K12">
            <v>5705.89</v>
          </cell>
          <cell r="L12">
            <v>20.239999999999998</v>
          </cell>
          <cell r="M12">
            <v>2.2400000000000002</v>
          </cell>
        </row>
        <row r="13">
          <cell r="A13" t="str">
            <v>FORTLEV</v>
          </cell>
          <cell r="B13">
            <v>32</v>
          </cell>
          <cell r="C13">
            <v>28689.51</v>
          </cell>
          <cell r="D13">
            <v>40.93</v>
          </cell>
          <cell r="E13">
            <v>0</v>
          </cell>
          <cell r="F13">
            <v>0</v>
          </cell>
          <cell r="G13">
            <v>738</v>
          </cell>
          <cell r="H13">
            <v>27951.51</v>
          </cell>
          <cell r="I13">
            <v>20438.189999999999</v>
          </cell>
          <cell r="J13">
            <v>563.88</v>
          </cell>
          <cell r="K13">
            <v>8077.2</v>
          </cell>
          <cell r="L13">
            <v>28.72</v>
          </cell>
          <cell r="M13">
            <v>2.08</v>
          </cell>
        </row>
        <row r="14">
          <cell r="A14" t="str">
            <v>BRASILIT</v>
          </cell>
          <cell r="B14">
            <v>26</v>
          </cell>
          <cell r="C14">
            <v>26930.18</v>
          </cell>
          <cell r="D14">
            <v>61.91</v>
          </cell>
          <cell r="E14">
            <v>0</v>
          </cell>
          <cell r="F14">
            <v>0</v>
          </cell>
          <cell r="G14">
            <v>1562.84</v>
          </cell>
          <cell r="H14">
            <v>25367.34</v>
          </cell>
          <cell r="I14">
            <v>22359.83</v>
          </cell>
          <cell r="J14">
            <v>1067.8499999999999</v>
          </cell>
          <cell r="K14">
            <v>4075.36</v>
          </cell>
          <cell r="L14">
            <v>15.76</v>
          </cell>
          <cell r="M14">
            <v>1.95</v>
          </cell>
        </row>
        <row r="15">
          <cell r="A15" t="str">
            <v>CERBRAS</v>
          </cell>
          <cell r="B15">
            <v>24</v>
          </cell>
          <cell r="C15">
            <v>25795.602999999999</v>
          </cell>
          <cell r="D15">
            <v>53</v>
          </cell>
          <cell r="E15">
            <v>0</v>
          </cell>
          <cell r="F15">
            <v>0</v>
          </cell>
          <cell r="G15">
            <v>0</v>
          </cell>
          <cell r="H15">
            <v>25795.602999999999</v>
          </cell>
          <cell r="I15">
            <v>16770.4234</v>
          </cell>
          <cell r="J15">
            <v>0</v>
          </cell>
          <cell r="K15">
            <v>9025.1795999999995</v>
          </cell>
          <cell r="L15">
            <v>34.99</v>
          </cell>
          <cell r="M15">
            <v>1.87</v>
          </cell>
        </row>
        <row r="16">
          <cell r="A16" t="str">
            <v>PAMESA</v>
          </cell>
          <cell r="B16">
            <v>23</v>
          </cell>
          <cell r="C16">
            <v>22166.8776</v>
          </cell>
          <cell r="D16">
            <v>31.13</v>
          </cell>
          <cell r="E16">
            <v>0</v>
          </cell>
          <cell r="F16">
            <v>0</v>
          </cell>
          <cell r="G16">
            <v>838.32</v>
          </cell>
          <cell r="H16">
            <v>21328.5576</v>
          </cell>
          <cell r="I16">
            <v>16224.7238</v>
          </cell>
          <cell r="J16">
            <v>438.14400000000001</v>
          </cell>
          <cell r="K16">
            <v>5541.9777999999997</v>
          </cell>
          <cell r="L16">
            <v>25.51</v>
          </cell>
          <cell r="M16">
            <v>1.61</v>
          </cell>
        </row>
        <row r="17">
          <cell r="A17" t="str">
            <v>COBRECOM</v>
          </cell>
          <cell r="B17">
            <v>13</v>
          </cell>
          <cell r="C17">
            <v>18344.54</v>
          </cell>
          <cell r="D17">
            <v>159.52000000000001</v>
          </cell>
          <cell r="E17">
            <v>0</v>
          </cell>
          <cell r="F17">
            <v>0</v>
          </cell>
          <cell r="G17">
            <v>199</v>
          </cell>
          <cell r="H17">
            <v>18145.54</v>
          </cell>
          <cell r="I17">
            <v>11996.16</v>
          </cell>
          <cell r="J17">
            <v>148.29</v>
          </cell>
          <cell r="K17">
            <v>6297.67</v>
          </cell>
          <cell r="L17">
            <v>34.61</v>
          </cell>
          <cell r="M17">
            <v>1.33</v>
          </cell>
        </row>
        <row r="18">
          <cell r="A18" t="str">
            <v>PORTO RICO</v>
          </cell>
          <cell r="B18">
            <v>34</v>
          </cell>
          <cell r="C18">
            <v>18127.38</v>
          </cell>
          <cell r="D18">
            <v>27.3</v>
          </cell>
          <cell r="E18">
            <v>0</v>
          </cell>
          <cell r="F18">
            <v>0</v>
          </cell>
          <cell r="G18">
            <v>111.6</v>
          </cell>
          <cell r="H18">
            <v>18015.78</v>
          </cell>
          <cell r="I18">
            <v>10964.4</v>
          </cell>
          <cell r="J18">
            <v>68.680000000000007</v>
          </cell>
          <cell r="K18">
            <v>7120.06</v>
          </cell>
          <cell r="L18">
            <v>39.43</v>
          </cell>
          <cell r="M18">
            <v>1.31</v>
          </cell>
        </row>
        <row r="19">
          <cell r="A19" t="str">
            <v>NITROLUX</v>
          </cell>
          <cell r="B19">
            <v>30</v>
          </cell>
          <cell r="C19">
            <v>17580.060000000001</v>
          </cell>
          <cell r="D19">
            <v>20.78</v>
          </cell>
          <cell r="E19">
            <v>0</v>
          </cell>
          <cell r="F19">
            <v>0</v>
          </cell>
          <cell r="G19">
            <v>223.8</v>
          </cell>
          <cell r="H19">
            <v>17356.259999999998</v>
          </cell>
          <cell r="I19">
            <v>10631.58</v>
          </cell>
          <cell r="J19">
            <v>130.61000000000001</v>
          </cell>
          <cell r="K19">
            <v>6855.29</v>
          </cell>
          <cell r="L19">
            <v>39.29</v>
          </cell>
          <cell r="M19">
            <v>1.27</v>
          </cell>
        </row>
        <row r="20">
          <cell r="A20" t="str">
            <v>REALLE</v>
          </cell>
          <cell r="B20">
            <v>18</v>
          </cell>
          <cell r="C20">
            <v>16640.1594</v>
          </cell>
          <cell r="D20">
            <v>33.58</v>
          </cell>
          <cell r="E20">
            <v>0</v>
          </cell>
          <cell r="F20">
            <v>0</v>
          </cell>
          <cell r="G20">
            <v>0</v>
          </cell>
          <cell r="H20">
            <v>16640.1594</v>
          </cell>
          <cell r="I20">
            <v>10484.7156</v>
          </cell>
          <cell r="J20">
            <v>0</v>
          </cell>
          <cell r="K20">
            <v>6155.4438</v>
          </cell>
          <cell r="L20">
            <v>36.99</v>
          </cell>
          <cell r="M20">
            <v>1.21</v>
          </cell>
        </row>
        <row r="21">
          <cell r="A21" t="str">
            <v>KRONA</v>
          </cell>
          <cell r="B21">
            <v>45</v>
          </cell>
          <cell r="C21">
            <v>15550.93</v>
          </cell>
          <cell r="D21">
            <v>5.8</v>
          </cell>
          <cell r="E21">
            <v>0</v>
          </cell>
          <cell r="F21">
            <v>0</v>
          </cell>
          <cell r="G21">
            <v>395.7</v>
          </cell>
          <cell r="H21">
            <v>15155.23</v>
          </cell>
          <cell r="I21">
            <v>9147.17</v>
          </cell>
          <cell r="J21">
            <v>221.92</v>
          </cell>
          <cell r="K21">
            <v>6229.98</v>
          </cell>
          <cell r="L21">
            <v>40.64</v>
          </cell>
          <cell r="M21">
            <v>1.1299999999999999</v>
          </cell>
        </row>
        <row r="22">
          <cell r="A22" t="str">
            <v>ATLAS</v>
          </cell>
          <cell r="B22">
            <v>47</v>
          </cell>
          <cell r="C22">
            <v>14931.81</v>
          </cell>
          <cell r="D22">
            <v>14.3</v>
          </cell>
          <cell r="E22">
            <v>0</v>
          </cell>
          <cell r="F22">
            <v>0</v>
          </cell>
          <cell r="G22">
            <v>141.59</v>
          </cell>
          <cell r="H22">
            <v>14790.22</v>
          </cell>
          <cell r="I22">
            <v>8249.1</v>
          </cell>
          <cell r="J22">
            <v>76.599999999999994</v>
          </cell>
          <cell r="K22">
            <v>6617.72</v>
          </cell>
          <cell r="L22">
            <v>44.55</v>
          </cell>
          <cell r="M22">
            <v>1.08</v>
          </cell>
        </row>
        <row r="23">
          <cell r="A23" t="str">
            <v>GHEL'PLUS</v>
          </cell>
          <cell r="B23">
            <v>18</v>
          </cell>
          <cell r="C23">
            <v>14254.41</v>
          </cell>
          <cell r="D23">
            <v>128.41999999999999</v>
          </cell>
          <cell r="E23">
            <v>0</v>
          </cell>
          <cell r="F23">
            <v>0</v>
          </cell>
          <cell r="G23">
            <v>0</v>
          </cell>
          <cell r="H23">
            <v>14254.41</v>
          </cell>
          <cell r="I23">
            <v>8953.17</v>
          </cell>
          <cell r="J23">
            <v>0</v>
          </cell>
          <cell r="K23">
            <v>5301.24</v>
          </cell>
          <cell r="L23">
            <v>37.19</v>
          </cell>
          <cell r="M23">
            <v>1.03</v>
          </cell>
        </row>
        <row r="24">
          <cell r="A24" t="str">
            <v>AVANT</v>
          </cell>
          <cell r="B24">
            <v>24</v>
          </cell>
          <cell r="C24">
            <v>12630.37</v>
          </cell>
          <cell r="D24">
            <v>10.210000000000001</v>
          </cell>
          <cell r="E24">
            <v>0</v>
          </cell>
          <cell r="F24">
            <v>0</v>
          </cell>
          <cell r="G24">
            <v>266.8</v>
          </cell>
          <cell r="H24">
            <v>12363.57</v>
          </cell>
          <cell r="I24">
            <v>6905.12</v>
          </cell>
          <cell r="J24">
            <v>147.13999999999999</v>
          </cell>
          <cell r="K24">
            <v>5605.59</v>
          </cell>
          <cell r="L24">
            <v>44.9</v>
          </cell>
          <cell r="M24">
            <v>0.92</v>
          </cell>
        </row>
        <row r="25">
          <cell r="A25" t="str">
            <v>LORENZETTI</v>
          </cell>
          <cell r="B25">
            <v>18</v>
          </cell>
          <cell r="C25">
            <v>12394.31</v>
          </cell>
          <cell r="D25">
            <v>73.34</v>
          </cell>
          <cell r="E25">
            <v>0</v>
          </cell>
          <cell r="F25">
            <v>0</v>
          </cell>
          <cell r="G25">
            <v>282.8</v>
          </cell>
          <cell r="H25">
            <v>12111.51</v>
          </cell>
          <cell r="I25">
            <v>7772.02</v>
          </cell>
          <cell r="J25">
            <v>154.54</v>
          </cell>
          <cell r="K25">
            <v>4494.03</v>
          </cell>
          <cell r="L25">
            <v>36.72</v>
          </cell>
          <cell r="M25">
            <v>0.9</v>
          </cell>
        </row>
        <row r="26">
          <cell r="A26" t="str">
            <v>GRANPLAST</v>
          </cell>
          <cell r="B26">
            <v>36</v>
          </cell>
          <cell r="C26">
            <v>11969.32</v>
          </cell>
          <cell r="D26">
            <v>14.35</v>
          </cell>
          <cell r="E26">
            <v>0</v>
          </cell>
          <cell r="F26">
            <v>0</v>
          </cell>
          <cell r="G26">
            <v>451.2</v>
          </cell>
          <cell r="H26">
            <v>11518.12</v>
          </cell>
          <cell r="I26">
            <v>6234.49</v>
          </cell>
          <cell r="J26">
            <v>249.63</v>
          </cell>
          <cell r="K26">
            <v>5533.26</v>
          </cell>
          <cell r="L26">
            <v>47.21</v>
          </cell>
          <cell r="M26">
            <v>0.87</v>
          </cell>
        </row>
        <row r="27">
          <cell r="A27" t="str">
            <v>METAIS LEAO</v>
          </cell>
          <cell r="B27">
            <v>25</v>
          </cell>
          <cell r="C27">
            <v>9789.8799999999992</v>
          </cell>
          <cell r="D27">
            <v>70.430000000000007</v>
          </cell>
          <cell r="E27">
            <v>0</v>
          </cell>
          <cell r="F27">
            <v>0</v>
          </cell>
          <cell r="G27">
            <v>329.7</v>
          </cell>
          <cell r="H27">
            <v>9460.18</v>
          </cell>
          <cell r="I27">
            <v>5714.68</v>
          </cell>
          <cell r="J27">
            <v>189.56</v>
          </cell>
          <cell r="K27">
            <v>3935.06</v>
          </cell>
          <cell r="L27">
            <v>40.99</v>
          </cell>
          <cell r="M27">
            <v>0.71</v>
          </cell>
        </row>
        <row r="28">
          <cell r="A28" t="str">
            <v>INTECH MACHINE</v>
          </cell>
          <cell r="B28">
            <v>10</v>
          </cell>
          <cell r="C28">
            <v>8554.9599999999991</v>
          </cell>
          <cell r="D28">
            <v>194.43</v>
          </cell>
          <cell r="E28">
            <v>0</v>
          </cell>
          <cell r="F28">
            <v>0</v>
          </cell>
          <cell r="G28">
            <v>661.8</v>
          </cell>
          <cell r="H28">
            <v>7893.16</v>
          </cell>
          <cell r="I28">
            <v>5372.87</v>
          </cell>
          <cell r="J28">
            <v>401.05</v>
          </cell>
          <cell r="K28">
            <v>2921.34</v>
          </cell>
          <cell r="L28">
            <v>35.83</v>
          </cell>
          <cell r="M28">
            <v>0.62</v>
          </cell>
        </row>
        <row r="29">
          <cell r="A29" t="str">
            <v>MEC-TRONIC</v>
          </cell>
          <cell r="B29">
            <v>21</v>
          </cell>
          <cell r="C29">
            <v>8492.61</v>
          </cell>
          <cell r="D29">
            <v>10.52</v>
          </cell>
          <cell r="E29">
            <v>0</v>
          </cell>
          <cell r="F29">
            <v>0</v>
          </cell>
          <cell r="G29">
            <v>75.849999999999994</v>
          </cell>
          <cell r="H29">
            <v>8416.76</v>
          </cell>
          <cell r="I29">
            <v>4145.17</v>
          </cell>
          <cell r="J29">
            <v>46.68</v>
          </cell>
          <cell r="K29">
            <v>4318.2700000000004</v>
          </cell>
          <cell r="L29">
            <v>51.13</v>
          </cell>
          <cell r="M29">
            <v>0.62</v>
          </cell>
        </row>
        <row r="30">
          <cell r="A30" t="str">
            <v>KDK PORTAS</v>
          </cell>
          <cell r="B30">
            <v>23</v>
          </cell>
          <cell r="C30">
            <v>8071.65</v>
          </cell>
          <cell r="D30">
            <v>164.73</v>
          </cell>
          <cell r="E30">
            <v>0</v>
          </cell>
          <cell r="F30">
            <v>0</v>
          </cell>
          <cell r="G30">
            <v>794.5</v>
          </cell>
          <cell r="H30">
            <v>7277.15</v>
          </cell>
          <cell r="I30">
            <v>4758.68</v>
          </cell>
          <cell r="J30">
            <v>474.96</v>
          </cell>
          <cell r="K30">
            <v>2993.43</v>
          </cell>
          <cell r="L30">
            <v>39.4</v>
          </cell>
          <cell r="M30">
            <v>0.59</v>
          </cell>
        </row>
        <row r="31">
          <cell r="A31" t="str">
            <v>BLACK DECKER</v>
          </cell>
          <cell r="B31">
            <v>14</v>
          </cell>
          <cell r="C31">
            <v>7475.03</v>
          </cell>
          <cell r="D31">
            <v>49.18</v>
          </cell>
          <cell r="E31">
            <v>0</v>
          </cell>
          <cell r="F31">
            <v>0</v>
          </cell>
          <cell r="G31">
            <v>302.69</v>
          </cell>
          <cell r="H31">
            <v>7172.34</v>
          </cell>
          <cell r="I31">
            <v>4458.62</v>
          </cell>
          <cell r="J31">
            <v>166.68</v>
          </cell>
          <cell r="K31">
            <v>2880.4</v>
          </cell>
          <cell r="L31">
            <v>39.409999999999997</v>
          </cell>
          <cell r="M31">
            <v>0.54</v>
          </cell>
        </row>
        <row r="32">
          <cell r="A32" t="str">
            <v>VIQUA</v>
          </cell>
          <cell r="B32">
            <v>21</v>
          </cell>
          <cell r="C32">
            <v>7270.56</v>
          </cell>
          <cell r="D32">
            <v>39.090000000000003</v>
          </cell>
          <cell r="E32">
            <v>0</v>
          </cell>
          <cell r="F32">
            <v>0</v>
          </cell>
          <cell r="G32">
            <v>370.9</v>
          </cell>
          <cell r="H32">
            <v>6899.66</v>
          </cell>
          <cell r="I32">
            <v>4440.0200000000004</v>
          </cell>
          <cell r="J32">
            <v>226.68</v>
          </cell>
          <cell r="K32">
            <v>2686.32</v>
          </cell>
          <cell r="L32">
            <v>38.14</v>
          </cell>
          <cell r="M32">
            <v>0.53</v>
          </cell>
        </row>
        <row r="33">
          <cell r="A33" t="str">
            <v>SILVANA</v>
          </cell>
          <cell r="B33">
            <v>20</v>
          </cell>
          <cell r="C33">
            <v>7188.34</v>
          </cell>
          <cell r="D33">
            <v>23.72</v>
          </cell>
          <cell r="E33">
            <v>0</v>
          </cell>
          <cell r="F33">
            <v>0</v>
          </cell>
          <cell r="G33">
            <v>192.88</v>
          </cell>
          <cell r="H33">
            <v>6995.46</v>
          </cell>
          <cell r="I33">
            <v>4088.18</v>
          </cell>
          <cell r="J33">
            <v>110.84</v>
          </cell>
          <cell r="K33">
            <v>3018.12</v>
          </cell>
          <cell r="L33">
            <v>42.64</v>
          </cell>
          <cell r="M33">
            <v>0.52</v>
          </cell>
        </row>
        <row r="34">
          <cell r="A34" t="str">
            <v>VEDACIT</v>
          </cell>
          <cell r="B34">
            <v>16</v>
          </cell>
          <cell r="C34">
            <v>5963.19</v>
          </cell>
          <cell r="D34">
            <v>58.46</v>
          </cell>
          <cell r="E34">
            <v>0</v>
          </cell>
          <cell r="F34">
            <v>0</v>
          </cell>
          <cell r="G34">
            <v>0</v>
          </cell>
          <cell r="H34">
            <v>5963.19</v>
          </cell>
          <cell r="I34">
            <v>3208.9</v>
          </cell>
          <cell r="J34">
            <v>0</v>
          </cell>
          <cell r="K34">
            <v>2754.29</v>
          </cell>
          <cell r="L34">
            <v>46.19</v>
          </cell>
          <cell r="M34">
            <v>0.43</v>
          </cell>
        </row>
        <row r="35">
          <cell r="A35" t="str">
            <v>ANAUGER</v>
          </cell>
          <cell r="B35">
            <v>5</v>
          </cell>
          <cell r="C35">
            <v>5641.53</v>
          </cell>
          <cell r="D35">
            <v>225.66</v>
          </cell>
          <cell r="E35">
            <v>0</v>
          </cell>
          <cell r="F35">
            <v>0</v>
          </cell>
          <cell r="G35">
            <v>0</v>
          </cell>
          <cell r="H35">
            <v>5641.53</v>
          </cell>
          <cell r="I35">
            <v>3842.29</v>
          </cell>
          <cell r="J35">
            <v>0</v>
          </cell>
          <cell r="K35">
            <v>1799.24</v>
          </cell>
          <cell r="L35">
            <v>31.89</v>
          </cell>
          <cell r="M35">
            <v>0.41</v>
          </cell>
        </row>
        <row r="36">
          <cell r="A36" t="str">
            <v>ASTRA</v>
          </cell>
          <cell r="B36">
            <v>26</v>
          </cell>
          <cell r="C36">
            <v>5480.47</v>
          </cell>
          <cell r="D36">
            <v>22.84</v>
          </cell>
          <cell r="E36">
            <v>0</v>
          </cell>
          <cell r="F36">
            <v>0</v>
          </cell>
          <cell r="G36">
            <v>215.61</v>
          </cell>
          <cell r="H36">
            <v>5264.86</v>
          </cell>
          <cell r="I36">
            <v>3173.08</v>
          </cell>
          <cell r="J36">
            <v>132.38</v>
          </cell>
          <cell r="K36">
            <v>2224.16</v>
          </cell>
          <cell r="L36">
            <v>41.59</v>
          </cell>
          <cell r="M36">
            <v>0.4</v>
          </cell>
        </row>
        <row r="37">
          <cell r="A37" t="str">
            <v>BELLA PIA</v>
          </cell>
          <cell r="B37">
            <v>14</v>
          </cell>
          <cell r="C37">
            <v>5337.16</v>
          </cell>
          <cell r="D37">
            <v>177.91</v>
          </cell>
          <cell r="E37">
            <v>0</v>
          </cell>
          <cell r="F37">
            <v>0</v>
          </cell>
          <cell r="G37">
            <v>502.5</v>
          </cell>
          <cell r="H37">
            <v>4834.66</v>
          </cell>
          <cell r="I37">
            <v>3375.99</v>
          </cell>
          <cell r="J37">
            <v>333.81</v>
          </cell>
          <cell r="K37">
            <v>1792.48</v>
          </cell>
          <cell r="L37">
            <v>35.83</v>
          </cell>
          <cell r="M37">
            <v>0.39</v>
          </cell>
        </row>
        <row r="38">
          <cell r="A38" t="str">
            <v>BLUKIT</v>
          </cell>
          <cell r="B38">
            <v>31</v>
          </cell>
          <cell r="C38">
            <v>5243.93</v>
          </cell>
          <cell r="D38">
            <v>19.71</v>
          </cell>
          <cell r="E38">
            <v>0</v>
          </cell>
          <cell r="F38">
            <v>0</v>
          </cell>
          <cell r="G38">
            <v>284.7</v>
          </cell>
          <cell r="H38">
            <v>4959.2299999999996</v>
          </cell>
          <cell r="I38">
            <v>3174.96</v>
          </cell>
          <cell r="J38">
            <v>172.05</v>
          </cell>
          <cell r="K38">
            <v>1956.32</v>
          </cell>
          <cell r="L38">
            <v>38.57</v>
          </cell>
          <cell r="M38">
            <v>0.38</v>
          </cell>
        </row>
        <row r="39">
          <cell r="A39" t="str">
            <v>LUCONI</v>
          </cell>
          <cell r="B39">
            <v>35</v>
          </cell>
          <cell r="C39">
            <v>4877.1400000000003</v>
          </cell>
          <cell r="D39">
            <v>10.53</v>
          </cell>
          <cell r="E39">
            <v>0</v>
          </cell>
          <cell r="F39">
            <v>0</v>
          </cell>
          <cell r="G39">
            <v>117.54</v>
          </cell>
          <cell r="H39">
            <v>4759.6000000000004</v>
          </cell>
          <cell r="I39">
            <v>2384.2600000000002</v>
          </cell>
          <cell r="J39">
            <v>71.790000000000006</v>
          </cell>
          <cell r="K39">
            <v>2447.13</v>
          </cell>
          <cell r="L39">
            <v>50.93</v>
          </cell>
          <cell r="M39">
            <v>0.35</v>
          </cell>
        </row>
        <row r="40">
          <cell r="A40" t="str">
            <v>PRECON</v>
          </cell>
          <cell r="B40">
            <v>5</v>
          </cell>
          <cell r="C40">
            <v>4467.34</v>
          </cell>
          <cell r="D40">
            <v>103.89</v>
          </cell>
          <cell r="E40">
            <v>0</v>
          </cell>
          <cell r="F40">
            <v>0</v>
          </cell>
          <cell r="G40">
            <v>0</v>
          </cell>
          <cell r="H40">
            <v>4467.34</v>
          </cell>
          <cell r="I40">
            <v>2855.94</v>
          </cell>
          <cell r="J40">
            <v>0</v>
          </cell>
          <cell r="K40">
            <v>1611.4</v>
          </cell>
          <cell r="L40">
            <v>36.07</v>
          </cell>
          <cell r="M40">
            <v>0.32</v>
          </cell>
        </row>
        <row r="41">
          <cell r="A41" t="str">
            <v>DOCOL METAIS</v>
          </cell>
          <cell r="B41">
            <v>13</v>
          </cell>
          <cell r="C41">
            <v>4124.5</v>
          </cell>
          <cell r="D41">
            <v>76.38</v>
          </cell>
          <cell r="E41">
            <v>0</v>
          </cell>
          <cell r="F41">
            <v>0</v>
          </cell>
          <cell r="G41">
            <v>58.9</v>
          </cell>
          <cell r="H41">
            <v>4065.6</v>
          </cell>
          <cell r="I41">
            <v>2353.33</v>
          </cell>
          <cell r="J41">
            <v>32.68</v>
          </cell>
          <cell r="K41">
            <v>1744.95</v>
          </cell>
          <cell r="L41">
            <v>42.64</v>
          </cell>
          <cell r="M41">
            <v>0.3</v>
          </cell>
        </row>
        <row r="42">
          <cell r="A42" t="str">
            <v>PADO</v>
          </cell>
          <cell r="B42">
            <v>8</v>
          </cell>
          <cell r="C42">
            <v>4118.8599999999997</v>
          </cell>
          <cell r="D42">
            <v>40.78</v>
          </cell>
          <cell r="E42">
            <v>0</v>
          </cell>
          <cell r="F42">
            <v>0</v>
          </cell>
          <cell r="G42">
            <v>105.3</v>
          </cell>
          <cell r="H42">
            <v>4013.56</v>
          </cell>
          <cell r="I42">
            <v>2412.73</v>
          </cell>
          <cell r="J42">
            <v>62.66</v>
          </cell>
          <cell r="K42">
            <v>1663.49</v>
          </cell>
          <cell r="L42">
            <v>41.01</v>
          </cell>
          <cell r="M42">
            <v>0.3</v>
          </cell>
        </row>
        <row r="43">
          <cell r="A43" t="str">
            <v>NORTON</v>
          </cell>
          <cell r="B43">
            <v>29</v>
          </cell>
          <cell r="C43">
            <v>3979.96</v>
          </cell>
          <cell r="D43">
            <v>2.86</v>
          </cell>
          <cell r="E43">
            <v>0</v>
          </cell>
          <cell r="F43">
            <v>0</v>
          </cell>
          <cell r="G43">
            <v>1.35</v>
          </cell>
          <cell r="H43">
            <v>3978.61</v>
          </cell>
          <cell r="I43">
            <v>1971.36</v>
          </cell>
          <cell r="J43">
            <v>0.72</v>
          </cell>
          <cell r="K43">
            <v>2007.97</v>
          </cell>
          <cell r="L43">
            <v>50.46</v>
          </cell>
          <cell r="M43">
            <v>0.28999999999999998</v>
          </cell>
        </row>
        <row r="44">
          <cell r="A44" t="str">
            <v>BRASFORMA</v>
          </cell>
          <cell r="B44">
            <v>5</v>
          </cell>
          <cell r="C44">
            <v>3804.25</v>
          </cell>
          <cell r="D44">
            <v>49.41</v>
          </cell>
          <cell r="E44">
            <v>0</v>
          </cell>
          <cell r="F44">
            <v>0</v>
          </cell>
          <cell r="G44">
            <v>31.9</v>
          </cell>
          <cell r="H44">
            <v>3772.35</v>
          </cell>
          <cell r="I44">
            <v>2162.34</v>
          </cell>
          <cell r="J44">
            <v>18.27</v>
          </cell>
          <cell r="K44">
            <v>1628.28</v>
          </cell>
          <cell r="L44">
            <v>43.01</v>
          </cell>
          <cell r="M44">
            <v>0.28000000000000003</v>
          </cell>
        </row>
        <row r="45">
          <cell r="A45" t="str">
            <v>HERC</v>
          </cell>
          <cell r="B45">
            <v>19</v>
          </cell>
          <cell r="C45">
            <v>3534.76</v>
          </cell>
          <cell r="D45">
            <v>20.309999999999999</v>
          </cell>
          <cell r="E45">
            <v>0</v>
          </cell>
          <cell r="F45">
            <v>0</v>
          </cell>
          <cell r="G45">
            <v>100.86</v>
          </cell>
          <cell r="H45">
            <v>3433.9</v>
          </cell>
          <cell r="I45">
            <v>1890.55</v>
          </cell>
          <cell r="J45">
            <v>54.39</v>
          </cell>
          <cell r="K45">
            <v>1597.74</v>
          </cell>
          <cell r="L45">
            <v>45.91</v>
          </cell>
          <cell r="M45">
            <v>0.26</v>
          </cell>
        </row>
        <row r="46">
          <cell r="A46" t="str">
            <v>LEDVANCE</v>
          </cell>
          <cell r="B46">
            <v>8</v>
          </cell>
          <cell r="C46">
            <v>3441.76</v>
          </cell>
          <cell r="D46">
            <v>7.17</v>
          </cell>
          <cell r="E46">
            <v>0</v>
          </cell>
          <cell r="F46">
            <v>0</v>
          </cell>
          <cell r="G46">
            <v>58.5</v>
          </cell>
          <cell r="H46">
            <v>3383.26</v>
          </cell>
          <cell r="I46">
            <v>2400.23</v>
          </cell>
          <cell r="J46">
            <v>34.090000000000003</v>
          </cell>
          <cell r="K46">
            <v>1017.12</v>
          </cell>
          <cell r="L46">
            <v>29.85</v>
          </cell>
          <cell r="M46">
            <v>0.25</v>
          </cell>
        </row>
        <row r="47">
          <cell r="A47" t="str">
            <v>PLASTMAR IND E COM</v>
          </cell>
          <cell r="B47">
            <v>5</v>
          </cell>
          <cell r="C47">
            <v>3393.88</v>
          </cell>
          <cell r="D47">
            <v>56.56</v>
          </cell>
          <cell r="E47">
            <v>0</v>
          </cell>
          <cell r="F47">
            <v>0</v>
          </cell>
          <cell r="G47">
            <v>209.9</v>
          </cell>
          <cell r="H47">
            <v>3183.98</v>
          </cell>
          <cell r="I47">
            <v>1935.3</v>
          </cell>
          <cell r="J47">
            <v>125.17</v>
          </cell>
          <cell r="K47">
            <v>1373.85</v>
          </cell>
          <cell r="L47">
            <v>42.03</v>
          </cell>
          <cell r="M47">
            <v>0.25</v>
          </cell>
        </row>
        <row r="48">
          <cell r="A48" t="str">
            <v>TAF</v>
          </cell>
          <cell r="B48">
            <v>13</v>
          </cell>
          <cell r="C48">
            <v>3331.82</v>
          </cell>
          <cell r="D48">
            <v>16.02</v>
          </cell>
          <cell r="E48">
            <v>0</v>
          </cell>
          <cell r="F48">
            <v>0</v>
          </cell>
          <cell r="G48">
            <v>394.62</v>
          </cell>
          <cell r="H48">
            <v>2937.2</v>
          </cell>
          <cell r="I48">
            <v>1921.54</v>
          </cell>
          <cell r="J48">
            <v>212.52</v>
          </cell>
          <cell r="K48">
            <v>1228.18</v>
          </cell>
          <cell r="L48">
            <v>39.369999999999997</v>
          </cell>
          <cell r="M48">
            <v>0.24</v>
          </cell>
        </row>
        <row r="49">
          <cell r="A49" t="str">
            <v>ADERE</v>
          </cell>
          <cell r="B49">
            <v>17</v>
          </cell>
          <cell r="C49">
            <v>3321.26</v>
          </cell>
          <cell r="D49">
            <v>10.029999999999999</v>
          </cell>
          <cell r="E49">
            <v>0</v>
          </cell>
          <cell r="F49">
            <v>0</v>
          </cell>
          <cell r="G49">
            <v>0</v>
          </cell>
          <cell r="H49">
            <v>3321.26</v>
          </cell>
          <cell r="I49">
            <v>1951.65</v>
          </cell>
          <cell r="J49">
            <v>0</v>
          </cell>
          <cell r="K49">
            <v>1369.61</v>
          </cell>
          <cell r="L49">
            <v>41.24</v>
          </cell>
          <cell r="M49">
            <v>0.24</v>
          </cell>
        </row>
        <row r="50">
          <cell r="A50" t="str">
            <v>PRATIMIX</v>
          </cell>
          <cell r="B50">
            <v>17</v>
          </cell>
          <cell r="C50">
            <v>3035.05</v>
          </cell>
          <cell r="D50">
            <v>10.5</v>
          </cell>
          <cell r="E50">
            <v>0</v>
          </cell>
          <cell r="F50">
            <v>0</v>
          </cell>
          <cell r="G50">
            <v>58.5</v>
          </cell>
          <cell r="H50">
            <v>2976.55</v>
          </cell>
          <cell r="I50">
            <v>1708.76</v>
          </cell>
          <cell r="J50">
            <v>31.7</v>
          </cell>
          <cell r="K50">
            <v>1299.49</v>
          </cell>
          <cell r="L50">
            <v>43.27</v>
          </cell>
          <cell r="M50">
            <v>0.22</v>
          </cell>
        </row>
        <row r="51">
          <cell r="A51" t="str">
            <v>TOP MIX</v>
          </cell>
          <cell r="B51">
            <v>3</v>
          </cell>
          <cell r="C51">
            <v>3034.9</v>
          </cell>
          <cell r="D51">
            <v>606.98</v>
          </cell>
          <cell r="E51">
            <v>0</v>
          </cell>
          <cell r="F51">
            <v>0</v>
          </cell>
          <cell r="G51">
            <v>0</v>
          </cell>
          <cell r="H51">
            <v>3034.9</v>
          </cell>
          <cell r="I51">
            <v>1344.87</v>
          </cell>
          <cell r="J51">
            <v>0</v>
          </cell>
          <cell r="K51">
            <v>1690.03</v>
          </cell>
          <cell r="L51">
            <v>55.69</v>
          </cell>
          <cell r="M51">
            <v>0.22</v>
          </cell>
        </row>
        <row r="52">
          <cell r="A52" t="str">
            <v>CENSI</v>
          </cell>
          <cell r="B52">
            <v>20</v>
          </cell>
          <cell r="C52">
            <v>2976.96</v>
          </cell>
          <cell r="D52">
            <v>24.01</v>
          </cell>
          <cell r="E52">
            <v>0</v>
          </cell>
          <cell r="F52">
            <v>0</v>
          </cell>
          <cell r="G52">
            <v>59.1</v>
          </cell>
          <cell r="H52">
            <v>2917.86</v>
          </cell>
          <cell r="I52">
            <v>1779.16</v>
          </cell>
          <cell r="J52">
            <v>37.479999999999997</v>
          </cell>
          <cell r="K52">
            <v>1176.18</v>
          </cell>
          <cell r="L52">
            <v>40.01</v>
          </cell>
          <cell r="M52">
            <v>0.22</v>
          </cell>
        </row>
        <row r="53">
          <cell r="A53" t="str">
            <v>ELIZABETH PORC.</v>
          </cell>
          <cell r="B53">
            <v>2</v>
          </cell>
          <cell r="C53">
            <v>2938.884</v>
          </cell>
          <cell r="D53">
            <v>51.96</v>
          </cell>
          <cell r="E53">
            <v>0</v>
          </cell>
          <cell r="F53">
            <v>0</v>
          </cell>
          <cell r="G53">
            <v>0</v>
          </cell>
          <cell r="H53">
            <v>2938.884</v>
          </cell>
          <cell r="I53">
            <v>1778.9377999999999</v>
          </cell>
          <cell r="J53">
            <v>0</v>
          </cell>
          <cell r="K53">
            <v>1159.9462000000001</v>
          </cell>
          <cell r="L53">
            <v>39.47</v>
          </cell>
          <cell r="M53">
            <v>0.21</v>
          </cell>
        </row>
        <row r="54">
          <cell r="A54" t="str">
            <v>MARLUVAS</v>
          </cell>
          <cell r="B54">
            <v>5</v>
          </cell>
          <cell r="C54">
            <v>2715.86</v>
          </cell>
          <cell r="D54">
            <v>71.47</v>
          </cell>
          <cell r="E54">
            <v>0</v>
          </cell>
          <cell r="F54">
            <v>0</v>
          </cell>
          <cell r="G54">
            <v>266.7</v>
          </cell>
          <cell r="H54">
            <v>2449.16</v>
          </cell>
          <cell r="I54">
            <v>1839.84</v>
          </cell>
          <cell r="J54">
            <v>178.48</v>
          </cell>
          <cell r="K54">
            <v>787.8</v>
          </cell>
          <cell r="L54">
            <v>31.05</v>
          </cell>
          <cell r="M54">
            <v>0.2</v>
          </cell>
        </row>
        <row r="55">
          <cell r="A55" t="str">
            <v>ILUMI</v>
          </cell>
          <cell r="B55">
            <v>8</v>
          </cell>
          <cell r="C55">
            <v>2710.77</v>
          </cell>
          <cell r="D55">
            <v>10.97</v>
          </cell>
          <cell r="E55">
            <v>0</v>
          </cell>
          <cell r="F55">
            <v>0</v>
          </cell>
          <cell r="G55">
            <v>172.9</v>
          </cell>
          <cell r="H55">
            <v>2537.87</v>
          </cell>
          <cell r="I55">
            <v>1492.3</v>
          </cell>
          <cell r="J55">
            <v>97.78</v>
          </cell>
          <cell r="K55">
            <v>1143.3499999999999</v>
          </cell>
          <cell r="L55">
            <v>43.76</v>
          </cell>
          <cell r="M55">
            <v>0.2</v>
          </cell>
        </row>
        <row r="56">
          <cell r="A56" t="str">
            <v>ARAFORROS</v>
          </cell>
          <cell r="B56">
            <v>8</v>
          </cell>
          <cell r="C56">
            <v>2689.4</v>
          </cell>
          <cell r="D56">
            <v>168.09</v>
          </cell>
          <cell r="E56">
            <v>0</v>
          </cell>
          <cell r="F56">
            <v>0</v>
          </cell>
          <cell r="G56">
            <v>119.9</v>
          </cell>
          <cell r="H56">
            <v>2569.5</v>
          </cell>
          <cell r="I56">
            <v>1616.28</v>
          </cell>
          <cell r="J56">
            <v>68.81</v>
          </cell>
          <cell r="K56">
            <v>1022.03</v>
          </cell>
          <cell r="L56">
            <v>39</v>
          </cell>
          <cell r="M56">
            <v>0.19</v>
          </cell>
        </row>
        <row r="57">
          <cell r="A57" t="str">
            <v>LEGRAND</v>
          </cell>
          <cell r="B57">
            <v>14</v>
          </cell>
          <cell r="C57">
            <v>2670.59</v>
          </cell>
          <cell r="D57">
            <v>17.45</v>
          </cell>
          <cell r="E57">
            <v>0</v>
          </cell>
          <cell r="F57">
            <v>0</v>
          </cell>
          <cell r="G57">
            <v>69.900000000000006</v>
          </cell>
          <cell r="H57">
            <v>2600.69</v>
          </cell>
          <cell r="I57">
            <v>1622.42</v>
          </cell>
          <cell r="J57">
            <v>41.47</v>
          </cell>
          <cell r="K57">
            <v>1019.74</v>
          </cell>
          <cell r="L57">
            <v>38.79</v>
          </cell>
          <cell r="M57">
            <v>0.19</v>
          </cell>
        </row>
        <row r="58">
          <cell r="A58" t="str">
            <v>MGM</v>
          </cell>
          <cell r="B58">
            <v>4</v>
          </cell>
          <cell r="C58">
            <v>2639</v>
          </cell>
          <cell r="D58">
            <v>377</v>
          </cell>
          <cell r="E58">
            <v>0</v>
          </cell>
          <cell r="F58">
            <v>0</v>
          </cell>
          <cell r="G58">
            <v>559.9</v>
          </cell>
          <cell r="H58">
            <v>2079.1</v>
          </cell>
          <cell r="I58">
            <v>1602.08</v>
          </cell>
          <cell r="J58">
            <v>335.3</v>
          </cell>
          <cell r="K58">
            <v>812.32</v>
          </cell>
          <cell r="L58">
            <v>35.26</v>
          </cell>
          <cell r="M58">
            <v>0.19</v>
          </cell>
        </row>
        <row r="59">
          <cell r="A59" t="str">
            <v>PRATEFIX</v>
          </cell>
          <cell r="B59">
            <v>6</v>
          </cell>
          <cell r="C59">
            <v>2466.63</v>
          </cell>
          <cell r="D59">
            <v>35.75</v>
          </cell>
          <cell r="E59">
            <v>0</v>
          </cell>
          <cell r="F59">
            <v>0</v>
          </cell>
          <cell r="G59">
            <v>0</v>
          </cell>
          <cell r="H59">
            <v>2466.63</v>
          </cell>
          <cell r="I59">
            <v>1346.58</v>
          </cell>
          <cell r="J59">
            <v>0</v>
          </cell>
          <cell r="K59">
            <v>1120.05</v>
          </cell>
          <cell r="L59">
            <v>45.41</v>
          </cell>
          <cell r="M59">
            <v>0.18</v>
          </cell>
        </row>
        <row r="60">
          <cell r="A60" t="str">
            <v>STARRETT INDUSTRIA E COMERCIO</v>
          </cell>
          <cell r="B60">
            <v>11</v>
          </cell>
          <cell r="C60">
            <v>2450.7600000000002</v>
          </cell>
          <cell r="D60">
            <v>11.78</v>
          </cell>
          <cell r="E60">
            <v>0</v>
          </cell>
          <cell r="F60">
            <v>0</v>
          </cell>
          <cell r="G60">
            <v>0</v>
          </cell>
          <cell r="H60">
            <v>2450.7600000000002</v>
          </cell>
          <cell r="I60">
            <v>1317.34</v>
          </cell>
          <cell r="J60">
            <v>0</v>
          </cell>
          <cell r="K60">
            <v>1133.42</v>
          </cell>
          <cell r="L60">
            <v>46.25</v>
          </cell>
          <cell r="M60">
            <v>0.18</v>
          </cell>
        </row>
        <row r="61">
          <cell r="A61" t="str">
            <v>ANJO QUIMICA DO BRASIL LTDA</v>
          </cell>
          <cell r="B61">
            <v>7</v>
          </cell>
          <cell r="C61">
            <v>2449.35</v>
          </cell>
          <cell r="D61">
            <v>21.12</v>
          </cell>
          <cell r="E61">
            <v>0</v>
          </cell>
          <cell r="F61">
            <v>0</v>
          </cell>
          <cell r="G61">
            <v>0</v>
          </cell>
          <cell r="H61">
            <v>2449.35</v>
          </cell>
          <cell r="I61">
            <v>1496.02</v>
          </cell>
          <cell r="J61">
            <v>0</v>
          </cell>
          <cell r="K61">
            <v>953.33</v>
          </cell>
          <cell r="L61">
            <v>38.92</v>
          </cell>
          <cell r="M61">
            <v>0.18</v>
          </cell>
        </row>
        <row r="62">
          <cell r="A62" t="str">
            <v>ALIANÇA</v>
          </cell>
          <cell r="B62">
            <v>5</v>
          </cell>
          <cell r="C62">
            <v>2306.6999999999998</v>
          </cell>
          <cell r="D62">
            <v>53.64</v>
          </cell>
          <cell r="E62">
            <v>0</v>
          </cell>
          <cell r="F62">
            <v>0</v>
          </cell>
          <cell r="G62">
            <v>0</v>
          </cell>
          <cell r="H62">
            <v>2306.6999999999998</v>
          </cell>
          <cell r="I62">
            <v>1419.33</v>
          </cell>
          <cell r="J62">
            <v>0</v>
          </cell>
          <cell r="K62">
            <v>887.37</v>
          </cell>
          <cell r="L62">
            <v>38.47</v>
          </cell>
          <cell r="M62">
            <v>0.17</v>
          </cell>
        </row>
        <row r="63">
          <cell r="A63" t="str">
            <v>VONDER</v>
          </cell>
          <cell r="B63">
            <v>8</v>
          </cell>
          <cell r="C63">
            <v>2272.5300000000002</v>
          </cell>
          <cell r="D63">
            <v>19.93</v>
          </cell>
          <cell r="E63">
            <v>0</v>
          </cell>
          <cell r="F63">
            <v>0</v>
          </cell>
          <cell r="G63">
            <v>0</v>
          </cell>
          <cell r="H63">
            <v>2272.5300000000002</v>
          </cell>
          <cell r="I63">
            <v>1151.33</v>
          </cell>
          <cell r="J63">
            <v>0</v>
          </cell>
          <cell r="K63">
            <v>1121.2</v>
          </cell>
          <cell r="L63">
            <v>49.34</v>
          </cell>
          <cell r="M63">
            <v>0.16</v>
          </cell>
        </row>
        <row r="64">
          <cell r="A64" t="str">
            <v>BOTAFOGO</v>
          </cell>
          <cell r="B64">
            <v>4</v>
          </cell>
          <cell r="C64">
            <v>2223.4499999999998</v>
          </cell>
          <cell r="D64">
            <v>555.86</v>
          </cell>
          <cell r="E64">
            <v>0</v>
          </cell>
          <cell r="F64">
            <v>0</v>
          </cell>
          <cell r="G64">
            <v>0</v>
          </cell>
          <cell r="H64">
            <v>2223.4499999999998</v>
          </cell>
          <cell r="I64">
            <v>1340.48</v>
          </cell>
          <cell r="J64">
            <v>0</v>
          </cell>
          <cell r="K64">
            <v>882.97</v>
          </cell>
          <cell r="L64">
            <v>39.71</v>
          </cell>
          <cell r="M64">
            <v>0.16</v>
          </cell>
        </row>
        <row r="65">
          <cell r="A65" t="str">
            <v>PULVITEC</v>
          </cell>
          <cell r="B65">
            <v>23</v>
          </cell>
          <cell r="C65">
            <v>2182.15</v>
          </cell>
          <cell r="D65">
            <v>7.71</v>
          </cell>
          <cell r="E65">
            <v>0</v>
          </cell>
          <cell r="F65">
            <v>0</v>
          </cell>
          <cell r="G65">
            <v>18.7</v>
          </cell>
          <cell r="H65">
            <v>2163.4499999999998</v>
          </cell>
          <cell r="I65">
            <v>1065.9100000000001</v>
          </cell>
          <cell r="J65">
            <v>8.69</v>
          </cell>
          <cell r="K65">
            <v>1106.23</v>
          </cell>
          <cell r="L65">
            <v>50.9</v>
          </cell>
          <cell r="M65">
            <v>0.16</v>
          </cell>
        </row>
        <row r="66">
          <cell r="A66" t="str">
            <v>NAWA COM ATAC VAR PROD LAR E L</v>
          </cell>
          <cell r="B66">
            <v>5</v>
          </cell>
          <cell r="C66">
            <v>2149.4499999999998</v>
          </cell>
          <cell r="D66">
            <v>307.06</v>
          </cell>
          <cell r="E66">
            <v>0</v>
          </cell>
          <cell r="F66">
            <v>0</v>
          </cell>
          <cell r="G66">
            <v>0</v>
          </cell>
          <cell r="H66">
            <v>2149.4499999999998</v>
          </cell>
          <cell r="I66">
            <v>1244.6199999999999</v>
          </cell>
          <cell r="J66">
            <v>0</v>
          </cell>
          <cell r="K66">
            <v>904.83</v>
          </cell>
          <cell r="L66">
            <v>42.1</v>
          </cell>
          <cell r="M66">
            <v>0.16</v>
          </cell>
        </row>
        <row r="67">
          <cell r="A67" t="str">
            <v>MASCOTE</v>
          </cell>
          <cell r="B67">
            <v>22</v>
          </cell>
          <cell r="C67">
            <v>2093.13</v>
          </cell>
          <cell r="D67">
            <v>12.69</v>
          </cell>
          <cell r="E67">
            <v>0</v>
          </cell>
          <cell r="F67">
            <v>0</v>
          </cell>
          <cell r="G67">
            <v>0</v>
          </cell>
          <cell r="H67">
            <v>2093.13</v>
          </cell>
          <cell r="I67">
            <v>1281.01</v>
          </cell>
          <cell r="J67">
            <v>0</v>
          </cell>
          <cell r="K67">
            <v>812.12</v>
          </cell>
          <cell r="L67">
            <v>38.799999999999997</v>
          </cell>
          <cell r="M67">
            <v>0.15</v>
          </cell>
        </row>
        <row r="68">
          <cell r="A68" t="str">
            <v>PADRAO FORTE</v>
          </cell>
          <cell r="B68">
            <v>6</v>
          </cell>
          <cell r="C68">
            <v>1761.58</v>
          </cell>
          <cell r="D68">
            <v>56.83</v>
          </cell>
          <cell r="E68">
            <v>0</v>
          </cell>
          <cell r="F68">
            <v>0</v>
          </cell>
          <cell r="G68">
            <v>0</v>
          </cell>
          <cell r="H68">
            <v>1761.58</v>
          </cell>
          <cell r="I68">
            <v>1054.6300000000001</v>
          </cell>
          <cell r="J68">
            <v>0</v>
          </cell>
          <cell r="K68">
            <v>706.95</v>
          </cell>
          <cell r="L68">
            <v>40.130000000000003</v>
          </cell>
          <cell r="M68">
            <v>0.13</v>
          </cell>
        </row>
        <row r="69">
          <cell r="A69" t="str">
            <v>TRAMONTINA</v>
          </cell>
          <cell r="B69">
            <v>5</v>
          </cell>
          <cell r="C69">
            <v>1746</v>
          </cell>
          <cell r="D69">
            <v>62.36</v>
          </cell>
          <cell r="E69">
            <v>0</v>
          </cell>
          <cell r="F69">
            <v>0</v>
          </cell>
          <cell r="G69">
            <v>0</v>
          </cell>
          <cell r="H69">
            <v>1746</v>
          </cell>
          <cell r="I69">
            <v>995.61</v>
          </cell>
          <cell r="J69">
            <v>0</v>
          </cell>
          <cell r="K69">
            <v>750.39</v>
          </cell>
          <cell r="L69">
            <v>42.98</v>
          </cell>
          <cell r="M69">
            <v>0.13</v>
          </cell>
        </row>
        <row r="70">
          <cell r="A70" t="str">
            <v>METALOSA</v>
          </cell>
          <cell r="B70">
            <v>4</v>
          </cell>
          <cell r="C70">
            <v>1669.33</v>
          </cell>
          <cell r="D70">
            <v>208.67</v>
          </cell>
          <cell r="E70">
            <v>0</v>
          </cell>
          <cell r="F70">
            <v>0</v>
          </cell>
          <cell r="G70">
            <v>0</v>
          </cell>
          <cell r="H70">
            <v>1669.33</v>
          </cell>
          <cell r="I70">
            <v>971.94</v>
          </cell>
          <cell r="J70">
            <v>0</v>
          </cell>
          <cell r="K70">
            <v>697.39</v>
          </cell>
          <cell r="L70">
            <v>41.78</v>
          </cell>
          <cell r="M70">
            <v>0.12</v>
          </cell>
        </row>
        <row r="71">
          <cell r="A71" t="str">
            <v>CORTAG</v>
          </cell>
          <cell r="B71">
            <v>16</v>
          </cell>
          <cell r="C71">
            <v>1668.7</v>
          </cell>
          <cell r="D71">
            <v>20.86</v>
          </cell>
          <cell r="E71">
            <v>0</v>
          </cell>
          <cell r="F71">
            <v>0</v>
          </cell>
          <cell r="G71">
            <v>13.2</v>
          </cell>
          <cell r="H71">
            <v>1655.5</v>
          </cell>
          <cell r="I71">
            <v>996.21</v>
          </cell>
          <cell r="J71">
            <v>6.35</v>
          </cell>
          <cell r="K71">
            <v>665.64</v>
          </cell>
          <cell r="L71">
            <v>40.04</v>
          </cell>
          <cell r="M71">
            <v>0.12</v>
          </cell>
        </row>
        <row r="72">
          <cell r="A72" t="str">
            <v>Momfort</v>
          </cell>
          <cell r="B72">
            <v>4</v>
          </cell>
          <cell r="C72">
            <v>1665.65</v>
          </cell>
          <cell r="D72">
            <v>28.72</v>
          </cell>
          <cell r="E72">
            <v>0</v>
          </cell>
          <cell r="F72">
            <v>0</v>
          </cell>
          <cell r="G72">
            <v>26.9</v>
          </cell>
          <cell r="H72">
            <v>1638.75</v>
          </cell>
          <cell r="I72">
            <v>858.03</v>
          </cell>
          <cell r="J72">
            <v>11.39</v>
          </cell>
          <cell r="K72">
            <v>792.11</v>
          </cell>
          <cell r="L72">
            <v>47.88</v>
          </cell>
          <cell r="M72">
            <v>0.12</v>
          </cell>
        </row>
        <row r="73">
          <cell r="A73" t="str">
            <v>EXATRON</v>
          </cell>
          <cell r="B73">
            <v>5</v>
          </cell>
          <cell r="C73">
            <v>1654.05</v>
          </cell>
          <cell r="D73">
            <v>55.14</v>
          </cell>
          <cell r="E73">
            <v>0</v>
          </cell>
          <cell r="F73">
            <v>0</v>
          </cell>
          <cell r="G73">
            <v>72.900000000000006</v>
          </cell>
          <cell r="H73">
            <v>1581.15</v>
          </cell>
          <cell r="I73">
            <v>938.27</v>
          </cell>
          <cell r="J73">
            <v>35.44</v>
          </cell>
          <cell r="K73">
            <v>678.32</v>
          </cell>
          <cell r="L73">
            <v>41.91</v>
          </cell>
          <cell r="M73">
            <v>0.12</v>
          </cell>
        </row>
        <row r="74">
          <cell r="A74" t="str">
            <v>BEMFIXA</v>
          </cell>
          <cell r="B74">
            <v>4</v>
          </cell>
          <cell r="C74">
            <v>1618.45</v>
          </cell>
          <cell r="D74">
            <v>12.08</v>
          </cell>
          <cell r="E74">
            <v>0</v>
          </cell>
          <cell r="F74">
            <v>0</v>
          </cell>
          <cell r="G74">
            <v>7.4</v>
          </cell>
          <cell r="H74">
            <v>1611.05</v>
          </cell>
          <cell r="I74">
            <v>995.98</v>
          </cell>
          <cell r="J74">
            <v>4.4000000000000004</v>
          </cell>
          <cell r="K74">
            <v>619.47</v>
          </cell>
          <cell r="L74">
            <v>38.380000000000003</v>
          </cell>
          <cell r="M74">
            <v>0.12</v>
          </cell>
        </row>
        <row r="75">
          <cell r="A75" t="str">
            <v>BOSCH</v>
          </cell>
          <cell r="B75">
            <v>6</v>
          </cell>
          <cell r="C75">
            <v>1471.12</v>
          </cell>
          <cell r="D75">
            <v>122.59</v>
          </cell>
          <cell r="E75">
            <v>0</v>
          </cell>
          <cell r="F75">
            <v>0</v>
          </cell>
          <cell r="G75">
            <v>0</v>
          </cell>
          <cell r="H75">
            <v>1471.12</v>
          </cell>
          <cell r="I75">
            <v>956.43</v>
          </cell>
          <cell r="J75">
            <v>0</v>
          </cell>
          <cell r="K75">
            <v>514.69000000000005</v>
          </cell>
          <cell r="L75">
            <v>34.99</v>
          </cell>
          <cell r="M75">
            <v>0.11</v>
          </cell>
        </row>
        <row r="76">
          <cell r="A76" t="str">
            <v>ORBI QUIMICA LTDA</v>
          </cell>
          <cell r="B76">
            <v>6</v>
          </cell>
          <cell r="C76">
            <v>1369.47</v>
          </cell>
          <cell r="D76">
            <v>14.27</v>
          </cell>
          <cell r="E76">
            <v>0</v>
          </cell>
          <cell r="F76">
            <v>0</v>
          </cell>
          <cell r="G76">
            <v>46.8</v>
          </cell>
          <cell r="H76">
            <v>1322.67</v>
          </cell>
          <cell r="I76">
            <v>782.17</v>
          </cell>
          <cell r="J76">
            <v>24.68</v>
          </cell>
          <cell r="K76">
            <v>565.17999999999995</v>
          </cell>
          <cell r="L76">
            <v>42.03</v>
          </cell>
          <cell r="M76">
            <v>0.1</v>
          </cell>
        </row>
        <row r="77">
          <cell r="A77" t="str">
            <v>TRAMONTINA NORDESTE</v>
          </cell>
          <cell r="B77">
            <v>4</v>
          </cell>
          <cell r="C77">
            <v>1284.1199999999999</v>
          </cell>
          <cell r="D77">
            <v>91.72</v>
          </cell>
          <cell r="E77">
            <v>0</v>
          </cell>
          <cell r="F77">
            <v>0</v>
          </cell>
          <cell r="G77">
            <v>0</v>
          </cell>
          <cell r="H77">
            <v>1284.1199999999999</v>
          </cell>
          <cell r="I77">
            <v>798.71</v>
          </cell>
          <cell r="J77">
            <v>0</v>
          </cell>
          <cell r="K77">
            <v>485.41</v>
          </cell>
          <cell r="L77">
            <v>37.799999999999997</v>
          </cell>
          <cell r="M77">
            <v>0.09</v>
          </cell>
        </row>
        <row r="78">
          <cell r="A78" t="str">
            <v>FRANKLIN</v>
          </cell>
          <cell r="B78">
            <v>3</v>
          </cell>
          <cell r="C78">
            <v>1267.1400000000001</v>
          </cell>
          <cell r="D78">
            <v>316.79000000000002</v>
          </cell>
          <cell r="E78">
            <v>0</v>
          </cell>
          <cell r="F78">
            <v>0</v>
          </cell>
          <cell r="G78">
            <v>0</v>
          </cell>
          <cell r="H78">
            <v>1267.1400000000001</v>
          </cell>
          <cell r="I78">
            <v>777.45</v>
          </cell>
          <cell r="J78">
            <v>0</v>
          </cell>
          <cell r="K78">
            <v>489.69</v>
          </cell>
          <cell r="L78">
            <v>38.65</v>
          </cell>
          <cell r="M78">
            <v>0.09</v>
          </cell>
        </row>
        <row r="79">
          <cell r="A79" t="str">
            <v>J LOBATO</v>
          </cell>
          <cell r="B79">
            <v>3</v>
          </cell>
          <cell r="C79">
            <v>1180.46</v>
          </cell>
          <cell r="D79">
            <v>20.71</v>
          </cell>
          <cell r="E79">
            <v>0</v>
          </cell>
          <cell r="F79">
            <v>0</v>
          </cell>
          <cell r="G79">
            <v>24.9</v>
          </cell>
          <cell r="H79">
            <v>1155.56</v>
          </cell>
          <cell r="I79">
            <v>532.46</v>
          </cell>
          <cell r="J79">
            <v>11.18</v>
          </cell>
          <cell r="K79">
            <v>634.28</v>
          </cell>
          <cell r="L79">
            <v>54.25</v>
          </cell>
          <cell r="M79">
            <v>0.09</v>
          </cell>
        </row>
        <row r="80">
          <cell r="A80" t="str">
            <v>DUDA</v>
          </cell>
          <cell r="B80">
            <v>4</v>
          </cell>
          <cell r="C80">
            <v>1148.04</v>
          </cell>
          <cell r="D80">
            <v>34.17</v>
          </cell>
          <cell r="E80">
            <v>0</v>
          </cell>
          <cell r="F80">
            <v>0</v>
          </cell>
          <cell r="G80">
            <v>0</v>
          </cell>
          <cell r="H80">
            <v>1148.04</v>
          </cell>
          <cell r="I80">
            <v>647.12400000000002</v>
          </cell>
          <cell r="J80">
            <v>0</v>
          </cell>
          <cell r="K80">
            <v>500.916</v>
          </cell>
          <cell r="L80">
            <v>43.63</v>
          </cell>
          <cell r="M80">
            <v>0.08</v>
          </cell>
        </row>
        <row r="81">
          <cell r="A81" t="str">
            <v>INCESA</v>
          </cell>
          <cell r="B81">
            <v>4</v>
          </cell>
          <cell r="C81">
            <v>1129.75</v>
          </cell>
          <cell r="D81">
            <v>30.13</v>
          </cell>
          <cell r="E81">
            <v>0</v>
          </cell>
          <cell r="F81">
            <v>0</v>
          </cell>
          <cell r="G81">
            <v>0</v>
          </cell>
          <cell r="H81">
            <v>1129.75</v>
          </cell>
          <cell r="I81">
            <v>937.1</v>
          </cell>
          <cell r="J81">
            <v>0</v>
          </cell>
          <cell r="K81">
            <v>192.65</v>
          </cell>
          <cell r="L81">
            <v>17.05</v>
          </cell>
          <cell r="M81">
            <v>0.08</v>
          </cell>
        </row>
        <row r="82">
          <cell r="A82" t="str">
            <v>KALIPSO</v>
          </cell>
          <cell r="B82">
            <v>10</v>
          </cell>
          <cell r="C82">
            <v>1047.79</v>
          </cell>
          <cell r="D82">
            <v>8.1199999999999992</v>
          </cell>
          <cell r="E82">
            <v>0</v>
          </cell>
          <cell r="F82">
            <v>0</v>
          </cell>
          <cell r="G82">
            <v>0</v>
          </cell>
          <cell r="H82">
            <v>1047.79</v>
          </cell>
          <cell r="I82">
            <v>485.57</v>
          </cell>
          <cell r="J82">
            <v>0</v>
          </cell>
          <cell r="K82">
            <v>562.22</v>
          </cell>
          <cell r="L82">
            <v>53.66</v>
          </cell>
          <cell r="M82">
            <v>0.08</v>
          </cell>
        </row>
        <row r="83">
          <cell r="A83" t="str">
            <v>BOGNAR</v>
          </cell>
          <cell r="B83">
            <v>6</v>
          </cell>
          <cell r="C83">
            <v>1035.31</v>
          </cell>
          <cell r="D83">
            <v>51.77</v>
          </cell>
          <cell r="E83">
            <v>0</v>
          </cell>
          <cell r="F83">
            <v>0</v>
          </cell>
          <cell r="G83">
            <v>185.36</v>
          </cell>
          <cell r="H83">
            <v>849.95</v>
          </cell>
          <cell r="I83">
            <v>634.72</v>
          </cell>
          <cell r="J83">
            <v>115.73</v>
          </cell>
          <cell r="K83">
            <v>330.96</v>
          </cell>
          <cell r="L83">
            <v>35.99</v>
          </cell>
          <cell r="M83">
            <v>0.08</v>
          </cell>
        </row>
        <row r="84">
          <cell r="A84" t="str">
            <v>RHPE</v>
          </cell>
          <cell r="B84">
            <v>3</v>
          </cell>
          <cell r="C84">
            <v>942.32</v>
          </cell>
          <cell r="D84">
            <v>85.67</v>
          </cell>
          <cell r="E84">
            <v>0</v>
          </cell>
          <cell r="F84">
            <v>0</v>
          </cell>
          <cell r="G84">
            <v>429.5</v>
          </cell>
          <cell r="H84">
            <v>512.82000000000005</v>
          </cell>
          <cell r="I84">
            <v>586.74</v>
          </cell>
          <cell r="J84">
            <v>266.7</v>
          </cell>
          <cell r="K84">
            <v>192.78</v>
          </cell>
          <cell r="L84">
            <v>28.53</v>
          </cell>
          <cell r="M84">
            <v>7.0000000000000007E-2</v>
          </cell>
        </row>
        <row r="85">
          <cell r="A85" t="str">
            <v>CHEMONE</v>
          </cell>
          <cell r="B85">
            <v>4</v>
          </cell>
          <cell r="C85">
            <v>933.84</v>
          </cell>
          <cell r="D85">
            <v>20.75</v>
          </cell>
          <cell r="E85">
            <v>0</v>
          </cell>
          <cell r="F85">
            <v>0</v>
          </cell>
          <cell r="G85">
            <v>0</v>
          </cell>
          <cell r="H85">
            <v>933.84</v>
          </cell>
          <cell r="I85">
            <v>566.05999999999995</v>
          </cell>
          <cell r="J85">
            <v>0</v>
          </cell>
          <cell r="K85">
            <v>367.78</v>
          </cell>
          <cell r="L85">
            <v>39.380000000000003</v>
          </cell>
          <cell r="M85">
            <v>7.0000000000000007E-2</v>
          </cell>
        </row>
        <row r="86">
          <cell r="A86" t="str">
            <v>FRANKE</v>
          </cell>
          <cell r="B86">
            <v>1</v>
          </cell>
          <cell r="C86">
            <v>910.68</v>
          </cell>
          <cell r="D86">
            <v>227.67</v>
          </cell>
          <cell r="E86">
            <v>0</v>
          </cell>
          <cell r="F86">
            <v>0</v>
          </cell>
          <cell r="G86">
            <v>0</v>
          </cell>
          <cell r="H86">
            <v>910.68</v>
          </cell>
          <cell r="I86">
            <v>516.25</v>
          </cell>
          <cell r="J86">
            <v>0</v>
          </cell>
          <cell r="K86">
            <v>394.43</v>
          </cell>
          <cell r="L86">
            <v>43.31</v>
          </cell>
          <cell r="M86">
            <v>7.0000000000000007E-2</v>
          </cell>
        </row>
        <row r="87">
          <cell r="A87" t="str">
            <v>GARDENLIFE</v>
          </cell>
          <cell r="B87">
            <v>4</v>
          </cell>
          <cell r="C87">
            <v>798.39</v>
          </cell>
          <cell r="D87">
            <v>49.9</v>
          </cell>
          <cell r="E87">
            <v>0</v>
          </cell>
          <cell r="F87">
            <v>0</v>
          </cell>
          <cell r="G87">
            <v>0</v>
          </cell>
          <cell r="H87">
            <v>798.39</v>
          </cell>
          <cell r="I87">
            <v>514.37</v>
          </cell>
          <cell r="J87">
            <v>0</v>
          </cell>
          <cell r="K87">
            <v>284.02</v>
          </cell>
          <cell r="L87">
            <v>35.57</v>
          </cell>
          <cell r="M87">
            <v>0.06</v>
          </cell>
        </row>
        <row r="88">
          <cell r="A88" t="str">
            <v>STAM</v>
          </cell>
          <cell r="B88">
            <v>5</v>
          </cell>
          <cell r="C88">
            <v>788.4</v>
          </cell>
          <cell r="D88">
            <v>35.840000000000003</v>
          </cell>
          <cell r="E88">
            <v>0</v>
          </cell>
          <cell r="F88">
            <v>0</v>
          </cell>
          <cell r="G88">
            <v>122.9</v>
          </cell>
          <cell r="H88">
            <v>665.5</v>
          </cell>
          <cell r="I88">
            <v>426.71</v>
          </cell>
          <cell r="J88">
            <v>72.19</v>
          </cell>
          <cell r="K88">
            <v>310.98</v>
          </cell>
          <cell r="L88">
            <v>43.42</v>
          </cell>
          <cell r="M88">
            <v>0.06</v>
          </cell>
        </row>
        <row r="89">
          <cell r="A89" t="str">
            <v>BRASFORT</v>
          </cell>
          <cell r="B89">
            <v>6</v>
          </cell>
          <cell r="C89">
            <v>768.14</v>
          </cell>
          <cell r="D89">
            <v>12.39</v>
          </cell>
          <cell r="E89">
            <v>0</v>
          </cell>
          <cell r="F89">
            <v>0</v>
          </cell>
          <cell r="G89">
            <v>32.9</v>
          </cell>
          <cell r="H89">
            <v>735.24</v>
          </cell>
          <cell r="I89">
            <v>453.96</v>
          </cell>
          <cell r="J89">
            <v>19.37</v>
          </cell>
          <cell r="K89">
            <v>300.64999999999998</v>
          </cell>
          <cell r="L89">
            <v>40.15</v>
          </cell>
          <cell r="M89">
            <v>0.06</v>
          </cell>
        </row>
        <row r="90">
          <cell r="A90" t="str">
            <v>Max-Giro</v>
          </cell>
          <cell r="B90">
            <v>5</v>
          </cell>
          <cell r="C90">
            <v>654.88</v>
          </cell>
          <cell r="D90">
            <v>12.36</v>
          </cell>
          <cell r="E90">
            <v>0</v>
          </cell>
          <cell r="F90">
            <v>0</v>
          </cell>
          <cell r="G90">
            <v>0</v>
          </cell>
          <cell r="H90">
            <v>654.88</v>
          </cell>
          <cell r="I90">
            <v>379.75</v>
          </cell>
          <cell r="J90">
            <v>0</v>
          </cell>
          <cell r="K90">
            <v>275.13</v>
          </cell>
          <cell r="L90">
            <v>42.01</v>
          </cell>
          <cell r="M90">
            <v>0.05</v>
          </cell>
        </row>
        <row r="91">
          <cell r="A91" t="str">
            <v>COZIMAX</v>
          </cell>
          <cell r="B91">
            <v>4</v>
          </cell>
          <cell r="C91">
            <v>647.6</v>
          </cell>
          <cell r="D91">
            <v>129.52000000000001</v>
          </cell>
          <cell r="E91">
            <v>0</v>
          </cell>
          <cell r="F91">
            <v>0</v>
          </cell>
          <cell r="G91">
            <v>0</v>
          </cell>
          <cell r="H91">
            <v>647.6</v>
          </cell>
          <cell r="I91">
            <v>389.14</v>
          </cell>
          <cell r="J91">
            <v>0</v>
          </cell>
          <cell r="K91">
            <v>258.45999999999998</v>
          </cell>
          <cell r="L91">
            <v>39.909999999999997</v>
          </cell>
          <cell r="M91">
            <v>0.05</v>
          </cell>
        </row>
        <row r="92">
          <cell r="A92" t="str">
            <v>OVERTIME</v>
          </cell>
          <cell r="B92">
            <v>4</v>
          </cell>
          <cell r="C92">
            <v>631.98</v>
          </cell>
          <cell r="D92">
            <v>28.73</v>
          </cell>
          <cell r="E92">
            <v>0</v>
          </cell>
          <cell r="F92">
            <v>0</v>
          </cell>
          <cell r="G92">
            <v>0</v>
          </cell>
          <cell r="H92">
            <v>631.98</v>
          </cell>
          <cell r="I92">
            <v>379.93</v>
          </cell>
          <cell r="J92">
            <v>0</v>
          </cell>
          <cell r="K92">
            <v>252.05</v>
          </cell>
          <cell r="L92">
            <v>39.880000000000003</v>
          </cell>
          <cell r="M92">
            <v>0.05</v>
          </cell>
        </row>
        <row r="93">
          <cell r="A93" t="str">
            <v>NORCOLA</v>
          </cell>
          <cell r="B93">
            <v>4</v>
          </cell>
          <cell r="C93">
            <v>623.9</v>
          </cell>
          <cell r="D93">
            <v>56.72</v>
          </cell>
          <cell r="E93">
            <v>0</v>
          </cell>
          <cell r="F93">
            <v>0</v>
          </cell>
          <cell r="G93">
            <v>0</v>
          </cell>
          <cell r="H93">
            <v>623.9</v>
          </cell>
          <cell r="I93">
            <v>402.5</v>
          </cell>
          <cell r="J93">
            <v>0</v>
          </cell>
          <cell r="K93">
            <v>221.4</v>
          </cell>
          <cell r="L93">
            <v>35.49</v>
          </cell>
          <cell r="M93">
            <v>0.05</v>
          </cell>
        </row>
        <row r="94">
          <cell r="A94" t="str">
            <v>HIDRACOR</v>
          </cell>
          <cell r="B94">
            <v>9</v>
          </cell>
          <cell r="C94">
            <v>609.49</v>
          </cell>
          <cell r="D94">
            <v>3.61</v>
          </cell>
          <cell r="E94">
            <v>0</v>
          </cell>
          <cell r="F94">
            <v>0</v>
          </cell>
          <cell r="G94">
            <v>0</v>
          </cell>
          <cell r="H94">
            <v>609.49</v>
          </cell>
          <cell r="I94">
            <v>235.27</v>
          </cell>
          <cell r="J94">
            <v>0</v>
          </cell>
          <cell r="K94">
            <v>374.22</v>
          </cell>
          <cell r="L94">
            <v>61.4</v>
          </cell>
          <cell r="M94">
            <v>0.04</v>
          </cell>
        </row>
        <row r="95">
          <cell r="A95" t="str">
            <v>ULTRACLEAN</v>
          </cell>
          <cell r="B95">
            <v>5</v>
          </cell>
          <cell r="C95">
            <v>572.5</v>
          </cell>
          <cell r="D95">
            <v>22.9</v>
          </cell>
          <cell r="E95">
            <v>0</v>
          </cell>
          <cell r="F95">
            <v>0</v>
          </cell>
          <cell r="G95">
            <v>0</v>
          </cell>
          <cell r="H95">
            <v>572.5</v>
          </cell>
          <cell r="I95">
            <v>311.74</v>
          </cell>
          <cell r="J95">
            <v>0</v>
          </cell>
          <cell r="K95">
            <v>260.76</v>
          </cell>
          <cell r="L95">
            <v>45.55</v>
          </cell>
          <cell r="M95">
            <v>0.04</v>
          </cell>
        </row>
        <row r="96">
          <cell r="A96" t="str">
            <v>PINTSILK</v>
          </cell>
          <cell r="B96">
            <v>4</v>
          </cell>
          <cell r="C96">
            <v>504.22</v>
          </cell>
          <cell r="D96">
            <v>100.84</v>
          </cell>
          <cell r="E96">
            <v>0</v>
          </cell>
          <cell r="F96">
            <v>0</v>
          </cell>
          <cell r="G96">
            <v>0</v>
          </cell>
          <cell r="H96">
            <v>504.22</v>
          </cell>
          <cell r="I96">
            <v>289.83999999999997</v>
          </cell>
          <cell r="J96">
            <v>0</v>
          </cell>
          <cell r="K96">
            <v>214.38</v>
          </cell>
          <cell r="L96">
            <v>42.52</v>
          </cell>
          <cell r="M96">
            <v>0.04</v>
          </cell>
        </row>
        <row r="97">
          <cell r="A97" t="str">
            <v>ULTRA CLEAN</v>
          </cell>
          <cell r="B97">
            <v>3</v>
          </cell>
          <cell r="C97">
            <v>471.4</v>
          </cell>
          <cell r="D97">
            <v>21.43</v>
          </cell>
          <cell r="E97">
            <v>0</v>
          </cell>
          <cell r="F97">
            <v>0</v>
          </cell>
          <cell r="G97">
            <v>0</v>
          </cell>
          <cell r="H97">
            <v>471.4</v>
          </cell>
          <cell r="I97">
            <v>286.82</v>
          </cell>
          <cell r="J97">
            <v>0</v>
          </cell>
          <cell r="K97">
            <v>184.58</v>
          </cell>
          <cell r="L97">
            <v>39.159999999999997</v>
          </cell>
          <cell r="M97">
            <v>0.03</v>
          </cell>
        </row>
        <row r="98">
          <cell r="A98" t="str">
            <v>SECALUX</v>
          </cell>
          <cell r="B98">
            <v>3</v>
          </cell>
          <cell r="C98">
            <v>441.7</v>
          </cell>
          <cell r="D98">
            <v>49.08</v>
          </cell>
          <cell r="E98">
            <v>0</v>
          </cell>
          <cell r="F98">
            <v>0</v>
          </cell>
          <cell r="G98">
            <v>27.5</v>
          </cell>
          <cell r="H98">
            <v>414.2</v>
          </cell>
          <cell r="I98">
            <v>267.27</v>
          </cell>
          <cell r="J98">
            <v>16.89</v>
          </cell>
          <cell r="K98">
            <v>163.82</v>
          </cell>
          <cell r="L98">
            <v>38.56</v>
          </cell>
          <cell r="M98">
            <v>0.03</v>
          </cell>
        </row>
        <row r="99">
          <cell r="A99" t="str">
            <v>GERDAU</v>
          </cell>
          <cell r="B99">
            <v>5</v>
          </cell>
          <cell r="C99">
            <v>403.7</v>
          </cell>
          <cell r="D99">
            <v>31.05</v>
          </cell>
          <cell r="E99">
            <v>0</v>
          </cell>
          <cell r="F99">
            <v>0</v>
          </cell>
          <cell r="G99">
            <v>0</v>
          </cell>
          <cell r="H99">
            <v>403.7</v>
          </cell>
          <cell r="I99">
            <v>235.98</v>
          </cell>
          <cell r="J99">
            <v>0</v>
          </cell>
          <cell r="K99">
            <v>167.72</v>
          </cell>
          <cell r="L99">
            <v>41.55</v>
          </cell>
          <cell r="M99">
            <v>0.03</v>
          </cell>
        </row>
        <row r="100">
          <cell r="A100" t="str">
            <v>ARCELORMITTAL</v>
          </cell>
          <cell r="B100">
            <v>4</v>
          </cell>
          <cell r="C100">
            <v>387.5</v>
          </cell>
          <cell r="D100">
            <v>25.83</v>
          </cell>
          <cell r="E100">
            <v>0</v>
          </cell>
          <cell r="F100">
            <v>0</v>
          </cell>
          <cell r="G100">
            <v>22.9</v>
          </cell>
          <cell r="H100">
            <v>364.6</v>
          </cell>
          <cell r="I100">
            <v>216.61</v>
          </cell>
          <cell r="J100">
            <v>12.73</v>
          </cell>
          <cell r="K100">
            <v>160.72</v>
          </cell>
          <cell r="L100">
            <v>42.88</v>
          </cell>
          <cell r="M100">
            <v>0.03</v>
          </cell>
        </row>
        <row r="101">
          <cell r="A101" t="str">
            <v>NOVA FIXACAO</v>
          </cell>
          <cell r="B101">
            <v>4</v>
          </cell>
          <cell r="C101">
            <v>385.26</v>
          </cell>
          <cell r="D101">
            <v>1.93</v>
          </cell>
          <cell r="E101">
            <v>0</v>
          </cell>
          <cell r="F101">
            <v>0</v>
          </cell>
          <cell r="G101">
            <v>0</v>
          </cell>
          <cell r="H101">
            <v>385.26</v>
          </cell>
          <cell r="I101">
            <v>222.58</v>
          </cell>
          <cell r="J101">
            <v>0</v>
          </cell>
          <cell r="K101">
            <v>162.68</v>
          </cell>
          <cell r="L101">
            <v>42.23</v>
          </cell>
          <cell r="M101">
            <v>0.03</v>
          </cell>
        </row>
        <row r="102">
          <cell r="A102" t="str">
            <v>LEDAN</v>
          </cell>
          <cell r="B102">
            <v>4</v>
          </cell>
          <cell r="C102">
            <v>344.76</v>
          </cell>
          <cell r="D102">
            <v>6.76</v>
          </cell>
          <cell r="E102">
            <v>0</v>
          </cell>
          <cell r="F102">
            <v>0</v>
          </cell>
          <cell r="G102">
            <v>0</v>
          </cell>
          <cell r="H102">
            <v>344.76</v>
          </cell>
          <cell r="I102">
            <v>208.23</v>
          </cell>
          <cell r="J102">
            <v>0</v>
          </cell>
          <cell r="K102">
            <v>136.53</v>
          </cell>
          <cell r="L102">
            <v>39.6</v>
          </cell>
          <cell r="M102">
            <v>0.02</v>
          </cell>
        </row>
        <row r="103">
          <cell r="A103" t="str">
            <v>FORTLINE</v>
          </cell>
          <cell r="B103">
            <v>1</v>
          </cell>
          <cell r="C103">
            <v>343.6</v>
          </cell>
          <cell r="D103">
            <v>85.9</v>
          </cell>
          <cell r="E103">
            <v>0</v>
          </cell>
          <cell r="F103">
            <v>0</v>
          </cell>
          <cell r="G103">
            <v>0</v>
          </cell>
          <cell r="H103">
            <v>343.6</v>
          </cell>
          <cell r="I103">
            <v>206.55</v>
          </cell>
          <cell r="J103">
            <v>0</v>
          </cell>
          <cell r="K103">
            <v>137.05000000000001</v>
          </cell>
          <cell r="L103">
            <v>39.89</v>
          </cell>
          <cell r="M103">
            <v>0.02</v>
          </cell>
        </row>
        <row r="104">
          <cell r="A104" t="str">
            <v>COMFORT DOOR</v>
          </cell>
          <cell r="B104">
            <v>4</v>
          </cell>
          <cell r="C104">
            <v>308.39999999999998</v>
          </cell>
          <cell r="D104">
            <v>30.84</v>
          </cell>
          <cell r="E104">
            <v>0</v>
          </cell>
          <cell r="F104">
            <v>0</v>
          </cell>
          <cell r="G104">
            <v>0</v>
          </cell>
          <cell r="H104">
            <v>308.39999999999998</v>
          </cell>
          <cell r="I104">
            <v>168.54</v>
          </cell>
          <cell r="J104">
            <v>0</v>
          </cell>
          <cell r="K104">
            <v>139.86000000000001</v>
          </cell>
          <cell r="L104">
            <v>45.35</v>
          </cell>
          <cell r="M104">
            <v>0.02</v>
          </cell>
        </row>
        <row r="105">
          <cell r="A105" t="str">
            <v>TRAMONTINA ELETRIK S.A.</v>
          </cell>
          <cell r="B105">
            <v>3</v>
          </cell>
          <cell r="C105">
            <v>294.85000000000002</v>
          </cell>
          <cell r="D105">
            <v>18.43</v>
          </cell>
          <cell r="E105">
            <v>0</v>
          </cell>
          <cell r="F105">
            <v>0</v>
          </cell>
          <cell r="G105">
            <v>29.97</v>
          </cell>
          <cell r="H105">
            <v>264.88</v>
          </cell>
          <cell r="I105">
            <v>180.79</v>
          </cell>
          <cell r="J105">
            <v>19.62</v>
          </cell>
          <cell r="K105">
            <v>103.71</v>
          </cell>
          <cell r="L105">
            <v>37.68</v>
          </cell>
          <cell r="M105">
            <v>0.02</v>
          </cell>
        </row>
        <row r="106">
          <cell r="A106" t="str">
            <v>EXTRALUX</v>
          </cell>
          <cell r="B106">
            <v>4</v>
          </cell>
          <cell r="C106">
            <v>239</v>
          </cell>
          <cell r="D106">
            <v>17.07</v>
          </cell>
          <cell r="E106">
            <v>0</v>
          </cell>
          <cell r="F106">
            <v>0</v>
          </cell>
          <cell r="G106">
            <v>14.3</v>
          </cell>
          <cell r="H106">
            <v>224.7</v>
          </cell>
          <cell r="I106">
            <v>141.29</v>
          </cell>
          <cell r="J106">
            <v>8.61</v>
          </cell>
          <cell r="K106">
            <v>92.02</v>
          </cell>
          <cell r="L106">
            <v>39.94</v>
          </cell>
          <cell r="M106">
            <v>0.02</v>
          </cell>
        </row>
        <row r="107">
          <cell r="A107" t="str">
            <v>EXTRALUZ</v>
          </cell>
          <cell r="B107">
            <v>3</v>
          </cell>
          <cell r="C107">
            <v>223.88</v>
          </cell>
          <cell r="D107">
            <v>17.22</v>
          </cell>
          <cell r="E107">
            <v>0</v>
          </cell>
          <cell r="F107">
            <v>0</v>
          </cell>
          <cell r="G107">
            <v>0</v>
          </cell>
          <cell r="H107">
            <v>223.88</v>
          </cell>
          <cell r="I107">
            <v>133.63999999999999</v>
          </cell>
          <cell r="J107">
            <v>0</v>
          </cell>
          <cell r="K107">
            <v>90.24</v>
          </cell>
          <cell r="L107">
            <v>40.31</v>
          </cell>
          <cell r="M107">
            <v>0.02</v>
          </cell>
        </row>
        <row r="108">
          <cell r="A108" t="str">
            <v>LGMAIS</v>
          </cell>
          <cell r="B108">
            <v>1</v>
          </cell>
          <cell r="C108">
            <v>148.31</v>
          </cell>
          <cell r="D108">
            <v>148.31</v>
          </cell>
          <cell r="E108">
            <v>0</v>
          </cell>
          <cell r="F108">
            <v>0</v>
          </cell>
          <cell r="G108">
            <v>0</v>
          </cell>
          <cell r="H108">
            <v>148.31</v>
          </cell>
          <cell r="I108">
            <v>270.94</v>
          </cell>
          <cell r="J108">
            <v>0</v>
          </cell>
          <cell r="K108">
            <v>-122.63</v>
          </cell>
          <cell r="L108">
            <v>0</v>
          </cell>
          <cell r="M108">
            <v>0.01</v>
          </cell>
        </row>
        <row r="109">
          <cell r="A109" t="str">
            <v>ANJO TINTAS E SOLVENTES</v>
          </cell>
          <cell r="B109">
            <v>3</v>
          </cell>
          <cell r="C109">
            <v>137.6</v>
          </cell>
          <cell r="D109">
            <v>34.4</v>
          </cell>
          <cell r="E109">
            <v>0</v>
          </cell>
          <cell r="F109">
            <v>0</v>
          </cell>
          <cell r="G109">
            <v>0</v>
          </cell>
          <cell r="H109">
            <v>137.6</v>
          </cell>
          <cell r="I109">
            <v>73.09</v>
          </cell>
          <cell r="J109">
            <v>0</v>
          </cell>
          <cell r="K109">
            <v>64.510000000000005</v>
          </cell>
          <cell r="L109">
            <v>46.88</v>
          </cell>
          <cell r="M109">
            <v>0.01</v>
          </cell>
        </row>
        <row r="110">
          <cell r="A110" t="str">
            <v>PADOVA</v>
          </cell>
          <cell r="B110">
            <v>3</v>
          </cell>
          <cell r="C110">
            <v>131.33000000000001</v>
          </cell>
          <cell r="D110">
            <v>21.89</v>
          </cell>
          <cell r="E110">
            <v>0</v>
          </cell>
          <cell r="F110">
            <v>0</v>
          </cell>
          <cell r="G110">
            <v>0</v>
          </cell>
          <cell r="H110">
            <v>131.33000000000001</v>
          </cell>
          <cell r="I110">
            <v>80.42</v>
          </cell>
          <cell r="J110">
            <v>0</v>
          </cell>
          <cell r="K110">
            <v>50.91</v>
          </cell>
          <cell r="L110">
            <v>38.76</v>
          </cell>
          <cell r="M110">
            <v>0.01</v>
          </cell>
        </row>
        <row r="111">
          <cell r="A111" t="str">
            <v>RANCAN</v>
          </cell>
          <cell r="B111">
            <v>1</v>
          </cell>
          <cell r="C111">
            <v>119.8</v>
          </cell>
          <cell r="D111">
            <v>59.9</v>
          </cell>
          <cell r="E111">
            <v>0</v>
          </cell>
          <cell r="F111">
            <v>0</v>
          </cell>
          <cell r="G111">
            <v>0</v>
          </cell>
          <cell r="H111">
            <v>119.8</v>
          </cell>
          <cell r="I111">
            <v>62.7</v>
          </cell>
          <cell r="J111">
            <v>0</v>
          </cell>
          <cell r="K111">
            <v>57.1</v>
          </cell>
          <cell r="L111">
            <v>47.66</v>
          </cell>
          <cell r="M111">
            <v>0.01</v>
          </cell>
        </row>
        <row r="112">
          <cell r="A112" t="str">
            <v>EMPLAC</v>
          </cell>
          <cell r="B112">
            <v>4</v>
          </cell>
          <cell r="C112">
            <v>116.2</v>
          </cell>
          <cell r="D112">
            <v>8.3000000000000007</v>
          </cell>
          <cell r="E112">
            <v>0</v>
          </cell>
          <cell r="F112">
            <v>0</v>
          </cell>
          <cell r="G112">
            <v>0</v>
          </cell>
          <cell r="H112">
            <v>116.2</v>
          </cell>
          <cell r="I112">
            <v>50.87</v>
          </cell>
          <cell r="J112">
            <v>0</v>
          </cell>
          <cell r="K112">
            <v>65.33</v>
          </cell>
          <cell r="L112">
            <v>56.22</v>
          </cell>
          <cell r="M112">
            <v>0.01</v>
          </cell>
        </row>
        <row r="113">
          <cell r="A113" t="str">
            <v>INCA</v>
          </cell>
          <cell r="B113">
            <v>5</v>
          </cell>
          <cell r="C113">
            <v>112.8</v>
          </cell>
          <cell r="D113">
            <v>1.94</v>
          </cell>
          <cell r="E113">
            <v>0</v>
          </cell>
          <cell r="F113">
            <v>0</v>
          </cell>
          <cell r="G113">
            <v>0</v>
          </cell>
          <cell r="H113">
            <v>112.8</v>
          </cell>
          <cell r="I113">
            <v>58.96</v>
          </cell>
          <cell r="J113">
            <v>0</v>
          </cell>
          <cell r="K113">
            <v>53.84</v>
          </cell>
          <cell r="L113">
            <v>47.73</v>
          </cell>
          <cell r="M113">
            <v>0.01</v>
          </cell>
        </row>
        <row r="114">
          <cell r="A114" t="str">
            <v>GDN</v>
          </cell>
          <cell r="B114">
            <v>1</v>
          </cell>
          <cell r="C114">
            <v>70.36</v>
          </cell>
          <cell r="D114">
            <v>35.18</v>
          </cell>
          <cell r="E114">
            <v>0</v>
          </cell>
          <cell r="F114">
            <v>0</v>
          </cell>
          <cell r="G114">
            <v>0</v>
          </cell>
          <cell r="H114">
            <v>70.36</v>
          </cell>
          <cell r="I114">
            <v>42.74</v>
          </cell>
          <cell r="J114">
            <v>0</v>
          </cell>
          <cell r="K114">
            <v>27.62</v>
          </cell>
          <cell r="L114">
            <v>39.26</v>
          </cell>
          <cell r="M114">
            <v>0.01</v>
          </cell>
        </row>
        <row r="115">
          <cell r="A115" t="str">
            <v>PHILIPS ILUMINACAO LA</v>
          </cell>
          <cell r="B115">
            <v>1</v>
          </cell>
          <cell r="C115">
            <v>51</v>
          </cell>
          <cell r="D115">
            <v>8.5</v>
          </cell>
          <cell r="E115">
            <v>0</v>
          </cell>
          <cell r="F115">
            <v>0</v>
          </cell>
          <cell r="G115">
            <v>0</v>
          </cell>
          <cell r="H115">
            <v>51</v>
          </cell>
          <cell r="I115">
            <v>30.36</v>
          </cell>
          <cell r="J115">
            <v>0</v>
          </cell>
          <cell r="K115">
            <v>20.64</v>
          </cell>
          <cell r="L115">
            <v>40.47</v>
          </cell>
          <cell r="M115">
            <v>0</v>
          </cell>
        </row>
        <row r="116">
          <cell r="A116" t="str">
            <v>KAPAZI</v>
          </cell>
          <cell r="B116">
            <v>1</v>
          </cell>
          <cell r="C116">
            <v>38.9</v>
          </cell>
          <cell r="D116">
            <v>38.9</v>
          </cell>
          <cell r="E116">
            <v>0</v>
          </cell>
          <cell r="F116">
            <v>0</v>
          </cell>
          <cell r="G116">
            <v>0</v>
          </cell>
          <cell r="H116">
            <v>38.9</v>
          </cell>
          <cell r="I116">
            <v>24.84</v>
          </cell>
          <cell r="J116">
            <v>0</v>
          </cell>
          <cell r="K116">
            <v>14.06</v>
          </cell>
          <cell r="L116">
            <v>36.14</v>
          </cell>
          <cell r="M116">
            <v>0</v>
          </cell>
        </row>
        <row r="117">
          <cell r="A117" t="str">
            <v>GABRIELLA</v>
          </cell>
          <cell r="B117">
            <v>1</v>
          </cell>
          <cell r="C117">
            <v>28.9</v>
          </cell>
          <cell r="D117">
            <v>28.9</v>
          </cell>
          <cell r="E117">
            <v>0</v>
          </cell>
          <cell r="F117">
            <v>0</v>
          </cell>
          <cell r="G117">
            <v>0</v>
          </cell>
          <cell r="H117">
            <v>28.9</v>
          </cell>
          <cell r="I117">
            <v>15.73</v>
          </cell>
          <cell r="J117">
            <v>0</v>
          </cell>
          <cell r="K117">
            <v>13.17</v>
          </cell>
          <cell r="L117">
            <v>45.57</v>
          </cell>
          <cell r="M117">
            <v>0</v>
          </cell>
        </row>
        <row r="118">
          <cell r="A118" t="str">
            <v>ONDULINE</v>
          </cell>
          <cell r="B118">
            <v>1</v>
          </cell>
          <cell r="C118">
            <v>26.9</v>
          </cell>
          <cell r="D118">
            <v>26.9</v>
          </cell>
          <cell r="E118">
            <v>0</v>
          </cell>
          <cell r="F118">
            <v>0</v>
          </cell>
          <cell r="G118">
            <v>0</v>
          </cell>
          <cell r="H118">
            <v>26.9</v>
          </cell>
          <cell r="I118">
            <v>17.350000000000001</v>
          </cell>
          <cell r="J118">
            <v>0</v>
          </cell>
          <cell r="K118">
            <v>9.5500000000000007</v>
          </cell>
          <cell r="L118">
            <v>35.5</v>
          </cell>
          <cell r="M118">
            <v>0</v>
          </cell>
        </row>
        <row r="119">
          <cell r="A119" t="str">
            <v>INJEPLAST</v>
          </cell>
          <cell r="B119">
            <v>1</v>
          </cell>
          <cell r="C119">
            <v>7.8</v>
          </cell>
          <cell r="D119">
            <v>0.39</v>
          </cell>
          <cell r="E119">
            <v>0</v>
          </cell>
          <cell r="F119">
            <v>0</v>
          </cell>
          <cell r="G119">
            <v>0</v>
          </cell>
          <cell r="H119">
            <v>7.8</v>
          </cell>
          <cell r="I119">
            <v>3.6</v>
          </cell>
          <cell r="J119">
            <v>0</v>
          </cell>
          <cell r="K119">
            <v>4.2</v>
          </cell>
          <cell r="L119">
            <v>53.85</v>
          </cell>
          <cell r="M119">
            <v>0</v>
          </cell>
        </row>
        <row r="120">
          <cell r="A120" t="str">
            <v>outros</v>
          </cell>
          <cell r="B120">
            <v>0</v>
          </cell>
          <cell r="C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JUN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111</v>
          </cell>
          <cell r="C2">
            <v>131422.49189999999</v>
          </cell>
          <cell r="D2">
            <v>35.200000000000003</v>
          </cell>
          <cell r="E2">
            <v>0</v>
          </cell>
          <cell r="F2">
            <v>0</v>
          </cell>
          <cell r="G2">
            <v>1952.403</v>
          </cell>
          <cell r="H2">
            <v>129470.0889</v>
          </cell>
          <cell r="I2">
            <v>82850.038</v>
          </cell>
          <cell r="J2">
            <v>1180.1424999999999</v>
          </cell>
          <cell r="K2">
            <v>47800.193399999996</v>
          </cell>
          <cell r="L2">
            <v>36.700000000000003</v>
          </cell>
          <cell r="M2">
            <v>10.53</v>
          </cell>
        </row>
        <row r="3">
          <cell r="A3" t="str">
            <v>POINTER</v>
          </cell>
          <cell r="B3">
            <v>101</v>
          </cell>
          <cell r="C3">
            <v>115239.23299999999</v>
          </cell>
          <cell r="D3">
            <v>32.56</v>
          </cell>
          <cell r="E3">
            <v>0</v>
          </cell>
          <cell r="F3">
            <v>0</v>
          </cell>
          <cell r="G3">
            <v>6226.1810999999998</v>
          </cell>
          <cell r="H3">
            <v>109013.05190000001</v>
          </cell>
          <cell r="I3">
            <v>74700.208199999994</v>
          </cell>
          <cell r="J3">
            <v>4053.5176000000001</v>
          </cell>
          <cell r="K3">
            <v>38366.361299999997</v>
          </cell>
          <cell r="L3">
            <v>34.51</v>
          </cell>
          <cell r="M3">
            <v>9.23</v>
          </cell>
        </row>
        <row r="4">
          <cell r="A4" t="str">
            <v>ARIELLE</v>
          </cell>
          <cell r="B4">
            <v>117</v>
          </cell>
          <cell r="C4">
            <v>91726.634099999996</v>
          </cell>
          <cell r="D4">
            <v>30.73</v>
          </cell>
          <cell r="E4">
            <v>0</v>
          </cell>
          <cell r="F4">
            <v>0</v>
          </cell>
          <cell r="G4">
            <v>1570.1672000000001</v>
          </cell>
          <cell r="H4">
            <v>90156.466899999999</v>
          </cell>
          <cell r="I4">
            <v>53686.657800000001</v>
          </cell>
          <cell r="J4">
            <v>939.7038</v>
          </cell>
          <cell r="K4">
            <v>37409.512900000002</v>
          </cell>
          <cell r="L4">
            <v>41.21</v>
          </cell>
          <cell r="M4">
            <v>7.35</v>
          </cell>
        </row>
        <row r="5">
          <cell r="A5" t="str">
            <v>IQUINE</v>
          </cell>
          <cell r="B5">
            <v>82</v>
          </cell>
          <cell r="C5">
            <v>85072.972099999999</v>
          </cell>
          <cell r="D5">
            <v>13.29</v>
          </cell>
          <cell r="E5">
            <v>0</v>
          </cell>
          <cell r="F5">
            <v>0</v>
          </cell>
          <cell r="G5">
            <v>1193.0999999999999</v>
          </cell>
          <cell r="H5">
            <v>83879.872099999993</v>
          </cell>
          <cell r="I5">
            <v>51289.686500000003</v>
          </cell>
          <cell r="J5">
            <v>726.78</v>
          </cell>
          <cell r="K5">
            <v>33316.965600000003</v>
          </cell>
          <cell r="L5">
            <v>39.5</v>
          </cell>
          <cell r="M5">
            <v>6.82</v>
          </cell>
        </row>
        <row r="6">
          <cell r="A6" t="str">
            <v>DO MESTRE</v>
          </cell>
          <cell r="B6">
            <v>233</v>
          </cell>
          <cell r="C6">
            <v>76672.160000000003</v>
          </cell>
          <cell r="D6">
            <v>21.84</v>
          </cell>
          <cell r="E6">
            <v>0</v>
          </cell>
          <cell r="F6">
            <v>0</v>
          </cell>
          <cell r="G6">
            <v>427.29</v>
          </cell>
          <cell r="H6">
            <v>76244.87</v>
          </cell>
          <cell r="I6">
            <v>47137.919999999998</v>
          </cell>
          <cell r="J6">
            <v>263.52999999999997</v>
          </cell>
          <cell r="K6">
            <v>29370.48</v>
          </cell>
          <cell r="L6">
            <v>38.44</v>
          </cell>
          <cell r="M6">
            <v>6.14</v>
          </cell>
        </row>
        <row r="7">
          <cell r="A7" t="str">
            <v>BRASILIT</v>
          </cell>
          <cell r="B7">
            <v>54</v>
          </cell>
          <cell r="C7">
            <v>62763.7</v>
          </cell>
          <cell r="D7">
            <v>60.76</v>
          </cell>
          <cell r="E7">
            <v>0</v>
          </cell>
          <cell r="F7">
            <v>0</v>
          </cell>
          <cell r="G7">
            <v>1332.2</v>
          </cell>
          <cell r="H7">
            <v>61431.5</v>
          </cell>
          <cell r="I7">
            <v>54027.94</v>
          </cell>
          <cell r="J7">
            <v>1168.02</v>
          </cell>
          <cell r="K7">
            <v>8571.58</v>
          </cell>
          <cell r="L7">
            <v>13.92</v>
          </cell>
          <cell r="M7">
            <v>5.03</v>
          </cell>
        </row>
        <row r="8">
          <cell r="A8" t="str">
            <v>CERBRAS</v>
          </cell>
          <cell r="B8">
            <v>77</v>
          </cell>
          <cell r="C8">
            <v>58037.907200000001</v>
          </cell>
          <cell r="D8">
            <v>28.69</v>
          </cell>
          <cell r="E8">
            <v>0</v>
          </cell>
          <cell r="F8">
            <v>0</v>
          </cell>
          <cell r="G8">
            <v>659.64</v>
          </cell>
          <cell r="H8">
            <v>57378.267200000002</v>
          </cell>
          <cell r="I8">
            <v>40052.531799999997</v>
          </cell>
          <cell r="J8">
            <v>435.52800000000002</v>
          </cell>
          <cell r="K8">
            <v>17761.2634</v>
          </cell>
          <cell r="L8">
            <v>30.83</v>
          </cell>
          <cell r="M8">
            <v>4.6500000000000004</v>
          </cell>
        </row>
        <row r="9">
          <cell r="A9" t="str">
            <v>WEBER QUARTZOLIT</v>
          </cell>
          <cell r="B9">
            <v>134</v>
          </cell>
          <cell r="C9">
            <v>46680.959999999999</v>
          </cell>
          <cell r="D9">
            <v>30.12</v>
          </cell>
          <cell r="E9">
            <v>0</v>
          </cell>
          <cell r="F9">
            <v>0</v>
          </cell>
          <cell r="G9">
            <v>1377.83</v>
          </cell>
          <cell r="H9">
            <v>45303.13</v>
          </cell>
          <cell r="I9">
            <v>29294.880000000001</v>
          </cell>
          <cell r="J9">
            <v>872.32</v>
          </cell>
          <cell r="K9">
            <v>16880.57</v>
          </cell>
          <cell r="L9">
            <v>36.85</v>
          </cell>
          <cell r="M9">
            <v>3.74</v>
          </cell>
        </row>
        <row r="10">
          <cell r="A10" t="str">
            <v>ROCA</v>
          </cell>
          <cell r="B10">
            <v>53</v>
          </cell>
          <cell r="C10">
            <v>41961.56</v>
          </cell>
          <cell r="D10">
            <v>192.48</v>
          </cell>
          <cell r="E10">
            <v>0</v>
          </cell>
          <cell r="F10">
            <v>0</v>
          </cell>
          <cell r="G10">
            <v>348.23</v>
          </cell>
          <cell r="H10">
            <v>41613.33</v>
          </cell>
          <cell r="I10">
            <v>29087.62</v>
          </cell>
          <cell r="J10">
            <v>238.51</v>
          </cell>
          <cell r="K10">
            <v>12764.22</v>
          </cell>
          <cell r="L10">
            <v>30.59</v>
          </cell>
          <cell r="M10">
            <v>3.36</v>
          </cell>
        </row>
        <row r="11">
          <cell r="A11" t="str">
            <v>MEGAÓ</v>
          </cell>
          <cell r="B11">
            <v>47</v>
          </cell>
          <cell r="C11">
            <v>40704.449999999997</v>
          </cell>
          <cell r="D11">
            <v>54.71</v>
          </cell>
          <cell r="E11">
            <v>0</v>
          </cell>
          <cell r="F11">
            <v>0</v>
          </cell>
          <cell r="G11">
            <v>765.63</v>
          </cell>
          <cell r="H11">
            <v>39938.82</v>
          </cell>
          <cell r="I11">
            <v>25109.43</v>
          </cell>
          <cell r="J11">
            <v>464.56</v>
          </cell>
          <cell r="K11">
            <v>15293.95</v>
          </cell>
          <cell r="L11">
            <v>38.01</v>
          </cell>
          <cell r="M11">
            <v>3.26</v>
          </cell>
        </row>
        <row r="12">
          <cell r="A12" t="str">
            <v>QUALITY</v>
          </cell>
          <cell r="B12">
            <v>44</v>
          </cell>
          <cell r="C12">
            <v>37439.99</v>
          </cell>
          <cell r="D12">
            <v>218.95</v>
          </cell>
          <cell r="E12">
            <v>0</v>
          </cell>
          <cell r="F12">
            <v>0</v>
          </cell>
          <cell r="G12">
            <v>764.9</v>
          </cell>
          <cell r="H12">
            <v>36675.089999999997</v>
          </cell>
          <cell r="I12">
            <v>24206.29</v>
          </cell>
          <cell r="J12">
            <v>449.82</v>
          </cell>
          <cell r="K12">
            <v>12918.62</v>
          </cell>
          <cell r="L12">
            <v>34.92</v>
          </cell>
          <cell r="M12">
            <v>3</v>
          </cell>
        </row>
        <row r="13">
          <cell r="A13" t="str">
            <v>ETERNIT</v>
          </cell>
          <cell r="B13">
            <v>30</v>
          </cell>
          <cell r="C13">
            <v>34479.300000000003</v>
          </cell>
          <cell r="D13">
            <v>67.739999999999995</v>
          </cell>
          <cell r="E13">
            <v>0</v>
          </cell>
          <cell r="F13">
            <v>0</v>
          </cell>
          <cell r="G13">
            <v>639</v>
          </cell>
          <cell r="H13">
            <v>33840.300000000003</v>
          </cell>
          <cell r="I13">
            <v>27292.35</v>
          </cell>
          <cell r="J13">
            <v>415.2</v>
          </cell>
          <cell r="K13">
            <v>6963.15</v>
          </cell>
          <cell r="L13">
            <v>20.440000000000001</v>
          </cell>
          <cell r="M13">
            <v>2.76</v>
          </cell>
        </row>
        <row r="14">
          <cell r="A14" t="str">
            <v>PORTO RICO</v>
          </cell>
          <cell r="B14">
            <v>33</v>
          </cell>
          <cell r="C14">
            <v>22379.68</v>
          </cell>
          <cell r="D14">
            <v>27.63</v>
          </cell>
          <cell r="E14">
            <v>0</v>
          </cell>
          <cell r="F14">
            <v>0</v>
          </cell>
          <cell r="G14">
            <v>108.24</v>
          </cell>
          <cell r="H14">
            <v>22271.439999999999</v>
          </cell>
          <cell r="I14">
            <v>13375.82</v>
          </cell>
          <cell r="J14">
            <v>68.760000000000005</v>
          </cell>
          <cell r="K14">
            <v>8964.3799999999992</v>
          </cell>
          <cell r="L14">
            <v>40.18</v>
          </cell>
          <cell r="M14">
            <v>1.79</v>
          </cell>
        </row>
        <row r="15">
          <cell r="A15" t="str">
            <v>TECNOGRES</v>
          </cell>
          <cell r="B15">
            <v>20</v>
          </cell>
          <cell r="C15">
            <v>21574.9133</v>
          </cell>
          <cell r="D15">
            <v>63.26</v>
          </cell>
          <cell r="E15">
            <v>0</v>
          </cell>
          <cell r="F15">
            <v>0</v>
          </cell>
          <cell r="G15">
            <v>4480.5744000000004</v>
          </cell>
          <cell r="H15">
            <v>17094.338899999999</v>
          </cell>
          <cell r="I15">
            <v>15408.909299999999</v>
          </cell>
          <cell r="J15">
            <v>2749.5936000000002</v>
          </cell>
          <cell r="K15">
            <v>4435.0231999999996</v>
          </cell>
          <cell r="L15">
            <v>23.56</v>
          </cell>
          <cell r="M15">
            <v>1.73</v>
          </cell>
        </row>
        <row r="16">
          <cell r="A16" t="str">
            <v>LORENZETTI</v>
          </cell>
          <cell r="B16">
            <v>32</v>
          </cell>
          <cell r="C16">
            <v>20502.52</v>
          </cell>
          <cell r="D16">
            <v>81.36</v>
          </cell>
          <cell r="E16">
            <v>0</v>
          </cell>
          <cell r="F16">
            <v>0</v>
          </cell>
          <cell r="G16">
            <v>659.88</v>
          </cell>
          <cell r="H16">
            <v>19842.64</v>
          </cell>
          <cell r="I16">
            <v>13134.46</v>
          </cell>
          <cell r="J16">
            <v>388.67</v>
          </cell>
          <cell r="K16">
            <v>7096.85</v>
          </cell>
          <cell r="L16">
            <v>35.28</v>
          </cell>
          <cell r="M16">
            <v>1.64</v>
          </cell>
        </row>
        <row r="17">
          <cell r="A17" t="str">
            <v>ATLAS</v>
          </cell>
          <cell r="B17">
            <v>81</v>
          </cell>
          <cell r="C17">
            <v>19035.2</v>
          </cell>
          <cell r="D17">
            <v>17.23</v>
          </cell>
          <cell r="E17">
            <v>0</v>
          </cell>
          <cell r="F17">
            <v>0</v>
          </cell>
          <cell r="G17">
            <v>109.8</v>
          </cell>
          <cell r="H17">
            <v>18925.400000000001</v>
          </cell>
          <cell r="I17">
            <v>10892.49</v>
          </cell>
          <cell r="J17">
            <v>70.23</v>
          </cell>
          <cell r="K17">
            <v>8103.14</v>
          </cell>
          <cell r="L17">
            <v>42.73</v>
          </cell>
          <cell r="M17">
            <v>1.53</v>
          </cell>
        </row>
        <row r="18">
          <cell r="A18" t="str">
            <v>PAMESA</v>
          </cell>
          <cell r="B18">
            <v>21</v>
          </cell>
          <cell r="C18">
            <v>17725.716400000001</v>
          </cell>
          <cell r="D18">
            <v>30.9</v>
          </cell>
          <cell r="E18">
            <v>0</v>
          </cell>
          <cell r="F18">
            <v>0</v>
          </cell>
          <cell r="G18">
            <v>70.563999999999993</v>
          </cell>
          <cell r="H18">
            <v>17655.152399999999</v>
          </cell>
          <cell r="I18">
            <v>11394.3256</v>
          </cell>
          <cell r="J18">
            <v>44.9816</v>
          </cell>
          <cell r="K18">
            <v>6305.8083999999999</v>
          </cell>
          <cell r="L18">
            <v>35.659999999999997</v>
          </cell>
          <cell r="M18">
            <v>1.42</v>
          </cell>
        </row>
        <row r="19">
          <cell r="A19" t="str">
            <v>NITROLUX</v>
          </cell>
          <cell r="B19">
            <v>31</v>
          </cell>
          <cell r="C19">
            <v>17329.189999999999</v>
          </cell>
          <cell r="D19">
            <v>30.19</v>
          </cell>
          <cell r="E19">
            <v>0</v>
          </cell>
          <cell r="F19">
            <v>0</v>
          </cell>
          <cell r="G19">
            <v>225.9</v>
          </cell>
          <cell r="H19">
            <v>17103.29</v>
          </cell>
          <cell r="I19">
            <v>10109.56</v>
          </cell>
          <cell r="J19">
            <v>137.55000000000001</v>
          </cell>
          <cell r="K19">
            <v>7131.28</v>
          </cell>
          <cell r="L19">
            <v>41.48</v>
          </cell>
          <cell r="M19">
            <v>1.39</v>
          </cell>
        </row>
        <row r="20">
          <cell r="A20" t="str">
            <v>AVANT</v>
          </cell>
          <cell r="B20">
            <v>48</v>
          </cell>
          <cell r="C20">
            <v>16898.740000000002</v>
          </cell>
          <cell r="D20">
            <v>7.37</v>
          </cell>
          <cell r="E20">
            <v>0</v>
          </cell>
          <cell r="F20">
            <v>0</v>
          </cell>
          <cell r="G20">
            <v>67.900000000000006</v>
          </cell>
          <cell r="H20">
            <v>16830.84</v>
          </cell>
          <cell r="I20">
            <v>9140.94</v>
          </cell>
          <cell r="J20">
            <v>42.18</v>
          </cell>
          <cell r="K20">
            <v>7732.08</v>
          </cell>
          <cell r="L20">
            <v>45.87</v>
          </cell>
          <cell r="M20">
            <v>1.35</v>
          </cell>
        </row>
        <row r="21">
          <cell r="A21" t="str">
            <v>ELIZABETH PORC.</v>
          </cell>
          <cell r="B21">
            <v>6</v>
          </cell>
          <cell r="C21">
            <v>15962.4753</v>
          </cell>
          <cell r="D21">
            <v>54.82</v>
          </cell>
          <cell r="E21">
            <v>0</v>
          </cell>
          <cell r="F21">
            <v>0</v>
          </cell>
          <cell r="G21">
            <v>0</v>
          </cell>
          <cell r="H21">
            <v>15962.4753</v>
          </cell>
          <cell r="I21">
            <v>9545.1828999999998</v>
          </cell>
          <cell r="J21">
            <v>0</v>
          </cell>
          <cell r="K21">
            <v>6417.2924000000003</v>
          </cell>
          <cell r="L21">
            <v>40.200000000000003</v>
          </cell>
          <cell r="M21">
            <v>1.28</v>
          </cell>
        </row>
        <row r="22">
          <cell r="A22" t="str">
            <v>COBRECOM</v>
          </cell>
          <cell r="B22">
            <v>15</v>
          </cell>
          <cell r="C22">
            <v>15420.64</v>
          </cell>
          <cell r="D22">
            <v>151.18</v>
          </cell>
          <cell r="E22">
            <v>0</v>
          </cell>
          <cell r="F22">
            <v>0</v>
          </cell>
          <cell r="G22">
            <v>51.5</v>
          </cell>
          <cell r="H22">
            <v>15369.14</v>
          </cell>
          <cell r="I22">
            <v>9675.7000000000007</v>
          </cell>
          <cell r="J22">
            <v>26.49</v>
          </cell>
          <cell r="K22">
            <v>5719.93</v>
          </cell>
          <cell r="L22">
            <v>37.159999999999997</v>
          </cell>
          <cell r="M22">
            <v>1.24</v>
          </cell>
        </row>
        <row r="23">
          <cell r="A23" t="str">
            <v>FORTLEV</v>
          </cell>
          <cell r="B23">
            <v>45</v>
          </cell>
          <cell r="C23">
            <v>14042.81</v>
          </cell>
          <cell r="D23">
            <v>9.82</v>
          </cell>
          <cell r="E23">
            <v>0</v>
          </cell>
          <cell r="F23">
            <v>0</v>
          </cell>
          <cell r="G23">
            <v>60.5</v>
          </cell>
          <cell r="H23">
            <v>13982.31</v>
          </cell>
          <cell r="I23">
            <v>9578.51</v>
          </cell>
          <cell r="J23">
            <v>39.54</v>
          </cell>
          <cell r="K23">
            <v>4443.34</v>
          </cell>
          <cell r="L23">
            <v>31.73</v>
          </cell>
          <cell r="M23">
            <v>1.1299999999999999</v>
          </cell>
        </row>
        <row r="24">
          <cell r="A24" t="str">
            <v>MEC-TRONIC</v>
          </cell>
          <cell r="B24">
            <v>41</v>
          </cell>
          <cell r="C24">
            <v>13638.86</v>
          </cell>
          <cell r="D24">
            <v>11.2</v>
          </cell>
          <cell r="E24">
            <v>0</v>
          </cell>
          <cell r="F24">
            <v>0</v>
          </cell>
          <cell r="G24">
            <v>60.8</v>
          </cell>
          <cell r="H24">
            <v>13578.06</v>
          </cell>
          <cell r="I24">
            <v>6792.67</v>
          </cell>
          <cell r="J24">
            <v>29.13</v>
          </cell>
          <cell r="K24">
            <v>6814.52</v>
          </cell>
          <cell r="L24">
            <v>50.07</v>
          </cell>
          <cell r="M24">
            <v>1.0900000000000001</v>
          </cell>
        </row>
        <row r="25">
          <cell r="A25" t="str">
            <v>METAIS LEAO</v>
          </cell>
          <cell r="B25">
            <v>37</v>
          </cell>
          <cell r="C25">
            <v>10736.44</v>
          </cell>
          <cell r="D25">
            <v>56.51</v>
          </cell>
          <cell r="E25">
            <v>0</v>
          </cell>
          <cell r="F25">
            <v>0</v>
          </cell>
          <cell r="G25">
            <v>183.8</v>
          </cell>
          <cell r="H25">
            <v>10552.64</v>
          </cell>
          <cell r="I25">
            <v>6261.21</v>
          </cell>
          <cell r="J25">
            <v>108.56</v>
          </cell>
          <cell r="K25">
            <v>4399.99</v>
          </cell>
          <cell r="L25">
            <v>41.4</v>
          </cell>
          <cell r="M25">
            <v>0.86</v>
          </cell>
        </row>
        <row r="26">
          <cell r="A26" t="str">
            <v>GRANPLAST</v>
          </cell>
          <cell r="B26">
            <v>36</v>
          </cell>
          <cell r="C26">
            <v>10131.450000000001</v>
          </cell>
          <cell r="D26">
            <v>16.13</v>
          </cell>
          <cell r="E26">
            <v>0</v>
          </cell>
          <cell r="F26">
            <v>0</v>
          </cell>
          <cell r="G26">
            <v>84.8</v>
          </cell>
          <cell r="H26">
            <v>10046.65</v>
          </cell>
          <cell r="I26">
            <v>5364.04</v>
          </cell>
          <cell r="J26">
            <v>44.8</v>
          </cell>
          <cell r="K26">
            <v>4727.41</v>
          </cell>
          <cell r="L26">
            <v>46.87</v>
          </cell>
          <cell r="M26">
            <v>0.81</v>
          </cell>
        </row>
        <row r="27">
          <cell r="A27" t="str">
            <v>INTECH MACHINE</v>
          </cell>
          <cell r="B27">
            <v>20</v>
          </cell>
          <cell r="C27">
            <v>9720.2999999999993</v>
          </cell>
          <cell r="D27">
            <v>180.01</v>
          </cell>
          <cell r="E27">
            <v>0</v>
          </cell>
          <cell r="F27">
            <v>0</v>
          </cell>
          <cell r="G27">
            <v>0</v>
          </cell>
          <cell r="H27">
            <v>9720.2999999999993</v>
          </cell>
          <cell r="I27">
            <v>6328.68</v>
          </cell>
          <cell r="J27">
            <v>0</v>
          </cell>
          <cell r="K27">
            <v>3391.62</v>
          </cell>
          <cell r="L27">
            <v>34.89</v>
          </cell>
          <cell r="M27">
            <v>0.78</v>
          </cell>
        </row>
        <row r="28">
          <cell r="A28" t="str">
            <v>KRONA</v>
          </cell>
          <cell r="B28">
            <v>46</v>
          </cell>
          <cell r="C28">
            <v>8749.18</v>
          </cell>
          <cell r="D28">
            <v>5.2</v>
          </cell>
          <cell r="E28">
            <v>0</v>
          </cell>
          <cell r="F28">
            <v>0</v>
          </cell>
          <cell r="G28">
            <v>332.22</v>
          </cell>
          <cell r="H28">
            <v>8416.9599999999991</v>
          </cell>
          <cell r="I28">
            <v>5037.6899999999996</v>
          </cell>
          <cell r="J28">
            <v>190.05</v>
          </cell>
          <cell r="K28">
            <v>3569.32</v>
          </cell>
          <cell r="L28">
            <v>41.7</v>
          </cell>
          <cell r="M28">
            <v>0.7</v>
          </cell>
        </row>
        <row r="29">
          <cell r="A29" t="str">
            <v>ANAUGER</v>
          </cell>
          <cell r="B29">
            <v>11</v>
          </cell>
          <cell r="C29">
            <v>7827.73</v>
          </cell>
          <cell r="D29">
            <v>313.11</v>
          </cell>
          <cell r="E29">
            <v>0</v>
          </cell>
          <cell r="F29">
            <v>0</v>
          </cell>
          <cell r="G29">
            <v>0</v>
          </cell>
          <cell r="H29">
            <v>7827.73</v>
          </cell>
          <cell r="I29">
            <v>5410.82</v>
          </cell>
          <cell r="J29">
            <v>0</v>
          </cell>
          <cell r="K29">
            <v>2416.91</v>
          </cell>
          <cell r="L29">
            <v>30.88</v>
          </cell>
          <cell r="M29">
            <v>0.63</v>
          </cell>
        </row>
        <row r="30">
          <cell r="A30" t="str">
            <v>GHEL'PLUS</v>
          </cell>
          <cell r="B30">
            <v>19</v>
          </cell>
          <cell r="C30">
            <v>7747.75</v>
          </cell>
          <cell r="D30">
            <v>98.07</v>
          </cell>
          <cell r="E30">
            <v>0</v>
          </cell>
          <cell r="F30">
            <v>0</v>
          </cell>
          <cell r="G30">
            <v>22.9</v>
          </cell>
          <cell r="H30">
            <v>7724.85</v>
          </cell>
          <cell r="I30">
            <v>4831.51</v>
          </cell>
          <cell r="J30">
            <v>14.08</v>
          </cell>
          <cell r="K30">
            <v>2907.42</v>
          </cell>
          <cell r="L30">
            <v>37.590000000000003</v>
          </cell>
          <cell r="M30">
            <v>0.62</v>
          </cell>
        </row>
        <row r="31">
          <cell r="A31" t="str">
            <v>VEDACIT</v>
          </cell>
          <cell r="B31">
            <v>13</v>
          </cell>
          <cell r="C31">
            <v>7353.78</v>
          </cell>
          <cell r="D31">
            <v>96.76</v>
          </cell>
          <cell r="E31">
            <v>0</v>
          </cell>
          <cell r="F31">
            <v>0</v>
          </cell>
          <cell r="G31">
            <v>0</v>
          </cell>
          <cell r="H31">
            <v>7353.78</v>
          </cell>
          <cell r="I31">
            <v>4245.97</v>
          </cell>
          <cell r="J31">
            <v>0</v>
          </cell>
          <cell r="K31">
            <v>3107.81</v>
          </cell>
          <cell r="L31">
            <v>42.26</v>
          </cell>
          <cell r="M31">
            <v>0.59</v>
          </cell>
        </row>
        <row r="32">
          <cell r="A32" t="str">
            <v>KDK PORTAS</v>
          </cell>
          <cell r="B32">
            <v>17</v>
          </cell>
          <cell r="C32">
            <v>7261.42</v>
          </cell>
          <cell r="D32">
            <v>161.36000000000001</v>
          </cell>
          <cell r="E32">
            <v>0</v>
          </cell>
          <cell r="F32">
            <v>0</v>
          </cell>
          <cell r="G32">
            <v>1418.4</v>
          </cell>
          <cell r="H32">
            <v>5843.02</v>
          </cell>
          <cell r="I32">
            <v>4434.05</v>
          </cell>
          <cell r="J32">
            <v>934.3</v>
          </cell>
          <cell r="K32">
            <v>2343.27</v>
          </cell>
          <cell r="L32">
            <v>37.04</v>
          </cell>
          <cell r="M32">
            <v>0.57999999999999996</v>
          </cell>
        </row>
        <row r="33">
          <cell r="A33" t="str">
            <v>PADO</v>
          </cell>
          <cell r="B33">
            <v>12</v>
          </cell>
          <cell r="C33">
            <v>6781.16</v>
          </cell>
          <cell r="D33">
            <v>48.44</v>
          </cell>
          <cell r="E33">
            <v>0</v>
          </cell>
          <cell r="F33">
            <v>0</v>
          </cell>
          <cell r="G33">
            <v>82.9</v>
          </cell>
          <cell r="H33">
            <v>6698.26</v>
          </cell>
          <cell r="I33">
            <v>3753.03</v>
          </cell>
          <cell r="J33">
            <v>43.58</v>
          </cell>
          <cell r="K33">
            <v>2988.81</v>
          </cell>
          <cell r="L33">
            <v>44.36</v>
          </cell>
          <cell r="M33">
            <v>0.54</v>
          </cell>
        </row>
        <row r="34">
          <cell r="A34" t="str">
            <v>SILVANA</v>
          </cell>
          <cell r="B34">
            <v>23</v>
          </cell>
          <cell r="C34">
            <v>6684.43</v>
          </cell>
          <cell r="D34">
            <v>25.04</v>
          </cell>
          <cell r="E34">
            <v>0</v>
          </cell>
          <cell r="F34">
            <v>0</v>
          </cell>
          <cell r="G34">
            <v>138.30000000000001</v>
          </cell>
          <cell r="H34">
            <v>6546.13</v>
          </cell>
          <cell r="I34">
            <v>3854.75</v>
          </cell>
          <cell r="J34">
            <v>77.37</v>
          </cell>
          <cell r="K34">
            <v>2768.75</v>
          </cell>
          <cell r="L34">
            <v>41.91</v>
          </cell>
          <cell r="M34">
            <v>0.54</v>
          </cell>
        </row>
        <row r="35">
          <cell r="A35" t="str">
            <v>VIQUA</v>
          </cell>
          <cell r="B35">
            <v>27</v>
          </cell>
          <cell r="C35">
            <v>6670.51</v>
          </cell>
          <cell r="D35">
            <v>36.450000000000003</v>
          </cell>
          <cell r="E35">
            <v>0</v>
          </cell>
          <cell r="F35">
            <v>0</v>
          </cell>
          <cell r="G35">
            <v>103.7</v>
          </cell>
          <cell r="H35">
            <v>6566.81</v>
          </cell>
          <cell r="I35">
            <v>4113.95</v>
          </cell>
          <cell r="J35">
            <v>64.03</v>
          </cell>
          <cell r="K35">
            <v>2516.89</v>
          </cell>
          <cell r="L35">
            <v>38.1</v>
          </cell>
          <cell r="M35">
            <v>0.53</v>
          </cell>
        </row>
        <row r="36">
          <cell r="A36" t="str">
            <v>MGM</v>
          </cell>
          <cell r="B36">
            <v>12</v>
          </cell>
          <cell r="C36">
            <v>6502.85</v>
          </cell>
          <cell r="D36">
            <v>382.52</v>
          </cell>
          <cell r="E36">
            <v>0</v>
          </cell>
          <cell r="F36">
            <v>0</v>
          </cell>
          <cell r="G36">
            <v>368.5</v>
          </cell>
          <cell r="H36">
            <v>6134.35</v>
          </cell>
          <cell r="I36">
            <v>3863.66</v>
          </cell>
          <cell r="J36">
            <v>227.2</v>
          </cell>
          <cell r="K36">
            <v>2497.89</v>
          </cell>
          <cell r="L36">
            <v>39.799999999999997</v>
          </cell>
          <cell r="M36">
            <v>0.52</v>
          </cell>
        </row>
        <row r="37">
          <cell r="A37" t="str">
            <v>BELLA PIA</v>
          </cell>
          <cell r="B37">
            <v>16</v>
          </cell>
          <cell r="C37">
            <v>6412.59</v>
          </cell>
          <cell r="D37">
            <v>206.86</v>
          </cell>
          <cell r="E37">
            <v>0</v>
          </cell>
          <cell r="F37">
            <v>0</v>
          </cell>
          <cell r="G37">
            <v>477.8</v>
          </cell>
          <cell r="H37">
            <v>5934.79</v>
          </cell>
          <cell r="I37">
            <v>4029.31</v>
          </cell>
          <cell r="J37">
            <v>279.06</v>
          </cell>
          <cell r="K37">
            <v>2184.54</v>
          </cell>
          <cell r="L37">
            <v>35.619999999999997</v>
          </cell>
          <cell r="M37">
            <v>0.51</v>
          </cell>
        </row>
        <row r="38">
          <cell r="A38" t="str">
            <v>REALLE</v>
          </cell>
          <cell r="B38">
            <v>11</v>
          </cell>
          <cell r="C38">
            <v>6312.3678</v>
          </cell>
          <cell r="D38">
            <v>29.92</v>
          </cell>
          <cell r="E38">
            <v>0</v>
          </cell>
          <cell r="F38">
            <v>0</v>
          </cell>
          <cell r="G38">
            <v>0</v>
          </cell>
          <cell r="H38">
            <v>6312.3678</v>
          </cell>
          <cell r="I38">
            <v>3957.9515999999999</v>
          </cell>
          <cell r="J38">
            <v>0</v>
          </cell>
          <cell r="K38">
            <v>2354.4162000000001</v>
          </cell>
          <cell r="L38">
            <v>37.299999999999997</v>
          </cell>
          <cell r="M38">
            <v>0.51</v>
          </cell>
        </row>
        <row r="39">
          <cell r="A39" t="str">
            <v>BLACK DECKER</v>
          </cell>
          <cell r="B39">
            <v>11</v>
          </cell>
          <cell r="C39">
            <v>5152.6499999999996</v>
          </cell>
          <cell r="D39">
            <v>33.03</v>
          </cell>
          <cell r="E39">
            <v>0</v>
          </cell>
          <cell r="F39">
            <v>0</v>
          </cell>
          <cell r="G39">
            <v>55.99</v>
          </cell>
          <cell r="H39">
            <v>5096.66</v>
          </cell>
          <cell r="I39">
            <v>2950.58</v>
          </cell>
          <cell r="J39">
            <v>31.88</v>
          </cell>
          <cell r="K39">
            <v>2177.96</v>
          </cell>
          <cell r="L39">
            <v>42.53</v>
          </cell>
          <cell r="M39">
            <v>0.41</v>
          </cell>
        </row>
        <row r="40">
          <cell r="A40" t="str">
            <v>LUCONI</v>
          </cell>
          <cell r="B40">
            <v>48</v>
          </cell>
          <cell r="C40">
            <v>4644.6099999999997</v>
          </cell>
          <cell r="D40">
            <v>11.03</v>
          </cell>
          <cell r="E40">
            <v>0</v>
          </cell>
          <cell r="F40">
            <v>0</v>
          </cell>
          <cell r="G40">
            <v>41.8</v>
          </cell>
          <cell r="H40">
            <v>4602.8100000000004</v>
          </cell>
          <cell r="I40">
            <v>2246.86</v>
          </cell>
          <cell r="J40">
            <v>19.66</v>
          </cell>
          <cell r="K40">
            <v>2375.61</v>
          </cell>
          <cell r="L40">
            <v>51.37</v>
          </cell>
          <cell r="M40">
            <v>0.37</v>
          </cell>
        </row>
        <row r="41">
          <cell r="A41" t="str">
            <v>BLUKIT</v>
          </cell>
          <cell r="B41">
            <v>28</v>
          </cell>
          <cell r="C41">
            <v>4266.29</v>
          </cell>
          <cell r="D41">
            <v>18.39</v>
          </cell>
          <cell r="E41">
            <v>0</v>
          </cell>
          <cell r="F41">
            <v>0</v>
          </cell>
          <cell r="G41">
            <v>152.41</v>
          </cell>
          <cell r="H41">
            <v>4113.88</v>
          </cell>
          <cell r="I41">
            <v>2599.29</v>
          </cell>
          <cell r="J41">
            <v>92.12</v>
          </cell>
          <cell r="K41">
            <v>1606.71</v>
          </cell>
          <cell r="L41">
            <v>38.49</v>
          </cell>
          <cell r="M41">
            <v>0.34</v>
          </cell>
        </row>
        <row r="42">
          <cell r="A42" t="str">
            <v>ASTRA</v>
          </cell>
          <cell r="B42">
            <v>27</v>
          </cell>
          <cell r="C42">
            <v>3755.38</v>
          </cell>
          <cell r="D42">
            <v>20.079999999999998</v>
          </cell>
          <cell r="E42">
            <v>0</v>
          </cell>
          <cell r="F42">
            <v>0</v>
          </cell>
          <cell r="G42">
            <v>8.5</v>
          </cell>
          <cell r="H42">
            <v>3746.88</v>
          </cell>
          <cell r="I42">
            <v>2169.31</v>
          </cell>
          <cell r="J42">
            <v>4.78</v>
          </cell>
          <cell r="K42">
            <v>1582.35</v>
          </cell>
          <cell r="L42">
            <v>42.19</v>
          </cell>
          <cell r="M42">
            <v>0.3</v>
          </cell>
        </row>
        <row r="43">
          <cell r="A43" t="str">
            <v>CENSI</v>
          </cell>
          <cell r="B43">
            <v>24</v>
          </cell>
          <cell r="C43">
            <v>3742.85</v>
          </cell>
          <cell r="D43">
            <v>29.94</v>
          </cell>
          <cell r="E43">
            <v>0</v>
          </cell>
          <cell r="F43">
            <v>0</v>
          </cell>
          <cell r="G43">
            <v>12.3</v>
          </cell>
          <cell r="H43">
            <v>3730.55</v>
          </cell>
          <cell r="I43">
            <v>2242.16</v>
          </cell>
          <cell r="J43">
            <v>7.57</v>
          </cell>
          <cell r="K43">
            <v>1495.96</v>
          </cell>
          <cell r="L43">
            <v>40.049999999999997</v>
          </cell>
          <cell r="M43">
            <v>0.3</v>
          </cell>
        </row>
        <row r="44">
          <cell r="A44" t="str">
            <v>PRATEFIX</v>
          </cell>
          <cell r="B44">
            <v>8</v>
          </cell>
          <cell r="C44">
            <v>3733.85</v>
          </cell>
          <cell r="D44">
            <v>35.9</v>
          </cell>
          <cell r="E44">
            <v>0</v>
          </cell>
          <cell r="F44">
            <v>0</v>
          </cell>
          <cell r="G44">
            <v>0</v>
          </cell>
          <cell r="H44">
            <v>3733.85</v>
          </cell>
          <cell r="I44">
            <v>2029.77</v>
          </cell>
          <cell r="J44">
            <v>0</v>
          </cell>
          <cell r="K44">
            <v>1704.08</v>
          </cell>
          <cell r="L44">
            <v>45.64</v>
          </cell>
          <cell r="M44">
            <v>0.3</v>
          </cell>
        </row>
        <row r="45">
          <cell r="A45" t="str">
            <v>MARLUVAS</v>
          </cell>
          <cell r="B45">
            <v>4</v>
          </cell>
          <cell r="C45">
            <v>3722.5</v>
          </cell>
          <cell r="D45">
            <v>82.72</v>
          </cell>
          <cell r="E45">
            <v>0</v>
          </cell>
          <cell r="F45">
            <v>0</v>
          </cell>
          <cell r="G45">
            <v>97.9</v>
          </cell>
          <cell r="H45">
            <v>3624.6</v>
          </cell>
          <cell r="I45">
            <v>2240.3000000000002</v>
          </cell>
          <cell r="J45">
            <v>62.71</v>
          </cell>
          <cell r="K45">
            <v>1447.01</v>
          </cell>
          <cell r="L45">
            <v>39.54</v>
          </cell>
          <cell r="M45">
            <v>0.3</v>
          </cell>
        </row>
        <row r="46">
          <cell r="A46" t="str">
            <v>DOCOL METAIS</v>
          </cell>
          <cell r="B46">
            <v>11</v>
          </cell>
          <cell r="C46">
            <v>3706.16</v>
          </cell>
          <cell r="D46">
            <v>72.67</v>
          </cell>
          <cell r="E46">
            <v>0</v>
          </cell>
          <cell r="F46">
            <v>0</v>
          </cell>
          <cell r="G46">
            <v>117.8</v>
          </cell>
          <cell r="H46">
            <v>3588.36</v>
          </cell>
          <cell r="I46">
            <v>2213.25</v>
          </cell>
          <cell r="J46">
            <v>70.19</v>
          </cell>
          <cell r="K46">
            <v>1445.3</v>
          </cell>
          <cell r="L46">
            <v>39.75</v>
          </cell>
          <cell r="M46">
            <v>0.3</v>
          </cell>
        </row>
        <row r="47">
          <cell r="A47" t="str">
            <v>NORTON</v>
          </cell>
          <cell r="B47">
            <v>30</v>
          </cell>
          <cell r="C47">
            <v>3611.07</v>
          </cell>
          <cell r="D47">
            <v>2.89</v>
          </cell>
          <cell r="E47">
            <v>0</v>
          </cell>
          <cell r="F47">
            <v>0</v>
          </cell>
          <cell r="G47">
            <v>30.6</v>
          </cell>
          <cell r="H47">
            <v>3580.47</v>
          </cell>
          <cell r="I47">
            <v>1793.66</v>
          </cell>
          <cell r="J47">
            <v>15.12</v>
          </cell>
          <cell r="K47">
            <v>1801.93</v>
          </cell>
          <cell r="L47">
            <v>50.11</v>
          </cell>
          <cell r="M47">
            <v>0.28999999999999998</v>
          </cell>
        </row>
        <row r="48">
          <cell r="A48" t="str">
            <v>PULVITEC</v>
          </cell>
          <cell r="B48">
            <v>35</v>
          </cell>
          <cell r="C48">
            <v>3490.12</v>
          </cell>
          <cell r="D48">
            <v>8.4700000000000006</v>
          </cell>
          <cell r="E48">
            <v>0</v>
          </cell>
          <cell r="F48">
            <v>0</v>
          </cell>
          <cell r="G48">
            <v>0</v>
          </cell>
          <cell r="H48">
            <v>3490.12</v>
          </cell>
          <cell r="I48">
            <v>1708.24</v>
          </cell>
          <cell r="J48">
            <v>0</v>
          </cell>
          <cell r="K48">
            <v>1781.88</v>
          </cell>
          <cell r="L48">
            <v>51.05</v>
          </cell>
          <cell r="M48">
            <v>0.28000000000000003</v>
          </cell>
        </row>
        <row r="49">
          <cell r="A49" t="str">
            <v>NAWA COM ATAC VAR PROD LAR E L</v>
          </cell>
          <cell r="B49">
            <v>6</v>
          </cell>
          <cell r="C49">
            <v>3482.5</v>
          </cell>
          <cell r="D49">
            <v>267.88</v>
          </cell>
          <cell r="E49">
            <v>0</v>
          </cell>
          <cell r="F49">
            <v>0</v>
          </cell>
          <cell r="G49">
            <v>0</v>
          </cell>
          <cell r="H49">
            <v>3482.5</v>
          </cell>
          <cell r="I49">
            <v>2033.79</v>
          </cell>
          <cell r="J49">
            <v>0</v>
          </cell>
          <cell r="K49">
            <v>1448.71</v>
          </cell>
          <cell r="L49">
            <v>41.6</v>
          </cell>
          <cell r="M49">
            <v>0.28000000000000003</v>
          </cell>
        </row>
        <row r="50">
          <cell r="A50" t="str">
            <v>LEDVANCE</v>
          </cell>
          <cell r="B50">
            <v>10</v>
          </cell>
          <cell r="C50">
            <v>3393.09</v>
          </cell>
          <cell r="D50">
            <v>11.99</v>
          </cell>
          <cell r="E50">
            <v>0</v>
          </cell>
          <cell r="F50">
            <v>0</v>
          </cell>
          <cell r="G50">
            <v>0</v>
          </cell>
          <cell r="H50">
            <v>3393.09</v>
          </cell>
          <cell r="I50">
            <v>1995.26</v>
          </cell>
          <cell r="J50">
            <v>0</v>
          </cell>
          <cell r="K50">
            <v>1397.83</v>
          </cell>
          <cell r="L50">
            <v>41.2</v>
          </cell>
          <cell r="M50">
            <v>0.27</v>
          </cell>
        </row>
        <row r="51">
          <cell r="A51" t="str">
            <v>HERC</v>
          </cell>
          <cell r="B51">
            <v>17</v>
          </cell>
          <cell r="C51">
            <v>3326.81</v>
          </cell>
          <cell r="D51">
            <v>22.79</v>
          </cell>
          <cell r="E51">
            <v>0</v>
          </cell>
          <cell r="F51">
            <v>0</v>
          </cell>
          <cell r="G51">
            <v>31.79</v>
          </cell>
          <cell r="H51">
            <v>3295.02</v>
          </cell>
          <cell r="I51">
            <v>1805.84</v>
          </cell>
          <cell r="J51">
            <v>16.489999999999998</v>
          </cell>
          <cell r="K51">
            <v>1505.67</v>
          </cell>
          <cell r="L51">
            <v>45.48</v>
          </cell>
          <cell r="M51">
            <v>0.27</v>
          </cell>
        </row>
        <row r="52">
          <cell r="A52" t="str">
            <v>LEGRAND</v>
          </cell>
          <cell r="B52">
            <v>14</v>
          </cell>
          <cell r="C52">
            <v>3260.42</v>
          </cell>
          <cell r="D52">
            <v>15.6</v>
          </cell>
          <cell r="E52">
            <v>0</v>
          </cell>
          <cell r="F52">
            <v>0</v>
          </cell>
          <cell r="G52">
            <v>59.6</v>
          </cell>
          <cell r="H52">
            <v>3200.82</v>
          </cell>
          <cell r="I52">
            <v>1972.32</v>
          </cell>
          <cell r="J52">
            <v>38.159999999999997</v>
          </cell>
          <cell r="K52">
            <v>1266.6600000000001</v>
          </cell>
          <cell r="L52">
            <v>39.31</v>
          </cell>
          <cell r="M52">
            <v>0.26</v>
          </cell>
        </row>
        <row r="53">
          <cell r="A53" t="str">
            <v>VONDER</v>
          </cell>
          <cell r="B53">
            <v>4</v>
          </cell>
          <cell r="C53">
            <v>3212.67</v>
          </cell>
          <cell r="D53">
            <v>29.47</v>
          </cell>
          <cell r="E53">
            <v>0</v>
          </cell>
          <cell r="F53">
            <v>0</v>
          </cell>
          <cell r="G53">
            <v>31.8</v>
          </cell>
          <cell r="H53">
            <v>3180.87</v>
          </cell>
          <cell r="I53">
            <v>1845.94</v>
          </cell>
          <cell r="J53">
            <v>14.36</v>
          </cell>
          <cell r="K53">
            <v>1349.29</v>
          </cell>
          <cell r="L53">
            <v>42.19</v>
          </cell>
          <cell r="M53">
            <v>0.26</v>
          </cell>
        </row>
        <row r="54">
          <cell r="A54" t="str">
            <v>TAF</v>
          </cell>
          <cell r="B54">
            <v>16</v>
          </cell>
          <cell r="C54">
            <v>2698.93</v>
          </cell>
          <cell r="D54">
            <v>19.14</v>
          </cell>
          <cell r="E54">
            <v>0</v>
          </cell>
          <cell r="F54">
            <v>0</v>
          </cell>
          <cell r="G54">
            <v>67.099999999999994</v>
          </cell>
          <cell r="H54">
            <v>2631.83</v>
          </cell>
          <cell r="I54">
            <v>1522.94</v>
          </cell>
          <cell r="J54">
            <v>39.76</v>
          </cell>
          <cell r="K54">
            <v>1148.6500000000001</v>
          </cell>
          <cell r="L54">
            <v>43.2</v>
          </cell>
          <cell r="M54">
            <v>0.22</v>
          </cell>
        </row>
        <row r="55">
          <cell r="A55" t="str">
            <v>DUDA</v>
          </cell>
          <cell r="B55">
            <v>4</v>
          </cell>
          <cell r="C55">
            <v>2679.288</v>
          </cell>
          <cell r="D55">
            <v>33.74</v>
          </cell>
          <cell r="E55">
            <v>0</v>
          </cell>
          <cell r="F55">
            <v>0</v>
          </cell>
          <cell r="G55">
            <v>0</v>
          </cell>
          <cell r="H55">
            <v>2679.288</v>
          </cell>
          <cell r="I55">
            <v>1561.4680000000001</v>
          </cell>
          <cell r="J55">
            <v>0</v>
          </cell>
          <cell r="K55">
            <v>1117.82</v>
          </cell>
          <cell r="L55">
            <v>41.72</v>
          </cell>
          <cell r="M55">
            <v>0.21</v>
          </cell>
        </row>
        <row r="56">
          <cell r="A56" t="str">
            <v>ADERE</v>
          </cell>
          <cell r="B56">
            <v>17</v>
          </cell>
          <cell r="C56">
            <v>2661.82</v>
          </cell>
          <cell r="D56">
            <v>10.82</v>
          </cell>
          <cell r="E56">
            <v>0</v>
          </cell>
          <cell r="F56">
            <v>0</v>
          </cell>
          <cell r="G56">
            <v>0</v>
          </cell>
          <cell r="H56">
            <v>2661.82</v>
          </cell>
          <cell r="I56">
            <v>1570.14</v>
          </cell>
          <cell r="J56">
            <v>0</v>
          </cell>
          <cell r="K56">
            <v>1091.68</v>
          </cell>
          <cell r="L56">
            <v>41.01</v>
          </cell>
          <cell r="M56">
            <v>0.21</v>
          </cell>
        </row>
        <row r="57">
          <cell r="A57" t="str">
            <v>BOTAFOGO</v>
          </cell>
          <cell r="B57">
            <v>5</v>
          </cell>
          <cell r="C57">
            <v>2559.5</v>
          </cell>
          <cell r="D57">
            <v>426.58</v>
          </cell>
          <cell r="E57">
            <v>0</v>
          </cell>
          <cell r="F57">
            <v>0</v>
          </cell>
          <cell r="G57">
            <v>0</v>
          </cell>
          <cell r="H57">
            <v>2559.5</v>
          </cell>
          <cell r="I57">
            <v>1540.44</v>
          </cell>
          <cell r="J57">
            <v>0</v>
          </cell>
          <cell r="K57">
            <v>1019.06</v>
          </cell>
          <cell r="L57">
            <v>39.81</v>
          </cell>
          <cell r="M57">
            <v>0.21</v>
          </cell>
        </row>
        <row r="58">
          <cell r="A58" t="str">
            <v>BRASFORMA</v>
          </cell>
          <cell r="B58">
            <v>4</v>
          </cell>
          <cell r="C58">
            <v>2514.14</v>
          </cell>
          <cell r="D58">
            <v>48.35</v>
          </cell>
          <cell r="E58">
            <v>0</v>
          </cell>
          <cell r="F58">
            <v>0</v>
          </cell>
          <cell r="G58">
            <v>0</v>
          </cell>
          <cell r="H58">
            <v>2514.14</v>
          </cell>
          <cell r="I58">
            <v>1456.87</v>
          </cell>
          <cell r="J58">
            <v>0</v>
          </cell>
          <cell r="K58">
            <v>1057.27</v>
          </cell>
          <cell r="L58">
            <v>42.05</v>
          </cell>
          <cell r="M58">
            <v>0.2</v>
          </cell>
        </row>
        <row r="59">
          <cell r="A59" t="str">
            <v>PLASTMAR IND E COM</v>
          </cell>
          <cell r="B59">
            <v>6</v>
          </cell>
          <cell r="C59">
            <v>2506.1</v>
          </cell>
          <cell r="D59">
            <v>39.159999999999997</v>
          </cell>
          <cell r="E59">
            <v>0</v>
          </cell>
          <cell r="F59">
            <v>0</v>
          </cell>
          <cell r="G59">
            <v>26.9</v>
          </cell>
          <cell r="H59">
            <v>2479.1999999999998</v>
          </cell>
          <cell r="I59">
            <v>1450.79</v>
          </cell>
          <cell r="J59">
            <v>14.46</v>
          </cell>
          <cell r="K59">
            <v>1042.8699999999999</v>
          </cell>
          <cell r="L59">
            <v>41.85</v>
          </cell>
          <cell r="M59">
            <v>0.2</v>
          </cell>
        </row>
        <row r="60">
          <cell r="A60" t="str">
            <v>CORTAG</v>
          </cell>
          <cell r="B60">
            <v>13</v>
          </cell>
          <cell r="C60">
            <v>2441.4299999999998</v>
          </cell>
          <cell r="D60">
            <v>24.91</v>
          </cell>
          <cell r="E60">
            <v>0</v>
          </cell>
          <cell r="F60">
            <v>0</v>
          </cell>
          <cell r="G60">
            <v>59.8</v>
          </cell>
          <cell r="H60">
            <v>2381.63</v>
          </cell>
          <cell r="I60">
            <v>1405.34</v>
          </cell>
          <cell r="J60">
            <v>29.22</v>
          </cell>
          <cell r="K60">
            <v>1005.51</v>
          </cell>
          <cell r="L60">
            <v>41.68</v>
          </cell>
          <cell r="M60">
            <v>0.2</v>
          </cell>
        </row>
        <row r="61">
          <cell r="A61" t="str">
            <v>FRANKLIN</v>
          </cell>
          <cell r="B61">
            <v>3</v>
          </cell>
          <cell r="C61">
            <v>2429.6999999999998</v>
          </cell>
          <cell r="D61">
            <v>809.9</v>
          </cell>
          <cell r="E61">
            <v>0</v>
          </cell>
          <cell r="F61">
            <v>0</v>
          </cell>
          <cell r="G61">
            <v>0</v>
          </cell>
          <cell r="H61">
            <v>2429.6999999999998</v>
          </cell>
          <cell r="I61">
            <v>1493.07</v>
          </cell>
          <cell r="J61">
            <v>0</v>
          </cell>
          <cell r="K61">
            <v>936.63</v>
          </cell>
          <cell r="L61">
            <v>38.549999999999997</v>
          </cell>
          <cell r="M61">
            <v>0.19</v>
          </cell>
        </row>
        <row r="62">
          <cell r="A62" t="str">
            <v>PRATIMIX</v>
          </cell>
          <cell r="B62">
            <v>27</v>
          </cell>
          <cell r="C62">
            <v>2353.4</v>
          </cell>
          <cell r="D62">
            <v>10.7</v>
          </cell>
          <cell r="E62">
            <v>0</v>
          </cell>
          <cell r="F62">
            <v>0</v>
          </cell>
          <cell r="G62">
            <v>26.49</v>
          </cell>
          <cell r="H62">
            <v>2326.91</v>
          </cell>
          <cell r="I62">
            <v>1358.46</v>
          </cell>
          <cell r="J62">
            <v>15.03</v>
          </cell>
          <cell r="K62">
            <v>983.48</v>
          </cell>
          <cell r="L62">
            <v>42.06</v>
          </cell>
          <cell r="M62">
            <v>0.19</v>
          </cell>
        </row>
        <row r="63">
          <cell r="A63" t="str">
            <v>EXATRON</v>
          </cell>
          <cell r="B63">
            <v>5</v>
          </cell>
          <cell r="C63">
            <v>2059.2399999999998</v>
          </cell>
          <cell r="D63">
            <v>55.66</v>
          </cell>
          <cell r="E63">
            <v>0</v>
          </cell>
          <cell r="F63">
            <v>0</v>
          </cell>
          <cell r="G63">
            <v>129.52000000000001</v>
          </cell>
          <cell r="H63">
            <v>1929.72</v>
          </cell>
          <cell r="I63">
            <v>1161.9100000000001</v>
          </cell>
          <cell r="J63">
            <v>68.95</v>
          </cell>
          <cell r="K63">
            <v>836.76</v>
          </cell>
          <cell r="L63">
            <v>42.04</v>
          </cell>
          <cell r="M63">
            <v>0.17</v>
          </cell>
        </row>
        <row r="64">
          <cell r="A64" t="str">
            <v>ALIANÇA</v>
          </cell>
          <cell r="B64">
            <v>4</v>
          </cell>
          <cell r="C64">
            <v>2018.76</v>
          </cell>
          <cell r="D64">
            <v>63.09</v>
          </cell>
          <cell r="E64">
            <v>0</v>
          </cell>
          <cell r="F64">
            <v>0</v>
          </cell>
          <cell r="G64">
            <v>78.900000000000006</v>
          </cell>
          <cell r="H64">
            <v>1939.86</v>
          </cell>
          <cell r="I64">
            <v>1270.9000000000001</v>
          </cell>
          <cell r="J64">
            <v>45.44</v>
          </cell>
          <cell r="K64">
            <v>714.4</v>
          </cell>
          <cell r="L64">
            <v>36.200000000000003</v>
          </cell>
          <cell r="M64">
            <v>0.16</v>
          </cell>
        </row>
        <row r="65">
          <cell r="A65" t="str">
            <v>STARRETT INDUSTRIA E COMERCIO</v>
          </cell>
          <cell r="B65">
            <v>11</v>
          </cell>
          <cell r="C65">
            <v>1930.12</v>
          </cell>
          <cell r="D65">
            <v>13.59</v>
          </cell>
          <cell r="E65">
            <v>0</v>
          </cell>
          <cell r="F65">
            <v>0</v>
          </cell>
          <cell r="G65">
            <v>15.7</v>
          </cell>
          <cell r="H65">
            <v>1914.42</v>
          </cell>
          <cell r="I65">
            <v>1057.23</v>
          </cell>
          <cell r="J65">
            <v>8.34</v>
          </cell>
          <cell r="K65">
            <v>865.53</v>
          </cell>
          <cell r="L65">
            <v>45.04</v>
          </cell>
          <cell r="M65">
            <v>0.15</v>
          </cell>
        </row>
        <row r="66">
          <cell r="A66" t="str">
            <v>LGMAIS</v>
          </cell>
          <cell r="B66">
            <v>4</v>
          </cell>
          <cell r="C66">
            <v>1775.92</v>
          </cell>
          <cell r="D66">
            <v>118.39</v>
          </cell>
          <cell r="E66">
            <v>0</v>
          </cell>
          <cell r="F66">
            <v>0</v>
          </cell>
          <cell r="G66">
            <v>319.8</v>
          </cell>
          <cell r="H66">
            <v>1456.12</v>
          </cell>
          <cell r="I66">
            <v>1049.53</v>
          </cell>
          <cell r="J66">
            <v>189.6</v>
          </cell>
          <cell r="K66">
            <v>596.19000000000005</v>
          </cell>
          <cell r="L66">
            <v>37.58</v>
          </cell>
          <cell r="M66">
            <v>0.14000000000000001</v>
          </cell>
        </row>
        <row r="67">
          <cell r="A67" t="str">
            <v>ILUMI</v>
          </cell>
          <cell r="B67">
            <v>11</v>
          </cell>
          <cell r="C67">
            <v>1593.79</v>
          </cell>
          <cell r="D67">
            <v>11.55</v>
          </cell>
          <cell r="E67">
            <v>0</v>
          </cell>
          <cell r="F67">
            <v>0</v>
          </cell>
          <cell r="G67">
            <v>18.3</v>
          </cell>
          <cell r="H67">
            <v>1575.49</v>
          </cell>
          <cell r="I67">
            <v>907.82</v>
          </cell>
          <cell r="J67">
            <v>9.16</v>
          </cell>
          <cell r="K67">
            <v>676.83</v>
          </cell>
          <cell r="L67">
            <v>42.71</v>
          </cell>
          <cell r="M67">
            <v>0.13</v>
          </cell>
        </row>
        <row r="68">
          <cell r="A68" t="str">
            <v>ARAFORROS</v>
          </cell>
          <cell r="B68">
            <v>7</v>
          </cell>
          <cell r="C68">
            <v>1572.9</v>
          </cell>
          <cell r="D68">
            <v>142.99</v>
          </cell>
          <cell r="E68">
            <v>0</v>
          </cell>
          <cell r="F68">
            <v>0</v>
          </cell>
          <cell r="G68">
            <v>0</v>
          </cell>
          <cell r="H68">
            <v>1572.9</v>
          </cell>
          <cell r="I68">
            <v>917.29</v>
          </cell>
          <cell r="J68">
            <v>0</v>
          </cell>
          <cell r="K68">
            <v>655.61</v>
          </cell>
          <cell r="L68">
            <v>41.68</v>
          </cell>
          <cell r="M68">
            <v>0.13</v>
          </cell>
        </row>
        <row r="69">
          <cell r="A69" t="str">
            <v>INCESA</v>
          </cell>
          <cell r="B69">
            <v>4</v>
          </cell>
          <cell r="C69">
            <v>1536</v>
          </cell>
          <cell r="D69">
            <v>43.89</v>
          </cell>
          <cell r="E69">
            <v>0</v>
          </cell>
          <cell r="F69">
            <v>0</v>
          </cell>
          <cell r="G69">
            <v>0</v>
          </cell>
          <cell r="H69">
            <v>1536</v>
          </cell>
          <cell r="I69">
            <v>668.45</v>
          </cell>
          <cell r="J69">
            <v>0</v>
          </cell>
          <cell r="K69">
            <v>867.55</v>
          </cell>
          <cell r="L69">
            <v>56.48</v>
          </cell>
          <cell r="M69">
            <v>0.12</v>
          </cell>
        </row>
        <row r="70">
          <cell r="A70" t="str">
            <v>BEMFIXA</v>
          </cell>
          <cell r="B70">
            <v>14</v>
          </cell>
          <cell r="C70">
            <v>1493.06</v>
          </cell>
          <cell r="D70">
            <v>12.55</v>
          </cell>
          <cell r="E70">
            <v>0</v>
          </cell>
          <cell r="F70">
            <v>0</v>
          </cell>
          <cell r="G70">
            <v>21.95</v>
          </cell>
          <cell r="H70">
            <v>1471.11</v>
          </cell>
          <cell r="I70">
            <v>902.79</v>
          </cell>
          <cell r="J70">
            <v>13.99</v>
          </cell>
          <cell r="K70">
            <v>582.30999999999995</v>
          </cell>
          <cell r="L70">
            <v>39.369999999999997</v>
          </cell>
          <cell r="M70">
            <v>0.12</v>
          </cell>
        </row>
        <row r="71">
          <cell r="A71" t="str">
            <v>TRAMONTINA</v>
          </cell>
          <cell r="B71">
            <v>5</v>
          </cell>
          <cell r="C71">
            <v>1462.59</v>
          </cell>
          <cell r="D71">
            <v>47.18</v>
          </cell>
          <cell r="E71">
            <v>0</v>
          </cell>
          <cell r="F71">
            <v>0</v>
          </cell>
          <cell r="G71">
            <v>0</v>
          </cell>
          <cell r="H71">
            <v>1462.59</v>
          </cell>
          <cell r="I71">
            <v>900.65</v>
          </cell>
          <cell r="J71">
            <v>0</v>
          </cell>
          <cell r="K71">
            <v>561.94000000000005</v>
          </cell>
          <cell r="L71">
            <v>38.42</v>
          </cell>
          <cell r="M71">
            <v>0.12</v>
          </cell>
        </row>
        <row r="72">
          <cell r="A72" t="str">
            <v>PADRAO FORTE</v>
          </cell>
          <cell r="B72">
            <v>7</v>
          </cell>
          <cell r="C72">
            <v>1449.03</v>
          </cell>
          <cell r="D72">
            <v>41.4</v>
          </cell>
          <cell r="E72">
            <v>0</v>
          </cell>
          <cell r="F72">
            <v>0</v>
          </cell>
          <cell r="G72">
            <v>399.9</v>
          </cell>
          <cell r="H72">
            <v>1049.1300000000001</v>
          </cell>
          <cell r="I72">
            <v>859.36</v>
          </cell>
          <cell r="J72">
            <v>235.6</v>
          </cell>
          <cell r="K72">
            <v>425.37</v>
          </cell>
          <cell r="L72">
            <v>35.06</v>
          </cell>
          <cell r="M72">
            <v>0.12</v>
          </cell>
        </row>
        <row r="73">
          <cell r="A73" t="str">
            <v>Momfort</v>
          </cell>
          <cell r="B73">
            <v>8</v>
          </cell>
          <cell r="C73">
            <v>1395.2</v>
          </cell>
          <cell r="D73">
            <v>34.03</v>
          </cell>
          <cell r="E73">
            <v>0</v>
          </cell>
          <cell r="F73">
            <v>0</v>
          </cell>
          <cell r="G73">
            <v>0</v>
          </cell>
          <cell r="H73">
            <v>1395.2</v>
          </cell>
          <cell r="I73">
            <v>763.23</v>
          </cell>
          <cell r="J73">
            <v>0</v>
          </cell>
          <cell r="K73">
            <v>631.97</v>
          </cell>
          <cell r="L73">
            <v>45.3</v>
          </cell>
          <cell r="M73">
            <v>0.11</v>
          </cell>
        </row>
        <row r="74">
          <cell r="A74" t="str">
            <v>BOGNAR</v>
          </cell>
          <cell r="B74">
            <v>6</v>
          </cell>
          <cell r="C74">
            <v>1387.94</v>
          </cell>
          <cell r="D74">
            <v>46.26</v>
          </cell>
          <cell r="E74">
            <v>0</v>
          </cell>
          <cell r="F74">
            <v>0</v>
          </cell>
          <cell r="G74">
            <v>0</v>
          </cell>
          <cell r="H74">
            <v>1387.94</v>
          </cell>
          <cell r="I74">
            <v>839.5</v>
          </cell>
          <cell r="J74">
            <v>0</v>
          </cell>
          <cell r="K74">
            <v>548.44000000000005</v>
          </cell>
          <cell r="L74">
            <v>39.51</v>
          </cell>
          <cell r="M74">
            <v>0.11</v>
          </cell>
        </row>
        <row r="75">
          <cell r="A75" t="str">
            <v>FORTLINE</v>
          </cell>
          <cell r="B75">
            <v>3</v>
          </cell>
          <cell r="C75">
            <v>1366.24</v>
          </cell>
          <cell r="D75">
            <v>85.39</v>
          </cell>
          <cell r="E75">
            <v>0</v>
          </cell>
          <cell r="F75">
            <v>0</v>
          </cell>
          <cell r="G75">
            <v>0</v>
          </cell>
          <cell r="H75">
            <v>1366.24</v>
          </cell>
          <cell r="I75">
            <v>833.54</v>
          </cell>
          <cell r="J75">
            <v>0</v>
          </cell>
          <cell r="K75">
            <v>532.70000000000005</v>
          </cell>
          <cell r="L75">
            <v>38.99</v>
          </cell>
          <cell r="M75">
            <v>0.11</v>
          </cell>
        </row>
        <row r="76">
          <cell r="A76" t="str">
            <v>ANJO QUIMICA DO BRASIL LTDA</v>
          </cell>
          <cell r="B76">
            <v>5</v>
          </cell>
          <cell r="C76">
            <v>1363.98</v>
          </cell>
          <cell r="D76">
            <v>26.74</v>
          </cell>
          <cell r="E76">
            <v>0</v>
          </cell>
          <cell r="F76">
            <v>0</v>
          </cell>
          <cell r="G76">
            <v>0</v>
          </cell>
          <cell r="H76">
            <v>1363.98</v>
          </cell>
          <cell r="I76">
            <v>905.69</v>
          </cell>
          <cell r="J76">
            <v>0</v>
          </cell>
          <cell r="K76">
            <v>458.29</v>
          </cell>
          <cell r="L76">
            <v>33.6</v>
          </cell>
          <cell r="M76">
            <v>0.11</v>
          </cell>
        </row>
        <row r="77">
          <cell r="A77" t="str">
            <v>ORBI QUIMICA LTDA</v>
          </cell>
          <cell r="B77">
            <v>4</v>
          </cell>
          <cell r="C77">
            <v>1117.52</v>
          </cell>
          <cell r="D77">
            <v>14.33</v>
          </cell>
          <cell r="E77">
            <v>0</v>
          </cell>
          <cell r="F77">
            <v>0</v>
          </cell>
          <cell r="G77">
            <v>8.9</v>
          </cell>
          <cell r="H77">
            <v>1108.6199999999999</v>
          </cell>
          <cell r="I77">
            <v>618.46</v>
          </cell>
          <cell r="J77">
            <v>5.14</v>
          </cell>
          <cell r="K77">
            <v>495.3</v>
          </cell>
          <cell r="L77">
            <v>44.53</v>
          </cell>
          <cell r="M77">
            <v>0.09</v>
          </cell>
        </row>
        <row r="78">
          <cell r="A78" t="str">
            <v>J LOBATO</v>
          </cell>
          <cell r="B78">
            <v>8</v>
          </cell>
          <cell r="C78">
            <v>1116.52</v>
          </cell>
          <cell r="D78">
            <v>17.18</v>
          </cell>
          <cell r="E78">
            <v>0</v>
          </cell>
          <cell r="F78">
            <v>0</v>
          </cell>
          <cell r="G78">
            <v>0</v>
          </cell>
          <cell r="H78">
            <v>1116.52</v>
          </cell>
          <cell r="I78">
            <v>513.17999999999995</v>
          </cell>
          <cell r="J78">
            <v>0</v>
          </cell>
          <cell r="K78">
            <v>603.34</v>
          </cell>
          <cell r="L78">
            <v>54.04</v>
          </cell>
          <cell r="M78">
            <v>0.09</v>
          </cell>
        </row>
        <row r="79">
          <cell r="A79" t="str">
            <v>FRANKE</v>
          </cell>
          <cell r="B79">
            <v>4</v>
          </cell>
          <cell r="C79">
            <v>1103.68</v>
          </cell>
          <cell r="D79">
            <v>275.92</v>
          </cell>
          <cell r="E79">
            <v>0</v>
          </cell>
          <cell r="F79">
            <v>0</v>
          </cell>
          <cell r="G79">
            <v>0</v>
          </cell>
          <cell r="H79">
            <v>1103.68</v>
          </cell>
          <cell r="I79">
            <v>650.16999999999996</v>
          </cell>
          <cell r="J79">
            <v>0</v>
          </cell>
          <cell r="K79">
            <v>453.51</v>
          </cell>
          <cell r="L79">
            <v>41.09</v>
          </cell>
          <cell r="M79">
            <v>0.09</v>
          </cell>
        </row>
        <row r="80">
          <cell r="A80" t="str">
            <v>COZIMAX</v>
          </cell>
          <cell r="B80">
            <v>4</v>
          </cell>
          <cell r="C80">
            <v>1103.2</v>
          </cell>
          <cell r="D80">
            <v>137.9</v>
          </cell>
          <cell r="E80">
            <v>0</v>
          </cell>
          <cell r="F80">
            <v>0</v>
          </cell>
          <cell r="G80">
            <v>0</v>
          </cell>
          <cell r="H80">
            <v>1103.2</v>
          </cell>
          <cell r="I80">
            <v>670.88</v>
          </cell>
          <cell r="J80">
            <v>0</v>
          </cell>
          <cell r="K80">
            <v>432.32</v>
          </cell>
          <cell r="L80">
            <v>39.19</v>
          </cell>
          <cell r="M80">
            <v>0.09</v>
          </cell>
        </row>
        <row r="81">
          <cell r="A81" t="str">
            <v>PRECON</v>
          </cell>
          <cell r="B81">
            <v>3</v>
          </cell>
          <cell r="C81">
            <v>1093.2</v>
          </cell>
          <cell r="D81">
            <v>136.65</v>
          </cell>
          <cell r="E81">
            <v>0</v>
          </cell>
          <cell r="F81">
            <v>0</v>
          </cell>
          <cell r="G81">
            <v>290.8</v>
          </cell>
          <cell r="H81">
            <v>802.4</v>
          </cell>
          <cell r="I81">
            <v>706.96</v>
          </cell>
          <cell r="J81">
            <v>192.6</v>
          </cell>
          <cell r="K81">
            <v>288.04000000000002</v>
          </cell>
          <cell r="L81">
            <v>31.98</v>
          </cell>
          <cell r="M81">
            <v>0.09</v>
          </cell>
        </row>
        <row r="82">
          <cell r="A82" t="str">
            <v>KALIPSO</v>
          </cell>
          <cell r="B82">
            <v>3</v>
          </cell>
          <cell r="C82">
            <v>895.51</v>
          </cell>
          <cell r="D82">
            <v>9.14</v>
          </cell>
          <cell r="E82">
            <v>0</v>
          </cell>
          <cell r="F82">
            <v>0</v>
          </cell>
          <cell r="G82">
            <v>0</v>
          </cell>
          <cell r="H82">
            <v>895.51</v>
          </cell>
          <cell r="I82">
            <v>398.62</v>
          </cell>
          <cell r="J82">
            <v>0</v>
          </cell>
          <cell r="K82">
            <v>496.89</v>
          </cell>
          <cell r="L82">
            <v>55.49</v>
          </cell>
          <cell r="M82">
            <v>7.0000000000000007E-2</v>
          </cell>
        </row>
        <row r="83">
          <cell r="A83" t="str">
            <v>LEDAN</v>
          </cell>
          <cell r="B83">
            <v>5</v>
          </cell>
          <cell r="C83">
            <v>894.26</v>
          </cell>
          <cell r="D83">
            <v>17.2</v>
          </cell>
          <cell r="E83">
            <v>0</v>
          </cell>
          <cell r="F83">
            <v>0</v>
          </cell>
          <cell r="G83">
            <v>0</v>
          </cell>
          <cell r="H83">
            <v>894.26</v>
          </cell>
          <cell r="I83">
            <v>565.54999999999995</v>
          </cell>
          <cell r="J83">
            <v>0</v>
          </cell>
          <cell r="K83">
            <v>328.71</v>
          </cell>
          <cell r="L83">
            <v>36.76</v>
          </cell>
          <cell r="M83">
            <v>7.0000000000000007E-2</v>
          </cell>
        </row>
        <row r="84">
          <cell r="A84" t="str">
            <v>TRAMONTINA NORDESTE</v>
          </cell>
          <cell r="B84">
            <v>7</v>
          </cell>
          <cell r="C84">
            <v>754.67</v>
          </cell>
          <cell r="D84">
            <v>27.95</v>
          </cell>
          <cell r="E84">
            <v>0</v>
          </cell>
          <cell r="F84">
            <v>0</v>
          </cell>
          <cell r="G84">
            <v>0</v>
          </cell>
          <cell r="H84">
            <v>754.67</v>
          </cell>
          <cell r="I84">
            <v>546.66999999999996</v>
          </cell>
          <cell r="J84">
            <v>0</v>
          </cell>
          <cell r="K84">
            <v>208</v>
          </cell>
          <cell r="L84">
            <v>27.56</v>
          </cell>
          <cell r="M84">
            <v>0.06</v>
          </cell>
        </row>
        <row r="85">
          <cell r="A85" t="str">
            <v>PINTSILK</v>
          </cell>
          <cell r="B85">
            <v>4</v>
          </cell>
          <cell r="C85">
            <v>745.8</v>
          </cell>
          <cell r="D85">
            <v>93.23</v>
          </cell>
          <cell r="E85">
            <v>0</v>
          </cell>
          <cell r="F85">
            <v>0</v>
          </cell>
          <cell r="G85">
            <v>0</v>
          </cell>
          <cell r="H85">
            <v>745.8</v>
          </cell>
          <cell r="I85">
            <v>432.99</v>
          </cell>
          <cell r="J85">
            <v>0</v>
          </cell>
          <cell r="K85">
            <v>312.81</v>
          </cell>
          <cell r="L85">
            <v>41.94</v>
          </cell>
          <cell r="M85">
            <v>0.06</v>
          </cell>
        </row>
        <row r="86">
          <cell r="A86" t="str">
            <v>HIDRACOR</v>
          </cell>
          <cell r="B86">
            <v>8</v>
          </cell>
          <cell r="C86">
            <v>715.94</v>
          </cell>
          <cell r="D86">
            <v>2.9</v>
          </cell>
          <cell r="E86">
            <v>0</v>
          </cell>
          <cell r="F86">
            <v>0</v>
          </cell>
          <cell r="G86">
            <v>2.9</v>
          </cell>
          <cell r="H86">
            <v>713.04</v>
          </cell>
          <cell r="I86">
            <v>345.12</v>
          </cell>
          <cell r="J86">
            <v>1.42</v>
          </cell>
          <cell r="K86">
            <v>369.34</v>
          </cell>
          <cell r="L86">
            <v>51.69</v>
          </cell>
          <cell r="M86">
            <v>0.06</v>
          </cell>
        </row>
        <row r="87">
          <cell r="A87" t="str">
            <v>SECALUX</v>
          </cell>
          <cell r="B87">
            <v>4</v>
          </cell>
          <cell r="C87">
            <v>706.21</v>
          </cell>
          <cell r="D87">
            <v>50.44</v>
          </cell>
          <cell r="E87">
            <v>0</v>
          </cell>
          <cell r="F87">
            <v>0</v>
          </cell>
          <cell r="G87">
            <v>35.4</v>
          </cell>
          <cell r="H87">
            <v>670.81</v>
          </cell>
          <cell r="I87">
            <v>435.97</v>
          </cell>
          <cell r="J87">
            <v>21.51</v>
          </cell>
          <cell r="K87">
            <v>256.35000000000002</v>
          </cell>
          <cell r="L87">
            <v>37.44</v>
          </cell>
          <cell r="M87">
            <v>0.06</v>
          </cell>
        </row>
        <row r="88">
          <cell r="A88" t="str">
            <v>Max-Giro</v>
          </cell>
          <cell r="B88">
            <v>9</v>
          </cell>
          <cell r="C88">
            <v>705.11</v>
          </cell>
          <cell r="D88">
            <v>13.06</v>
          </cell>
          <cell r="E88">
            <v>0</v>
          </cell>
          <cell r="F88">
            <v>0</v>
          </cell>
          <cell r="G88">
            <v>0</v>
          </cell>
          <cell r="H88">
            <v>705.11</v>
          </cell>
          <cell r="I88">
            <v>411.52</v>
          </cell>
          <cell r="J88">
            <v>0</v>
          </cell>
          <cell r="K88">
            <v>293.58999999999997</v>
          </cell>
          <cell r="L88">
            <v>41.64</v>
          </cell>
          <cell r="M88">
            <v>0.06</v>
          </cell>
        </row>
        <row r="89">
          <cell r="A89" t="str">
            <v>METALOSA</v>
          </cell>
          <cell r="B89">
            <v>3</v>
          </cell>
          <cell r="C89">
            <v>700.04</v>
          </cell>
          <cell r="D89">
            <v>233.35</v>
          </cell>
          <cell r="E89">
            <v>0</v>
          </cell>
          <cell r="F89">
            <v>0</v>
          </cell>
          <cell r="G89">
            <v>0</v>
          </cell>
          <cell r="H89">
            <v>700.04</v>
          </cell>
          <cell r="I89">
            <v>400.99</v>
          </cell>
          <cell r="J89">
            <v>0</v>
          </cell>
          <cell r="K89">
            <v>299.05</v>
          </cell>
          <cell r="L89">
            <v>42.72</v>
          </cell>
          <cell r="M89">
            <v>0.06</v>
          </cell>
        </row>
        <row r="90">
          <cell r="A90" t="str">
            <v>MASCOTE</v>
          </cell>
          <cell r="B90">
            <v>12</v>
          </cell>
          <cell r="C90">
            <v>675.81</v>
          </cell>
          <cell r="D90">
            <v>12.52</v>
          </cell>
          <cell r="E90">
            <v>0</v>
          </cell>
          <cell r="F90">
            <v>0</v>
          </cell>
          <cell r="G90">
            <v>105.2</v>
          </cell>
          <cell r="H90">
            <v>570.61</v>
          </cell>
          <cell r="I90">
            <v>365.67</v>
          </cell>
          <cell r="J90">
            <v>62.14</v>
          </cell>
          <cell r="K90">
            <v>267.08</v>
          </cell>
          <cell r="L90">
            <v>43.52</v>
          </cell>
          <cell r="M90">
            <v>0.05</v>
          </cell>
        </row>
        <row r="91">
          <cell r="A91" t="str">
            <v>ARCELORMITTAL</v>
          </cell>
          <cell r="B91">
            <v>2</v>
          </cell>
          <cell r="C91">
            <v>657.1</v>
          </cell>
          <cell r="D91">
            <v>26.28</v>
          </cell>
          <cell r="E91">
            <v>0</v>
          </cell>
          <cell r="F91">
            <v>0</v>
          </cell>
          <cell r="G91">
            <v>51.8</v>
          </cell>
          <cell r="H91">
            <v>605.29999999999995</v>
          </cell>
          <cell r="I91">
            <v>370.51</v>
          </cell>
          <cell r="J91">
            <v>28.62</v>
          </cell>
          <cell r="K91">
            <v>263.41000000000003</v>
          </cell>
          <cell r="L91">
            <v>41.91</v>
          </cell>
          <cell r="M91">
            <v>0.05</v>
          </cell>
        </row>
        <row r="92">
          <cell r="A92" t="str">
            <v>BOSCH</v>
          </cell>
          <cell r="B92">
            <v>3</v>
          </cell>
          <cell r="C92">
            <v>617.79999999999995</v>
          </cell>
          <cell r="D92">
            <v>51.48</v>
          </cell>
          <cell r="E92">
            <v>0</v>
          </cell>
          <cell r="F92">
            <v>0</v>
          </cell>
          <cell r="G92">
            <v>0</v>
          </cell>
          <cell r="H92">
            <v>617.79999999999995</v>
          </cell>
          <cell r="I92">
            <v>380.58</v>
          </cell>
          <cell r="J92">
            <v>0</v>
          </cell>
          <cell r="K92">
            <v>237.22</v>
          </cell>
          <cell r="L92">
            <v>38.4</v>
          </cell>
          <cell r="M92">
            <v>0.05</v>
          </cell>
        </row>
        <row r="93">
          <cell r="A93" t="str">
            <v>STAM</v>
          </cell>
          <cell r="B93">
            <v>3</v>
          </cell>
          <cell r="C93">
            <v>607</v>
          </cell>
          <cell r="D93">
            <v>50.58</v>
          </cell>
          <cell r="E93">
            <v>0</v>
          </cell>
          <cell r="F93">
            <v>0</v>
          </cell>
          <cell r="G93">
            <v>0</v>
          </cell>
          <cell r="H93">
            <v>607</v>
          </cell>
          <cell r="I93">
            <v>323.38</v>
          </cell>
          <cell r="J93">
            <v>0</v>
          </cell>
          <cell r="K93">
            <v>283.62</v>
          </cell>
          <cell r="L93">
            <v>46.72</v>
          </cell>
          <cell r="M93">
            <v>0.05</v>
          </cell>
        </row>
        <row r="94">
          <cell r="A94" t="str">
            <v>BRASFORT</v>
          </cell>
          <cell r="B94">
            <v>4</v>
          </cell>
          <cell r="C94">
            <v>597</v>
          </cell>
          <cell r="D94">
            <v>11.48</v>
          </cell>
          <cell r="E94">
            <v>0</v>
          </cell>
          <cell r="F94">
            <v>0</v>
          </cell>
          <cell r="G94">
            <v>0</v>
          </cell>
          <cell r="H94">
            <v>597</v>
          </cell>
          <cell r="I94">
            <v>352.51</v>
          </cell>
          <cell r="J94">
            <v>0</v>
          </cell>
          <cell r="K94">
            <v>244.49</v>
          </cell>
          <cell r="L94">
            <v>40.950000000000003</v>
          </cell>
          <cell r="M94">
            <v>0.05</v>
          </cell>
        </row>
        <row r="95">
          <cell r="A95" t="str">
            <v>ULTRACLEAN</v>
          </cell>
          <cell r="B95">
            <v>6</v>
          </cell>
          <cell r="C95">
            <v>576.20000000000005</v>
          </cell>
          <cell r="D95">
            <v>20.58</v>
          </cell>
          <cell r="E95">
            <v>0</v>
          </cell>
          <cell r="F95">
            <v>0</v>
          </cell>
          <cell r="G95">
            <v>17.899999999999999</v>
          </cell>
          <cell r="H95">
            <v>558.29999999999995</v>
          </cell>
          <cell r="I95">
            <v>338.36</v>
          </cell>
          <cell r="J95">
            <v>10.8</v>
          </cell>
          <cell r="K95">
            <v>230.74</v>
          </cell>
          <cell r="L95">
            <v>40.81</v>
          </cell>
          <cell r="M95">
            <v>0.05</v>
          </cell>
        </row>
        <row r="96">
          <cell r="A96" t="str">
            <v>ULTRA CLEAN</v>
          </cell>
          <cell r="B96">
            <v>4</v>
          </cell>
          <cell r="C96">
            <v>551.04999999999995</v>
          </cell>
          <cell r="D96">
            <v>22.04</v>
          </cell>
          <cell r="E96">
            <v>0</v>
          </cell>
          <cell r="F96">
            <v>0</v>
          </cell>
          <cell r="G96">
            <v>0</v>
          </cell>
          <cell r="H96">
            <v>551.04999999999995</v>
          </cell>
          <cell r="I96">
            <v>336.03</v>
          </cell>
          <cell r="J96">
            <v>0</v>
          </cell>
          <cell r="K96">
            <v>215.02</v>
          </cell>
          <cell r="L96">
            <v>39.020000000000003</v>
          </cell>
          <cell r="M96">
            <v>0.04</v>
          </cell>
        </row>
        <row r="97">
          <cell r="A97" t="str">
            <v>CHEMONE</v>
          </cell>
          <cell r="B97">
            <v>4</v>
          </cell>
          <cell r="C97">
            <v>482.56</v>
          </cell>
          <cell r="D97">
            <v>13.04</v>
          </cell>
          <cell r="E97">
            <v>0</v>
          </cell>
          <cell r="F97">
            <v>0</v>
          </cell>
          <cell r="G97">
            <v>0</v>
          </cell>
          <cell r="H97">
            <v>482.56</v>
          </cell>
          <cell r="I97">
            <v>285.13</v>
          </cell>
          <cell r="J97">
            <v>0</v>
          </cell>
          <cell r="K97">
            <v>197.43</v>
          </cell>
          <cell r="L97">
            <v>40.909999999999997</v>
          </cell>
          <cell r="M97">
            <v>0.04</v>
          </cell>
        </row>
        <row r="98">
          <cell r="A98" t="str">
            <v>TOP MIX</v>
          </cell>
          <cell r="B98">
            <v>1</v>
          </cell>
          <cell r="C98">
            <v>433.49</v>
          </cell>
          <cell r="D98">
            <v>433.49</v>
          </cell>
          <cell r="E98">
            <v>0</v>
          </cell>
          <cell r="F98">
            <v>0</v>
          </cell>
          <cell r="G98">
            <v>0</v>
          </cell>
          <cell r="H98">
            <v>433.49</v>
          </cell>
          <cell r="I98">
            <v>252.69</v>
          </cell>
          <cell r="J98">
            <v>0</v>
          </cell>
          <cell r="K98">
            <v>180.8</v>
          </cell>
          <cell r="L98">
            <v>41.71</v>
          </cell>
          <cell r="M98">
            <v>0.03</v>
          </cell>
        </row>
        <row r="99">
          <cell r="A99" t="str">
            <v>COMFORT DOOR</v>
          </cell>
          <cell r="B99">
            <v>6</v>
          </cell>
          <cell r="C99">
            <v>412.1</v>
          </cell>
          <cell r="D99">
            <v>29.44</v>
          </cell>
          <cell r="E99">
            <v>0</v>
          </cell>
          <cell r="F99">
            <v>0</v>
          </cell>
          <cell r="G99">
            <v>0</v>
          </cell>
          <cell r="H99">
            <v>412.1</v>
          </cell>
          <cell r="I99">
            <v>226.46</v>
          </cell>
          <cell r="J99">
            <v>0</v>
          </cell>
          <cell r="K99">
            <v>185.64</v>
          </cell>
          <cell r="L99">
            <v>45.05</v>
          </cell>
          <cell r="M99">
            <v>0.03</v>
          </cell>
        </row>
        <row r="100">
          <cell r="A100" t="str">
            <v>NORCOLA</v>
          </cell>
          <cell r="B100">
            <v>4</v>
          </cell>
          <cell r="C100">
            <v>398.72</v>
          </cell>
          <cell r="D100">
            <v>20.99</v>
          </cell>
          <cell r="E100">
            <v>0</v>
          </cell>
          <cell r="F100">
            <v>0</v>
          </cell>
          <cell r="G100">
            <v>0</v>
          </cell>
          <cell r="H100">
            <v>398.72</v>
          </cell>
          <cell r="I100">
            <v>341.72</v>
          </cell>
          <cell r="J100">
            <v>0</v>
          </cell>
          <cell r="K100">
            <v>57</v>
          </cell>
          <cell r="L100">
            <v>14.3</v>
          </cell>
          <cell r="M100">
            <v>0.03</v>
          </cell>
        </row>
        <row r="101">
          <cell r="A101" t="str">
            <v>ATTENA</v>
          </cell>
          <cell r="B101">
            <v>3</v>
          </cell>
          <cell r="C101">
            <v>366.38</v>
          </cell>
          <cell r="D101">
            <v>40.71</v>
          </cell>
          <cell r="E101">
            <v>0</v>
          </cell>
          <cell r="F101">
            <v>0</v>
          </cell>
          <cell r="G101">
            <v>0</v>
          </cell>
          <cell r="H101">
            <v>366.38</v>
          </cell>
          <cell r="I101">
            <v>390.43</v>
          </cell>
          <cell r="J101">
            <v>0</v>
          </cell>
          <cell r="K101">
            <v>-24.05</v>
          </cell>
          <cell r="L101">
            <v>0</v>
          </cell>
          <cell r="M101">
            <v>0.03</v>
          </cell>
        </row>
        <row r="102">
          <cell r="A102" t="str">
            <v>GERDAU</v>
          </cell>
          <cell r="B102">
            <v>5</v>
          </cell>
          <cell r="C102">
            <v>354.43</v>
          </cell>
          <cell r="D102">
            <v>32.22</v>
          </cell>
          <cell r="E102">
            <v>0</v>
          </cell>
          <cell r="F102">
            <v>0</v>
          </cell>
          <cell r="G102">
            <v>0</v>
          </cell>
          <cell r="H102">
            <v>354.43</v>
          </cell>
          <cell r="I102">
            <v>186.83</v>
          </cell>
          <cell r="J102">
            <v>0</v>
          </cell>
          <cell r="K102">
            <v>167.6</v>
          </cell>
          <cell r="L102">
            <v>47.29</v>
          </cell>
          <cell r="M102">
            <v>0.03</v>
          </cell>
        </row>
        <row r="103">
          <cell r="A103" t="str">
            <v>NOVA FIXACAO</v>
          </cell>
          <cell r="B103">
            <v>4</v>
          </cell>
          <cell r="C103">
            <v>334.17</v>
          </cell>
          <cell r="D103">
            <v>1.85</v>
          </cell>
          <cell r="E103">
            <v>0</v>
          </cell>
          <cell r="F103">
            <v>0</v>
          </cell>
          <cell r="G103">
            <v>0</v>
          </cell>
          <cell r="H103">
            <v>334.17</v>
          </cell>
          <cell r="I103">
            <v>189.7</v>
          </cell>
          <cell r="J103">
            <v>0</v>
          </cell>
          <cell r="K103">
            <v>144.47</v>
          </cell>
          <cell r="L103">
            <v>43.23</v>
          </cell>
          <cell r="M103">
            <v>0.03</v>
          </cell>
        </row>
        <row r="104">
          <cell r="A104" t="str">
            <v>OVERTIME</v>
          </cell>
          <cell r="B104">
            <v>4</v>
          </cell>
          <cell r="C104">
            <v>300</v>
          </cell>
          <cell r="D104">
            <v>20</v>
          </cell>
          <cell r="E104">
            <v>0</v>
          </cell>
          <cell r="F104">
            <v>0</v>
          </cell>
          <cell r="G104">
            <v>0</v>
          </cell>
          <cell r="H104">
            <v>300</v>
          </cell>
          <cell r="I104">
            <v>179.34</v>
          </cell>
          <cell r="J104">
            <v>0</v>
          </cell>
          <cell r="K104">
            <v>120.66</v>
          </cell>
          <cell r="L104">
            <v>40.22</v>
          </cell>
          <cell r="M104">
            <v>0.02</v>
          </cell>
        </row>
        <row r="105">
          <cell r="A105" t="str">
            <v>ANJO TINTAS E SOLVENTES</v>
          </cell>
          <cell r="B105">
            <v>4</v>
          </cell>
          <cell r="C105">
            <v>187.2</v>
          </cell>
          <cell r="D105">
            <v>23.4</v>
          </cell>
          <cell r="E105">
            <v>0</v>
          </cell>
          <cell r="F105">
            <v>0</v>
          </cell>
          <cell r="G105">
            <v>0</v>
          </cell>
          <cell r="H105">
            <v>187.2</v>
          </cell>
          <cell r="I105">
            <v>109.56</v>
          </cell>
          <cell r="J105">
            <v>0</v>
          </cell>
          <cell r="K105">
            <v>77.64</v>
          </cell>
          <cell r="L105">
            <v>41.47</v>
          </cell>
          <cell r="M105">
            <v>0.01</v>
          </cell>
        </row>
        <row r="106">
          <cell r="A106" t="str">
            <v>EPLAST</v>
          </cell>
          <cell r="B106">
            <v>1</v>
          </cell>
          <cell r="C106">
            <v>166.34</v>
          </cell>
          <cell r="D106">
            <v>41.59</v>
          </cell>
          <cell r="E106">
            <v>0</v>
          </cell>
          <cell r="F106">
            <v>0</v>
          </cell>
          <cell r="G106">
            <v>41.9</v>
          </cell>
          <cell r="H106">
            <v>124.44</v>
          </cell>
          <cell r="I106">
            <v>107.44</v>
          </cell>
          <cell r="J106">
            <v>26.86</v>
          </cell>
          <cell r="K106">
            <v>43.86</v>
          </cell>
          <cell r="L106">
            <v>31.45</v>
          </cell>
          <cell r="M106">
            <v>0.01</v>
          </cell>
        </row>
        <row r="107">
          <cell r="A107" t="str">
            <v>GARDENLIFE</v>
          </cell>
          <cell r="B107">
            <v>1</v>
          </cell>
          <cell r="C107">
            <v>161.80000000000001</v>
          </cell>
          <cell r="D107">
            <v>80.900000000000006</v>
          </cell>
          <cell r="E107">
            <v>0</v>
          </cell>
          <cell r="F107">
            <v>0</v>
          </cell>
          <cell r="G107">
            <v>0</v>
          </cell>
          <cell r="H107">
            <v>161.80000000000001</v>
          </cell>
          <cell r="I107">
            <v>101.55</v>
          </cell>
          <cell r="J107">
            <v>0</v>
          </cell>
          <cell r="K107">
            <v>60.25</v>
          </cell>
          <cell r="L107">
            <v>37.24</v>
          </cell>
          <cell r="M107">
            <v>0.01</v>
          </cell>
        </row>
        <row r="108">
          <cell r="A108" t="str">
            <v>EXTRALUZ</v>
          </cell>
          <cell r="B108">
            <v>3</v>
          </cell>
          <cell r="C108">
            <v>159.80000000000001</v>
          </cell>
          <cell r="D108">
            <v>13.32</v>
          </cell>
          <cell r="E108">
            <v>0</v>
          </cell>
          <cell r="F108">
            <v>0</v>
          </cell>
          <cell r="G108">
            <v>0</v>
          </cell>
          <cell r="H108">
            <v>159.80000000000001</v>
          </cell>
          <cell r="I108">
            <v>96.2</v>
          </cell>
          <cell r="J108">
            <v>0</v>
          </cell>
          <cell r="K108">
            <v>63.6</v>
          </cell>
          <cell r="L108">
            <v>39.799999999999997</v>
          </cell>
          <cell r="M108">
            <v>0.01</v>
          </cell>
        </row>
        <row r="109">
          <cell r="A109" t="str">
            <v>EXTRALUX</v>
          </cell>
          <cell r="B109">
            <v>3</v>
          </cell>
          <cell r="C109">
            <v>131.1</v>
          </cell>
          <cell r="D109">
            <v>14.57</v>
          </cell>
          <cell r="E109">
            <v>0</v>
          </cell>
          <cell r="F109">
            <v>0</v>
          </cell>
          <cell r="G109">
            <v>0</v>
          </cell>
          <cell r="H109">
            <v>131.1</v>
          </cell>
          <cell r="I109">
            <v>76.84</v>
          </cell>
          <cell r="J109">
            <v>0</v>
          </cell>
          <cell r="K109">
            <v>54.26</v>
          </cell>
          <cell r="L109">
            <v>41.39</v>
          </cell>
          <cell r="M109">
            <v>0.01</v>
          </cell>
        </row>
        <row r="110">
          <cell r="A110" t="str">
            <v xml:space="preserve"> RESISWAL</v>
          </cell>
          <cell r="B110">
            <v>2</v>
          </cell>
          <cell r="C110">
            <v>116.7</v>
          </cell>
          <cell r="D110">
            <v>38.9</v>
          </cell>
          <cell r="E110">
            <v>0</v>
          </cell>
          <cell r="F110">
            <v>0</v>
          </cell>
          <cell r="G110">
            <v>0</v>
          </cell>
          <cell r="H110">
            <v>116.7</v>
          </cell>
          <cell r="I110">
            <v>64.62</v>
          </cell>
          <cell r="J110">
            <v>0</v>
          </cell>
          <cell r="K110">
            <v>52.08</v>
          </cell>
          <cell r="L110">
            <v>44.63</v>
          </cell>
          <cell r="M110">
            <v>0.01</v>
          </cell>
        </row>
        <row r="111">
          <cell r="A111" t="str">
            <v>GABRIELLA</v>
          </cell>
          <cell r="B111">
            <v>2</v>
          </cell>
          <cell r="C111">
            <v>109</v>
          </cell>
          <cell r="D111">
            <v>27.25</v>
          </cell>
          <cell r="E111">
            <v>0</v>
          </cell>
          <cell r="F111">
            <v>0</v>
          </cell>
          <cell r="G111">
            <v>0</v>
          </cell>
          <cell r="H111">
            <v>109</v>
          </cell>
          <cell r="I111">
            <v>69.98</v>
          </cell>
          <cell r="J111">
            <v>0</v>
          </cell>
          <cell r="K111">
            <v>39.020000000000003</v>
          </cell>
          <cell r="L111">
            <v>35.799999999999997</v>
          </cell>
          <cell r="M111">
            <v>0.01</v>
          </cell>
        </row>
        <row r="112">
          <cell r="A112" t="str">
            <v>PADOVA</v>
          </cell>
          <cell r="B112">
            <v>2</v>
          </cell>
          <cell r="C112">
            <v>96.8</v>
          </cell>
          <cell r="D112">
            <v>19.36</v>
          </cell>
          <cell r="E112">
            <v>0</v>
          </cell>
          <cell r="F112">
            <v>0</v>
          </cell>
          <cell r="G112">
            <v>23.9</v>
          </cell>
          <cell r="H112">
            <v>72.900000000000006</v>
          </cell>
          <cell r="I112">
            <v>59.1</v>
          </cell>
          <cell r="J112">
            <v>14.66</v>
          </cell>
          <cell r="K112">
            <v>28.46</v>
          </cell>
          <cell r="L112">
            <v>34.65</v>
          </cell>
          <cell r="M112">
            <v>0.01</v>
          </cell>
        </row>
        <row r="113">
          <cell r="A113" t="str">
            <v>EMPLAC</v>
          </cell>
          <cell r="B113">
            <v>2</v>
          </cell>
          <cell r="C113">
            <v>94</v>
          </cell>
          <cell r="D113">
            <v>11.75</v>
          </cell>
          <cell r="E113">
            <v>0</v>
          </cell>
          <cell r="F113">
            <v>0</v>
          </cell>
          <cell r="G113">
            <v>0</v>
          </cell>
          <cell r="H113">
            <v>94</v>
          </cell>
          <cell r="I113">
            <v>42.57</v>
          </cell>
          <cell r="J113">
            <v>0</v>
          </cell>
          <cell r="K113">
            <v>51.43</v>
          </cell>
          <cell r="L113">
            <v>54.71</v>
          </cell>
          <cell r="M113">
            <v>0.01</v>
          </cell>
        </row>
        <row r="114">
          <cell r="A114" t="str">
            <v>RHPE</v>
          </cell>
          <cell r="B114">
            <v>1</v>
          </cell>
          <cell r="C114">
            <v>85.9</v>
          </cell>
          <cell r="D114">
            <v>85.9</v>
          </cell>
          <cell r="E114">
            <v>0</v>
          </cell>
          <cell r="F114">
            <v>0</v>
          </cell>
          <cell r="G114">
            <v>0</v>
          </cell>
          <cell r="H114">
            <v>85.9</v>
          </cell>
          <cell r="I114">
            <v>53.34</v>
          </cell>
          <cell r="J114">
            <v>0</v>
          </cell>
          <cell r="K114">
            <v>32.56</v>
          </cell>
          <cell r="L114">
            <v>37.9</v>
          </cell>
          <cell r="M114">
            <v>0.01</v>
          </cell>
        </row>
        <row r="115">
          <cell r="A115" t="str">
            <v>TRAMONTINA ELETRIK S.A.</v>
          </cell>
          <cell r="B115">
            <v>4</v>
          </cell>
          <cell r="C115">
            <v>66.2</v>
          </cell>
          <cell r="D115">
            <v>16.55</v>
          </cell>
          <cell r="E115">
            <v>0</v>
          </cell>
          <cell r="F115">
            <v>0</v>
          </cell>
          <cell r="G115">
            <v>0</v>
          </cell>
          <cell r="H115">
            <v>66.2</v>
          </cell>
          <cell r="I115">
            <v>40.69</v>
          </cell>
          <cell r="J115">
            <v>0</v>
          </cell>
          <cell r="K115">
            <v>25.51</v>
          </cell>
          <cell r="L115">
            <v>38.53</v>
          </cell>
          <cell r="M115">
            <v>0.01</v>
          </cell>
        </row>
        <row r="116">
          <cell r="A116" t="str">
            <v>CRIVAL</v>
          </cell>
          <cell r="B116">
            <v>1</v>
          </cell>
          <cell r="C116">
            <v>63.9</v>
          </cell>
          <cell r="D116">
            <v>63.9</v>
          </cell>
          <cell r="E116">
            <v>0</v>
          </cell>
          <cell r="F116">
            <v>0</v>
          </cell>
          <cell r="G116">
            <v>0</v>
          </cell>
          <cell r="H116">
            <v>63.9</v>
          </cell>
          <cell r="I116">
            <v>38.18</v>
          </cell>
          <cell r="J116">
            <v>0</v>
          </cell>
          <cell r="K116">
            <v>25.72</v>
          </cell>
          <cell r="L116">
            <v>40.25</v>
          </cell>
          <cell r="M116">
            <v>0.01</v>
          </cell>
        </row>
        <row r="117">
          <cell r="A117" t="str">
            <v>RANCAN</v>
          </cell>
          <cell r="B117">
            <v>1</v>
          </cell>
          <cell r="C117">
            <v>59.9</v>
          </cell>
          <cell r="D117">
            <v>59.9</v>
          </cell>
          <cell r="E117">
            <v>0</v>
          </cell>
          <cell r="F117">
            <v>0</v>
          </cell>
          <cell r="G117">
            <v>0</v>
          </cell>
          <cell r="H117">
            <v>59.9</v>
          </cell>
          <cell r="I117">
            <v>33.78</v>
          </cell>
          <cell r="J117">
            <v>0</v>
          </cell>
          <cell r="K117">
            <v>26.12</v>
          </cell>
          <cell r="L117">
            <v>43.61</v>
          </cell>
          <cell r="M117">
            <v>0</v>
          </cell>
        </row>
        <row r="118">
          <cell r="A118" t="str">
            <v>PHILIPS ILUMINACAO LA</v>
          </cell>
          <cell r="B118">
            <v>1</v>
          </cell>
          <cell r="C118">
            <v>59.4</v>
          </cell>
          <cell r="D118">
            <v>9.9</v>
          </cell>
          <cell r="E118">
            <v>0</v>
          </cell>
          <cell r="F118">
            <v>0</v>
          </cell>
          <cell r="G118">
            <v>0</v>
          </cell>
          <cell r="H118">
            <v>59.4</v>
          </cell>
          <cell r="I118">
            <v>35.58</v>
          </cell>
          <cell r="J118">
            <v>0</v>
          </cell>
          <cell r="K118">
            <v>23.82</v>
          </cell>
          <cell r="L118">
            <v>40.1</v>
          </cell>
          <cell r="M118">
            <v>0</v>
          </cell>
        </row>
        <row r="119">
          <cell r="A119" t="str">
            <v>INCA</v>
          </cell>
          <cell r="B119">
            <v>4</v>
          </cell>
          <cell r="C119">
            <v>56.11</v>
          </cell>
          <cell r="D119">
            <v>2</v>
          </cell>
          <cell r="E119">
            <v>0</v>
          </cell>
          <cell r="F119">
            <v>0</v>
          </cell>
          <cell r="G119">
            <v>6.2</v>
          </cell>
          <cell r="H119">
            <v>49.91</v>
          </cell>
          <cell r="I119">
            <v>27.73</v>
          </cell>
          <cell r="J119">
            <v>3.28</v>
          </cell>
          <cell r="K119">
            <v>25.46</v>
          </cell>
          <cell r="L119">
            <v>48.19</v>
          </cell>
          <cell r="M119">
            <v>0</v>
          </cell>
        </row>
        <row r="120">
          <cell r="A120" t="str">
            <v>INJEPLAST</v>
          </cell>
          <cell r="B120">
            <v>1</v>
          </cell>
          <cell r="C120">
            <v>18</v>
          </cell>
          <cell r="D120">
            <v>0.4</v>
          </cell>
          <cell r="E120">
            <v>0</v>
          </cell>
          <cell r="F120">
            <v>0</v>
          </cell>
          <cell r="G120">
            <v>0</v>
          </cell>
          <cell r="H120">
            <v>18</v>
          </cell>
          <cell r="I120">
            <v>8.1</v>
          </cell>
          <cell r="J120">
            <v>0</v>
          </cell>
          <cell r="K120">
            <v>9.9</v>
          </cell>
          <cell r="L120">
            <v>55</v>
          </cell>
          <cell r="M120">
            <v>0</v>
          </cell>
        </row>
        <row r="121">
          <cell r="A121" t="str">
            <v>outros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JUL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171</v>
          </cell>
          <cell r="C2">
            <v>192856.60750000001</v>
          </cell>
          <cell r="D2">
            <v>31.5</v>
          </cell>
          <cell r="E2">
            <v>0</v>
          </cell>
          <cell r="F2">
            <v>0</v>
          </cell>
          <cell r="G2">
            <v>9838.3428000000004</v>
          </cell>
          <cell r="H2">
            <v>183018.2647</v>
          </cell>
          <cell r="I2">
            <v>134748.8107</v>
          </cell>
          <cell r="J2">
            <v>6452.3991999999998</v>
          </cell>
          <cell r="K2">
            <v>54721.853199999998</v>
          </cell>
          <cell r="L2">
            <v>29.36</v>
          </cell>
          <cell r="M2">
            <v>13.04</v>
          </cell>
        </row>
        <row r="3">
          <cell r="A3" t="str">
            <v>POINTER</v>
          </cell>
          <cell r="B3">
            <v>166</v>
          </cell>
          <cell r="C3">
            <v>176908.125</v>
          </cell>
          <cell r="D3">
            <v>33.270000000000003</v>
          </cell>
          <cell r="E3">
            <v>0</v>
          </cell>
          <cell r="F3">
            <v>0</v>
          </cell>
          <cell r="G3">
            <v>4698.4319999999998</v>
          </cell>
          <cell r="H3">
            <v>172209.693</v>
          </cell>
          <cell r="I3">
            <v>112457.17260000001</v>
          </cell>
          <cell r="J3">
            <v>2710.4135999999999</v>
          </cell>
          <cell r="K3">
            <v>62462.934000000001</v>
          </cell>
          <cell r="L3">
            <v>35.86</v>
          </cell>
          <cell r="M3">
            <v>11.97</v>
          </cell>
        </row>
        <row r="4">
          <cell r="A4" t="str">
            <v>DO MESTRE</v>
          </cell>
          <cell r="B4">
            <v>320</v>
          </cell>
          <cell r="C4">
            <v>104305.86</v>
          </cell>
          <cell r="D4">
            <v>20.13</v>
          </cell>
          <cell r="E4">
            <v>0</v>
          </cell>
          <cell r="F4">
            <v>0</v>
          </cell>
          <cell r="G4">
            <v>1633.52</v>
          </cell>
          <cell r="H4">
            <v>102672.34</v>
          </cell>
          <cell r="I4">
            <v>67996.789999999994</v>
          </cell>
          <cell r="J4">
            <v>988.17</v>
          </cell>
          <cell r="K4">
            <v>35663.72</v>
          </cell>
          <cell r="L4">
            <v>34.520000000000003</v>
          </cell>
          <cell r="M4">
            <v>7.06</v>
          </cell>
        </row>
        <row r="5">
          <cell r="A5" t="str">
            <v>IQUINE</v>
          </cell>
          <cell r="B5">
            <v>63</v>
          </cell>
          <cell r="C5">
            <v>88361.508799999996</v>
          </cell>
          <cell r="D5">
            <v>26.32</v>
          </cell>
          <cell r="E5">
            <v>0</v>
          </cell>
          <cell r="F5">
            <v>0</v>
          </cell>
          <cell r="G5">
            <v>892.50400000000002</v>
          </cell>
          <cell r="H5">
            <v>87469.004799999995</v>
          </cell>
          <cell r="I5">
            <v>52628.839500000002</v>
          </cell>
          <cell r="J5">
            <v>526.80999999999995</v>
          </cell>
          <cell r="K5">
            <v>35366.975299999998</v>
          </cell>
          <cell r="L5">
            <v>40.270000000000003</v>
          </cell>
          <cell r="M5">
            <v>5.98</v>
          </cell>
        </row>
        <row r="6">
          <cell r="A6" t="str">
            <v>ARIELLE</v>
          </cell>
          <cell r="B6">
            <v>111</v>
          </cell>
          <cell r="C6">
            <v>74792.251300000004</v>
          </cell>
          <cell r="D6">
            <v>30.49</v>
          </cell>
          <cell r="E6">
            <v>0</v>
          </cell>
          <cell r="F6">
            <v>0</v>
          </cell>
          <cell r="G6">
            <v>3432.5790000000002</v>
          </cell>
          <cell r="H6">
            <v>71359.672300000006</v>
          </cell>
          <cell r="I6">
            <v>45565.186699999998</v>
          </cell>
          <cell r="J6">
            <v>2130.0034999999998</v>
          </cell>
          <cell r="K6">
            <v>27924.489099999999</v>
          </cell>
          <cell r="L6">
            <v>38.43</v>
          </cell>
          <cell r="M6">
            <v>5.0599999999999996</v>
          </cell>
        </row>
        <row r="7">
          <cell r="A7" t="str">
            <v>MEGAÓ</v>
          </cell>
          <cell r="B7">
            <v>67</v>
          </cell>
          <cell r="C7">
            <v>70195.81</v>
          </cell>
          <cell r="D7">
            <v>52.86</v>
          </cell>
          <cell r="E7">
            <v>0</v>
          </cell>
          <cell r="F7">
            <v>0</v>
          </cell>
          <cell r="G7">
            <v>387.4</v>
          </cell>
          <cell r="H7">
            <v>69808.41</v>
          </cell>
          <cell r="I7">
            <v>47059.92</v>
          </cell>
          <cell r="J7">
            <v>251.97</v>
          </cell>
          <cell r="K7">
            <v>23000.46</v>
          </cell>
          <cell r="L7">
            <v>32.880000000000003</v>
          </cell>
          <cell r="M7">
            <v>4.75</v>
          </cell>
        </row>
        <row r="8">
          <cell r="A8" t="str">
            <v>CERBRAS</v>
          </cell>
          <cell r="B8">
            <v>73</v>
          </cell>
          <cell r="C8">
            <v>63110.666700000002</v>
          </cell>
          <cell r="D8">
            <v>30.6</v>
          </cell>
          <cell r="E8">
            <v>0</v>
          </cell>
          <cell r="F8">
            <v>0</v>
          </cell>
          <cell r="G8">
            <v>903.73500000000001</v>
          </cell>
          <cell r="H8">
            <v>62206.931700000001</v>
          </cell>
          <cell r="I8">
            <v>42592.955199999997</v>
          </cell>
          <cell r="J8">
            <v>629.93700000000001</v>
          </cell>
          <cell r="K8">
            <v>20243.913499999999</v>
          </cell>
          <cell r="L8">
            <v>32.4</v>
          </cell>
          <cell r="M8">
            <v>4.2699999999999996</v>
          </cell>
        </row>
        <row r="9">
          <cell r="A9" t="str">
            <v>WEBER QUARTZOLIT</v>
          </cell>
          <cell r="B9">
            <v>156</v>
          </cell>
          <cell r="C9">
            <v>50597.59</v>
          </cell>
          <cell r="D9">
            <v>31.14</v>
          </cell>
          <cell r="E9">
            <v>0</v>
          </cell>
          <cell r="F9">
            <v>0</v>
          </cell>
          <cell r="G9">
            <v>885.12</v>
          </cell>
          <cell r="H9">
            <v>49712.47</v>
          </cell>
          <cell r="I9">
            <v>32232.51</v>
          </cell>
          <cell r="J9">
            <v>563.41999999999996</v>
          </cell>
          <cell r="K9">
            <v>18043.38</v>
          </cell>
          <cell r="L9">
            <v>36.06</v>
          </cell>
          <cell r="M9">
            <v>3.42</v>
          </cell>
        </row>
        <row r="10">
          <cell r="A10" t="str">
            <v>QUALITY</v>
          </cell>
          <cell r="B10">
            <v>61</v>
          </cell>
          <cell r="C10">
            <v>45960.7</v>
          </cell>
          <cell r="D10">
            <v>177.45</v>
          </cell>
          <cell r="E10">
            <v>0</v>
          </cell>
          <cell r="F10">
            <v>0</v>
          </cell>
          <cell r="G10">
            <v>477.79</v>
          </cell>
          <cell r="H10">
            <v>45482.91</v>
          </cell>
          <cell r="I10">
            <v>29995.34</v>
          </cell>
          <cell r="J10">
            <v>290.39999999999998</v>
          </cell>
          <cell r="K10">
            <v>15777.97</v>
          </cell>
          <cell r="L10">
            <v>34.549999999999997</v>
          </cell>
          <cell r="M10">
            <v>3.11</v>
          </cell>
        </row>
        <row r="11">
          <cell r="A11" t="str">
            <v>ROCA</v>
          </cell>
          <cell r="B11">
            <v>66</v>
          </cell>
          <cell r="C11">
            <v>41978.879999999997</v>
          </cell>
          <cell r="D11">
            <v>149.38999999999999</v>
          </cell>
          <cell r="E11">
            <v>0</v>
          </cell>
          <cell r="F11">
            <v>0</v>
          </cell>
          <cell r="G11">
            <v>1338.71</v>
          </cell>
          <cell r="H11">
            <v>40640.17</v>
          </cell>
          <cell r="I11">
            <v>28291.1</v>
          </cell>
          <cell r="J11">
            <v>853.7</v>
          </cell>
          <cell r="K11">
            <v>13202.77</v>
          </cell>
          <cell r="L11">
            <v>32.1</v>
          </cell>
          <cell r="M11">
            <v>2.84</v>
          </cell>
        </row>
        <row r="12">
          <cell r="A12" t="str">
            <v>PORTO RICO</v>
          </cell>
          <cell r="B12">
            <v>67</v>
          </cell>
          <cell r="C12">
            <v>41919.800000000003</v>
          </cell>
          <cell r="D12">
            <v>27.08</v>
          </cell>
          <cell r="E12">
            <v>0</v>
          </cell>
          <cell r="F12">
            <v>0</v>
          </cell>
          <cell r="G12">
            <v>0</v>
          </cell>
          <cell r="H12">
            <v>41919.800000000003</v>
          </cell>
          <cell r="I12">
            <v>25433.759999999998</v>
          </cell>
          <cell r="J12">
            <v>0</v>
          </cell>
          <cell r="K12">
            <v>16486.04</v>
          </cell>
          <cell r="L12">
            <v>39.33</v>
          </cell>
          <cell r="M12">
            <v>2.84</v>
          </cell>
        </row>
        <row r="13">
          <cell r="A13" t="str">
            <v>FORTLEV</v>
          </cell>
          <cell r="B13">
            <v>72</v>
          </cell>
          <cell r="C13">
            <v>33999.96</v>
          </cell>
          <cell r="D13">
            <v>14.58</v>
          </cell>
          <cell r="E13">
            <v>0</v>
          </cell>
          <cell r="F13">
            <v>0</v>
          </cell>
          <cell r="G13">
            <v>393.04</v>
          </cell>
          <cell r="H13">
            <v>33606.92</v>
          </cell>
          <cell r="I13">
            <v>23372.38</v>
          </cell>
          <cell r="J13">
            <v>257.8</v>
          </cell>
          <cell r="K13">
            <v>10492.34</v>
          </cell>
          <cell r="L13">
            <v>31.1</v>
          </cell>
          <cell r="M13">
            <v>2.2999999999999998</v>
          </cell>
        </row>
        <row r="14">
          <cell r="A14" t="str">
            <v>BRASILIT</v>
          </cell>
          <cell r="B14">
            <v>23</v>
          </cell>
          <cell r="C14">
            <v>31780.26</v>
          </cell>
          <cell r="D14">
            <v>74.08</v>
          </cell>
          <cell r="E14">
            <v>0</v>
          </cell>
          <cell r="F14">
            <v>0</v>
          </cell>
          <cell r="G14">
            <v>1058.5999999999999</v>
          </cell>
          <cell r="H14">
            <v>30721.66</v>
          </cell>
          <cell r="I14">
            <v>27388.31</v>
          </cell>
          <cell r="J14">
            <v>908.46</v>
          </cell>
          <cell r="K14">
            <v>4241.8100000000004</v>
          </cell>
          <cell r="L14">
            <v>13.74</v>
          </cell>
          <cell r="M14">
            <v>2.15</v>
          </cell>
        </row>
        <row r="15">
          <cell r="A15" t="str">
            <v>TECNOGRES</v>
          </cell>
          <cell r="B15">
            <v>28</v>
          </cell>
          <cell r="C15">
            <v>27284.3658</v>
          </cell>
          <cell r="D15">
            <v>60.26</v>
          </cell>
          <cell r="E15">
            <v>0</v>
          </cell>
          <cell r="F15">
            <v>0</v>
          </cell>
          <cell r="G15">
            <v>0</v>
          </cell>
          <cell r="H15">
            <v>27284.3658</v>
          </cell>
          <cell r="I15">
            <v>17161.201700000001</v>
          </cell>
          <cell r="J15">
            <v>0</v>
          </cell>
          <cell r="K15">
            <v>10123.1641</v>
          </cell>
          <cell r="L15">
            <v>37.1</v>
          </cell>
          <cell r="M15">
            <v>1.85</v>
          </cell>
        </row>
        <row r="16">
          <cell r="A16" t="str">
            <v>ATLAS</v>
          </cell>
          <cell r="B16">
            <v>75</v>
          </cell>
          <cell r="C16">
            <v>22942.33</v>
          </cell>
          <cell r="D16">
            <v>16.260000000000002</v>
          </cell>
          <cell r="E16">
            <v>0</v>
          </cell>
          <cell r="F16">
            <v>0</v>
          </cell>
          <cell r="G16">
            <v>72.8</v>
          </cell>
          <cell r="H16">
            <v>22869.53</v>
          </cell>
          <cell r="I16">
            <v>12653.42</v>
          </cell>
          <cell r="J16">
            <v>41.32</v>
          </cell>
          <cell r="K16">
            <v>10257.43</v>
          </cell>
          <cell r="L16">
            <v>44.79</v>
          </cell>
          <cell r="M16">
            <v>1.55</v>
          </cell>
        </row>
        <row r="17">
          <cell r="A17" t="str">
            <v>LORENZETTI</v>
          </cell>
          <cell r="B17">
            <v>29</v>
          </cell>
          <cell r="C17">
            <v>21985.19</v>
          </cell>
          <cell r="D17">
            <v>79.95</v>
          </cell>
          <cell r="E17">
            <v>0</v>
          </cell>
          <cell r="F17">
            <v>0</v>
          </cell>
          <cell r="G17">
            <v>511.5</v>
          </cell>
          <cell r="H17">
            <v>21473.69</v>
          </cell>
          <cell r="I17">
            <v>13804.79</v>
          </cell>
          <cell r="J17">
            <v>318.67</v>
          </cell>
          <cell r="K17">
            <v>7987.57</v>
          </cell>
          <cell r="L17">
            <v>36.869999999999997</v>
          </cell>
          <cell r="M17">
            <v>1.49</v>
          </cell>
        </row>
        <row r="18">
          <cell r="A18" t="str">
            <v>PAMESA</v>
          </cell>
          <cell r="B18">
            <v>26</v>
          </cell>
          <cell r="C18">
            <v>20667.385600000001</v>
          </cell>
          <cell r="D18">
            <v>34.130000000000003</v>
          </cell>
          <cell r="E18">
            <v>0</v>
          </cell>
          <cell r="F18">
            <v>0</v>
          </cell>
          <cell r="G18">
            <v>246.45599999999999</v>
          </cell>
          <cell r="H18">
            <v>20420.929599999999</v>
          </cell>
          <cell r="I18">
            <v>12954.4552</v>
          </cell>
          <cell r="J18">
            <v>133.00559999999999</v>
          </cell>
          <cell r="K18">
            <v>7599.48</v>
          </cell>
          <cell r="L18">
            <v>37.01</v>
          </cell>
          <cell r="M18">
            <v>1.4</v>
          </cell>
        </row>
        <row r="19">
          <cell r="A19" t="str">
            <v>AVANT</v>
          </cell>
          <cell r="B19">
            <v>57</v>
          </cell>
          <cell r="C19">
            <v>19388.37</v>
          </cell>
          <cell r="D19">
            <v>8.93</v>
          </cell>
          <cell r="E19">
            <v>0</v>
          </cell>
          <cell r="F19">
            <v>0</v>
          </cell>
          <cell r="G19">
            <v>436.4</v>
          </cell>
          <cell r="H19">
            <v>18951.97</v>
          </cell>
          <cell r="I19">
            <v>10207.299999999999</v>
          </cell>
          <cell r="J19">
            <v>238.76</v>
          </cell>
          <cell r="K19">
            <v>8983.43</v>
          </cell>
          <cell r="L19">
            <v>46.91</v>
          </cell>
          <cell r="M19">
            <v>1.31</v>
          </cell>
        </row>
        <row r="20">
          <cell r="A20" t="str">
            <v>METAIS LEAO</v>
          </cell>
          <cell r="B20">
            <v>47</v>
          </cell>
          <cell r="C20">
            <v>18594.72</v>
          </cell>
          <cell r="D20">
            <v>70.17</v>
          </cell>
          <cell r="E20">
            <v>0</v>
          </cell>
          <cell r="F20">
            <v>0</v>
          </cell>
          <cell r="G20">
            <v>466.73</v>
          </cell>
          <cell r="H20">
            <v>18127.990000000002</v>
          </cell>
          <cell r="I20">
            <v>11128.55</v>
          </cell>
          <cell r="J20">
            <v>267.8</v>
          </cell>
          <cell r="K20">
            <v>7267.24</v>
          </cell>
          <cell r="L20">
            <v>39.65</v>
          </cell>
          <cell r="M20">
            <v>1.26</v>
          </cell>
        </row>
        <row r="21">
          <cell r="A21" t="str">
            <v>COBRECOM</v>
          </cell>
          <cell r="B21">
            <v>15</v>
          </cell>
          <cell r="C21">
            <v>16836.28</v>
          </cell>
          <cell r="D21">
            <v>171.8</v>
          </cell>
          <cell r="E21">
            <v>0</v>
          </cell>
          <cell r="F21">
            <v>0</v>
          </cell>
          <cell r="G21">
            <v>377.33</v>
          </cell>
          <cell r="H21">
            <v>16458.95</v>
          </cell>
          <cell r="I21">
            <v>10812.68</v>
          </cell>
          <cell r="J21">
            <v>217.66</v>
          </cell>
          <cell r="K21">
            <v>5863.93</v>
          </cell>
          <cell r="L21">
            <v>35.29</v>
          </cell>
          <cell r="M21">
            <v>1.1399999999999999</v>
          </cell>
        </row>
        <row r="22">
          <cell r="A22" t="str">
            <v>GHEL'PLUS</v>
          </cell>
          <cell r="B22">
            <v>29</v>
          </cell>
          <cell r="C22">
            <v>16743.62</v>
          </cell>
          <cell r="D22">
            <v>122.22</v>
          </cell>
          <cell r="E22">
            <v>0</v>
          </cell>
          <cell r="F22">
            <v>0</v>
          </cell>
          <cell r="G22">
            <v>629.45000000000005</v>
          </cell>
          <cell r="H22">
            <v>16114.17</v>
          </cell>
          <cell r="I22">
            <v>10364.52</v>
          </cell>
          <cell r="J22">
            <v>384.45</v>
          </cell>
          <cell r="K22">
            <v>6134.1</v>
          </cell>
          <cell r="L22">
            <v>37.5</v>
          </cell>
          <cell r="M22">
            <v>1.1299999999999999</v>
          </cell>
        </row>
        <row r="23">
          <cell r="A23" t="str">
            <v>ELIZABETH PORC.</v>
          </cell>
          <cell r="B23">
            <v>9</v>
          </cell>
          <cell r="C23">
            <v>16294.429</v>
          </cell>
          <cell r="D23">
            <v>55.6</v>
          </cell>
          <cell r="E23">
            <v>0</v>
          </cell>
          <cell r="F23">
            <v>0</v>
          </cell>
          <cell r="G23">
            <v>1062.027</v>
          </cell>
          <cell r="H23">
            <v>15232.402</v>
          </cell>
          <cell r="I23">
            <v>9879.0563000000002</v>
          </cell>
          <cell r="J23">
            <v>675.15840000000003</v>
          </cell>
          <cell r="K23">
            <v>6028.5041000000001</v>
          </cell>
          <cell r="L23">
            <v>38.6</v>
          </cell>
          <cell r="M23">
            <v>1.1000000000000001</v>
          </cell>
        </row>
        <row r="24">
          <cell r="A24" t="str">
            <v>MEC-TRONIC</v>
          </cell>
          <cell r="B24">
            <v>39</v>
          </cell>
          <cell r="C24">
            <v>16082.41</v>
          </cell>
          <cell r="D24">
            <v>12.11</v>
          </cell>
          <cell r="E24">
            <v>0</v>
          </cell>
          <cell r="F24">
            <v>0</v>
          </cell>
          <cell r="G24">
            <v>312.55</v>
          </cell>
          <cell r="H24">
            <v>15769.86</v>
          </cell>
          <cell r="I24">
            <v>8026.22</v>
          </cell>
          <cell r="J24">
            <v>180.77</v>
          </cell>
          <cell r="K24">
            <v>7924.41</v>
          </cell>
          <cell r="L24">
            <v>49.83</v>
          </cell>
          <cell r="M24">
            <v>1.0900000000000001</v>
          </cell>
        </row>
        <row r="25">
          <cell r="A25" t="str">
            <v>BLACK DECKER</v>
          </cell>
          <cell r="B25">
            <v>25</v>
          </cell>
          <cell r="C25">
            <v>13380.76</v>
          </cell>
          <cell r="D25">
            <v>41.95</v>
          </cell>
          <cell r="E25">
            <v>0</v>
          </cell>
          <cell r="F25">
            <v>0</v>
          </cell>
          <cell r="G25">
            <v>76.8</v>
          </cell>
          <cell r="H25">
            <v>13303.96</v>
          </cell>
          <cell r="I25">
            <v>8122.96</v>
          </cell>
          <cell r="J25">
            <v>43.3</v>
          </cell>
          <cell r="K25">
            <v>5224.3</v>
          </cell>
          <cell r="L25">
            <v>39.17</v>
          </cell>
          <cell r="M25">
            <v>0.91</v>
          </cell>
        </row>
        <row r="26">
          <cell r="A26" t="str">
            <v>KDK PORTAS</v>
          </cell>
          <cell r="B26">
            <v>24</v>
          </cell>
          <cell r="C26">
            <v>12072.83</v>
          </cell>
          <cell r="D26">
            <v>167.68</v>
          </cell>
          <cell r="E26">
            <v>0</v>
          </cell>
          <cell r="F26">
            <v>0</v>
          </cell>
          <cell r="G26">
            <v>527.39</v>
          </cell>
          <cell r="H26">
            <v>11545.44</v>
          </cell>
          <cell r="I26">
            <v>7046.62</v>
          </cell>
          <cell r="J26">
            <v>306.3</v>
          </cell>
          <cell r="K26">
            <v>4805.12</v>
          </cell>
          <cell r="L26">
            <v>40.840000000000003</v>
          </cell>
          <cell r="M26">
            <v>0.82</v>
          </cell>
        </row>
        <row r="27">
          <cell r="A27" t="str">
            <v>NITROLUX</v>
          </cell>
          <cell r="B27">
            <v>17</v>
          </cell>
          <cell r="C27">
            <v>11722.6</v>
          </cell>
          <cell r="D27">
            <v>22.2</v>
          </cell>
          <cell r="E27">
            <v>0</v>
          </cell>
          <cell r="F27">
            <v>0</v>
          </cell>
          <cell r="G27">
            <v>305.2</v>
          </cell>
          <cell r="H27">
            <v>11417.4</v>
          </cell>
          <cell r="I27">
            <v>6718.16</v>
          </cell>
          <cell r="J27">
            <v>166.38</v>
          </cell>
          <cell r="K27">
            <v>4865.62</v>
          </cell>
          <cell r="L27">
            <v>42.1</v>
          </cell>
          <cell r="M27">
            <v>0.79</v>
          </cell>
        </row>
        <row r="28">
          <cell r="A28" t="str">
            <v>INTECH MACHINE</v>
          </cell>
          <cell r="B28">
            <v>15</v>
          </cell>
          <cell r="C28">
            <v>11572.79</v>
          </cell>
          <cell r="D28">
            <v>189.72</v>
          </cell>
          <cell r="E28">
            <v>0</v>
          </cell>
          <cell r="F28">
            <v>0</v>
          </cell>
          <cell r="G28">
            <v>467.9</v>
          </cell>
          <cell r="H28">
            <v>11104.89</v>
          </cell>
          <cell r="I28">
            <v>7447.15</v>
          </cell>
          <cell r="J28">
            <v>281.11</v>
          </cell>
          <cell r="K28">
            <v>3938.85</v>
          </cell>
          <cell r="L28">
            <v>34.880000000000003</v>
          </cell>
          <cell r="M28">
            <v>0.78</v>
          </cell>
        </row>
        <row r="29">
          <cell r="A29" t="str">
            <v>ETERNIT</v>
          </cell>
          <cell r="B29">
            <v>14</v>
          </cell>
          <cell r="C29">
            <v>11542.7</v>
          </cell>
          <cell r="D29">
            <v>55.76</v>
          </cell>
          <cell r="E29">
            <v>0</v>
          </cell>
          <cell r="F29">
            <v>0</v>
          </cell>
          <cell r="G29">
            <v>0</v>
          </cell>
          <cell r="H29">
            <v>11542.7</v>
          </cell>
          <cell r="I29">
            <v>8607.24</v>
          </cell>
          <cell r="J29">
            <v>0</v>
          </cell>
          <cell r="K29">
            <v>2935.46</v>
          </cell>
          <cell r="L29">
            <v>25.43</v>
          </cell>
          <cell r="M29">
            <v>0.78</v>
          </cell>
        </row>
        <row r="30">
          <cell r="A30" t="str">
            <v>KRONA</v>
          </cell>
          <cell r="B30">
            <v>53</v>
          </cell>
          <cell r="C30">
            <v>11349.33</v>
          </cell>
          <cell r="D30">
            <v>6.83</v>
          </cell>
          <cell r="E30">
            <v>0</v>
          </cell>
          <cell r="F30">
            <v>0</v>
          </cell>
          <cell r="G30">
            <v>118.76</v>
          </cell>
          <cell r="H30">
            <v>11230.57</v>
          </cell>
          <cell r="I30">
            <v>6846.16</v>
          </cell>
          <cell r="J30">
            <v>71.64</v>
          </cell>
          <cell r="K30">
            <v>4456.05</v>
          </cell>
          <cell r="L30">
            <v>39.51</v>
          </cell>
          <cell r="M30">
            <v>0.77</v>
          </cell>
        </row>
        <row r="31">
          <cell r="A31" t="str">
            <v>GRANPLAST</v>
          </cell>
          <cell r="B31">
            <v>33</v>
          </cell>
          <cell r="C31">
            <v>9193.0300000000007</v>
          </cell>
          <cell r="D31">
            <v>14.34</v>
          </cell>
          <cell r="E31">
            <v>0</v>
          </cell>
          <cell r="F31">
            <v>0</v>
          </cell>
          <cell r="G31">
            <v>265.77999999999997</v>
          </cell>
          <cell r="H31">
            <v>8927.25</v>
          </cell>
          <cell r="I31">
            <v>4963.97</v>
          </cell>
          <cell r="J31">
            <v>152.1</v>
          </cell>
          <cell r="K31">
            <v>4115.38</v>
          </cell>
          <cell r="L31">
            <v>45.52</v>
          </cell>
          <cell r="M31">
            <v>0.62</v>
          </cell>
        </row>
        <row r="32">
          <cell r="A32" t="str">
            <v>VIQUA</v>
          </cell>
          <cell r="B32">
            <v>44</v>
          </cell>
          <cell r="C32">
            <v>8918.64</v>
          </cell>
          <cell r="D32">
            <v>36.4</v>
          </cell>
          <cell r="E32">
            <v>0</v>
          </cell>
          <cell r="F32">
            <v>0</v>
          </cell>
          <cell r="G32">
            <v>152</v>
          </cell>
          <cell r="H32">
            <v>8766.64</v>
          </cell>
          <cell r="I32">
            <v>5497.11</v>
          </cell>
          <cell r="J32">
            <v>92.08</v>
          </cell>
          <cell r="K32">
            <v>3361.61</v>
          </cell>
          <cell r="L32">
            <v>38.090000000000003</v>
          </cell>
          <cell r="M32">
            <v>0.6</v>
          </cell>
        </row>
        <row r="33">
          <cell r="A33" t="str">
            <v>ANAUGER</v>
          </cell>
          <cell r="B33">
            <v>6</v>
          </cell>
          <cell r="C33">
            <v>8867.5</v>
          </cell>
          <cell r="D33">
            <v>369.48</v>
          </cell>
          <cell r="E33">
            <v>0</v>
          </cell>
          <cell r="F33">
            <v>0</v>
          </cell>
          <cell r="G33">
            <v>0</v>
          </cell>
          <cell r="H33">
            <v>8867.5</v>
          </cell>
          <cell r="I33">
            <v>6212.37</v>
          </cell>
          <cell r="J33">
            <v>0</v>
          </cell>
          <cell r="K33">
            <v>2655.13</v>
          </cell>
          <cell r="L33">
            <v>29.94</v>
          </cell>
          <cell r="M33">
            <v>0.6</v>
          </cell>
        </row>
        <row r="34">
          <cell r="A34" t="str">
            <v>SILVANA</v>
          </cell>
          <cell r="B34">
            <v>25</v>
          </cell>
          <cell r="C34">
            <v>8387.64</v>
          </cell>
          <cell r="D34">
            <v>27.06</v>
          </cell>
          <cell r="E34">
            <v>0</v>
          </cell>
          <cell r="F34">
            <v>0</v>
          </cell>
          <cell r="G34">
            <v>107.67</v>
          </cell>
          <cell r="H34">
            <v>8279.9699999999993</v>
          </cell>
          <cell r="I34">
            <v>4766.59</v>
          </cell>
          <cell r="J34">
            <v>64.010000000000005</v>
          </cell>
          <cell r="K34">
            <v>3577.39</v>
          </cell>
          <cell r="L34">
            <v>42.98</v>
          </cell>
          <cell r="M34">
            <v>0.56999999999999995</v>
          </cell>
        </row>
        <row r="35">
          <cell r="A35" t="str">
            <v>BELLA PIA</v>
          </cell>
          <cell r="B35">
            <v>17</v>
          </cell>
          <cell r="C35">
            <v>6687.4</v>
          </cell>
          <cell r="D35">
            <v>171.47</v>
          </cell>
          <cell r="E35">
            <v>0</v>
          </cell>
          <cell r="F35">
            <v>0</v>
          </cell>
          <cell r="G35">
            <v>0</v>
          </cell>
          <cell r="H35">
            <v>6687.4</v>
          </cell>
          <cell r="I35">
            <v>4261.8100000000004</v>
          </cell>
          <cell r="J35">
            <v>0</v>
          </cell>
          <cell r="K35">
            <v>2425.59</v>
          </cell>
          <cell r="L35">
            <v>36.270000000000003</v>
          </cell>
          <cell r="M35">
            <v>0.45</v>
          </cell>
        </row>
        <row r="36">
          <cell r="A36" t="str">
            <v>REALLE</v>
          </cell>
          <cell r="B36">
            <v>10</v>
          </cell>
          <cell r="C36">
            <v>6384.9996000000001</v>
          </cell>
          <cell r="D36">
            <v>30.55</v>
          </cell>
          <cell r="E36">
            <v>0</v>
          </cell>
          <cell r="F36">
            <v>0</v>
          </cell>
          <cell r="G36">
            <v>0</v>
          </cell>
          <cell r="H36">
            <v>6384.9996000000001</v>
          </cell>
          <cell r="I36">
            <v>4248.576</v>
          </cell>
          <cell r="J36">
            <v>0</v>
          </cell>
          <cell r="K36">
            <v>2136.4236000000001</v>
          </cell>
          <cell r="L36">
            <v>33.46</v>
          </cell>
          <cell r="M36">
            <v>0.43</v>
          </cell>
        </row>
        <row r="37">
          <cell r="A37" t="str">
            <v>MGM</v>
          </cell>
          <cell r="B37">
            <v>11</v>
          </cell>
          <cell r="C37">
            <v>6196.7</v>
          </cell>
          <cell r="D37">
            <v>344.26</v>
          </cell>
          <cell r="E37">
            <v>0</v>
          </cell>
          <cell r="F37">
            <v>0</v>
          </cell>
          <cell r="G37">
            <v>254.9</v>
          </cell>
          <cell r="H37">
            <v>5941.8</v>
          </cell>
          <cell r="I37">
            <v>3784.49</v>
          </cell>
          <cell r="J37">
            <v>153.96</v>
          </cell>
          <cell r="K37">
            <v>2311.27</v>
          </cell>
          <cell r="L37">
            <v>38.25</v>
          </cell>
          <cell r="M37">
            <v>0.42</v>
          </cell>
        </row>
        <row r="38">
          <cell r="A38" t="str">
            <v>LEGRAND</v>
          </cell>
          <cell r="B38">
            <v>11</v>
          </cell>
          <cell r="C38">
            <v>5962.6</v>
          </cell>
          <cell r="D38">
            <v>14.91</v>
          </cell>
          <cell r="E38">
            <v>0</v>
          </cell>
          <cell r="F38">
            <v>0</v>
          </cell>
          <cell r="G38">
            <v>242.17</v>
          </cell>
          <cell r="H38">
            <v>5720.43</v>
          </cell>
          <cell r="I38">
            <v>3706.57</v>
          </cell>
          <cell r="J38">
            <v>147.71</v>
          </cell>
          <cell r="K38">
            <v>2161.5700000000002</v>
          </cell>
          <cell r="L38">
            <v>37.17</v>
          </cell>
          <cell r="M38">
            <v>0.4</v>
          </cell>
        </row>
        <row r="39">
          <cell r="A39" t="str">
            <v>INCESA</v>
          </cell>
          <cell r="B39">
            <v>4</v>
          </cell>
          <cell r="C39">
            <v>5947.25</v>
          </cell>
          <cell r="D39">
            <v>39</v>
          </cell>
          <cell r="E39">
            <v>0</v>
          </cell>
          <cell r="F39">
            <v>0</v>
          </cell>
          <cell r="G39">
            <v>336.75</v>
          </cell>
          <cell r="H39">
            <v>5610.5</v>
          </cell>
          <cell r="I39">
            <v>3445.05</v>
          </cell>
          <cell r="J39">
            <v>197.1</v>
          </cell>
          <cell r="K39">
            <v>2362.5500000000002</v>
          </cell>
          <cell r="L39">
            <v>41.09</v>
          </cell>
          <cell r="M39">
            <v>0.4</v>
          </cell>
        </row>
        <row r="40">
          <cell r="A40" t="str">
            <v>PADO</v>
          </cell>
          <cell r="B40">
            <v>17</v>
          </cell>
          <cell r="C40">
            <v>5410.91</v>
          </cell>
          <cell r="D40">
            <v>37.58</v>
          </cell>
          <cell r="E40">
            <v>0</v>
          </cell>
          <cell r="F40">
            <v>0</v>
          </cell>
          <cell r="G40">
            <v>0</v>
          </cell>
          <cell r="H40">
            <v>5410.91</v>
          </cell>
          <cell r="I40">
            <v>3019.07</v>
          </cell>
          <cell r="J40">
            <v>0</v>
          </cell>
          <cell r="K40">
            <v>2391.84</v>
          </cell>
          <cell r="L40">
            <v>44.2</v>
          </cell>
          <cell r="M40">
            <v>0.37</v>
          </cell>
        </row>
        <row r="41">
          <cell r="A41" t="str">
            <v>DOCOL METAIS</v>
          </cell>
          <cell r="B41">
            <v>18</v>
          </cell>
          <cell r="C41">
            <v>4968.49</v>
          </cell>
          <cell r="D41">
            <v>81.45</v>
          </cell>
          <cell r="E41">
            <v>0</v>
          </cell>
          <cell r="F41">
            <v>0</v>
          </cell>
          <cell r="G41">
            <v>64.900000000000006</v>
          </cell>
          <cell r="H41">
            <v>4903.59</v>
          </cell>
          <cell r="I41">
            <v>2903.46</v>
          </cell>
          <cell r="J41">
            <v>33.26</v>
          </cell>
          <cell r="K41">
            <v>2033.39</v>
          </cell>
          <cell r="L41">
            <v>41.2</v>
          </cell>
          <cell r="M41">
            <v>0.34</v>
          </cell>
        </row>
        <row r="42">
          <cell r="A42" t="str">
            <v>VEDACIT</v>
          </cell>
          <cell r="B42">
            <v>10</v>
          </cell>
          <cell r="C42">
            <v>4908.84</v>
          </cell>
          <cell r="D42">
            <v>59.86</v>
          </cell>
          <cell r="E42">
            <v>0</v>
          </cell>
          <cell r="F42">
            <v>0</v>
          </cell>
          <cell r="G42">
            <v>159</v>
          </cell>
          <cell r="H42">
            <v>4749.84</v>
          </cell>
          <cell r="I42">
            <v>2599.85</v>
          </cell>
          <cell r="J42">
            <v>87.29</v>
          </cell>
          <cell r="K42">
            <v>2237.2800000000002</v>
          </cell>
          <cell r="L42">
            <v>46.4</v>
          </cell>
          <cell r="M42">
            <v>0.33</v>
          </cell>
        </row>
        <row r="43">
          <cell r="A43" t="str">
            <v>BLUKIT</v>
          </cell>
          <cell r="B43">
            <v>34</v>
          </cell>
          <cell r="C43">
            <v>4722.3100000000004</v>
          </cell>
          <cell r="D43">
            <v>18.37</v>
          </cell>
          <cell r="E43">
            <v>0</v>
          </cell>
          <cell r="F43">
            <v>0</v>
          </cell>
          <cell r="G43">
            <v>191.38</v>
          </cell>
          <cell r="H43">
            <v>4530.93</v>
          </cell>
          <cell r="I43">
            <v>2853.12</v>
          </cell>
          <cell r="J43">
            <v>114.95</v>
          </cell>
          <cell r="K43">
            <v>1792.76</v>
          </cell>
          <cell r="L43">
            <v>38.909999999999997</v>
          </cell>
          <cell r="M43">
            <v>0.32</v>
          </cell>
        </row>
        <row r="44">
          <cell r="A44" t="str">
            <v>LEDVANCE</v>
          </cell>
          <cell r="B44">
            <v>13</v>
          </cell>
          <cell r="C44">
            <v>4581.8500000000004</v>
          </cell>
          <cell r="D44">
            <v>13.76</v>
          </cell>
          <cell r="E44">
            <v>0</v>
          </cell>
          <cell r="F44">
            <v>0</v>
          </cell>
          <cell r="G44">
            <v>0</v>
          </cell>
          <cell r="H44">
            <v>4581.8500000000004</v>
          </cell>
          <cell r="I44">
            <v>2467.37</v>
          </cell>
          <cell r="J44">
            <v>0</v>
          </cell>
          <cell r="K44">
            <v>2114.48</v>
          </cell>
          <cell r="L44">
            <v>46.15</v>
          </cell>
          <cell r="M44">
            <v>0.31</v>
          </cell>
        </row>
        <row r="45">
          <cell r="A45" t="str">
            <v>ASTRA</v>
          </cell>
          <cell r="B45">
            <v>27</v>
          </cell>
          <cell r="C45">
            <v>4500.0200000000004</v>
          </cell>
          <cell r="D45">
            <v>22.39</v>
          </cell>
          <cell r="E45">
            <v>0</v>
          </cell>
          <cell r="F45">
            <v>0</v>
          </cell>
          <cell r="G45">
            <v>34.6</v>
          </cell>
          <cell r="H45">
            <v>4465.42</v>
          </cell>
          <cell r="I45">
            <v>2650.23</v>
          </cell>
          <cell r="J45">
            <v>18.920000000000002</v>
          </cell>
          <cell r="K45">
            <v>1834.11</v>
          </cell>
          <cell r="L45">
            <v>40.93</v>
          </cell>
          <cell r="M45">
            <v>0.3</v>
          </cell>
        </row>
        <row r="46">
          <cell r="A46" t="str">
            <v>PULVITEC</v>
          </cell>
          <cell r="B46">
            <v>42</v>
          </cell>
          <cell r="C46">
            <v>4478.04</v>
          </cell>
          <cell r="D46">
            <v>7.77</v>
          </cell>
          <cell r="E46">
            <v>0</v>
          </cell>
          <cell r="F46">
            <v>0</v>
          </cell>
          <cell r="G46">
            <v>26.7</v>
          </cell>
          <cell r="H46">
            <v>4451.34</v>
          </cell>
          <cell r="I46">
            <v>2191.7800000000002</v>
          </cell>
          <cell r="J46">
            <v>13.97</v>
          </cell>
          <cell r="K46">
            <v>2273.5300000000002</v>
          </cell>
          <cell r="L46">
            <v>50.93</v>
          </cell>
          <cell r="M46">
            <v>0.3</v>
          </cell>
        </row>
        <row r="47">
          <cell r="A47" t="str">
            <v>NORTON</v>
          </cell>
          <cell r="B47">
            <v>27</v>
          </cell>
          <cell r="C47">
            <v>4367.1099999999997</v>
          </cell>
          <cell r="D47">
            <v>3.05</v>
          </cell>
          <cell r="E47">
            <v>0</v>
          </cell>
          <cell r="F47">
            <v>0</v>
          </cell>
          <cell r="G47">
            <v>18.899999999999999</v>
          </cell>
          <cell r="H47">
            <v>4348.21</v>
          </cell>
          <cell r="I47">
            <v>2239.6799999999998</v>
          </cell>
          <cell r="J47">
            <v>8.2200000000000006</v>
          </cell>
          <cell r="K47">
            <v>2116.75</v>
          </cell>
          <cell r="L47">
            <v>48.56</v>
          </cell>
          <cell r="M47">
            <v>0.3</v>
          </cell>
        </row>
        <row r="48">
          <cell r="A48" t="str">
            <v>PRATEFIX</v>
          </cell>
          <cell r="B48">
            <v>8</v>
          </cell>
          <cell r="C48">
            <v>4273.82</v>
          </cell>
          <cell r="D48">
            <v>35.909999999999997</v>
          </cell>
          <cell r="E48">
            <v>0</v>
          </cell>
          <cell r="F48">
            <v>0</v>
          </cell>
          <cell r="G48">
            <v>0</v>
          </cell>
          <cell r="H48">
            <v>4273.82</v>
          </cell>
          <cell r="I48">
            <v>2273.98</v>
          </cell>
          <cell r="J48">
            <v>0</v>
          </cell>
          <cell r="K48">
            <v>1999.84</v>
          </cell>
          <cell r="L48">
            <v>46.79</v>
          </cell>
          <cell r="M48">
            <v>0.28999999999999998</v>
          </cell>
        </row>
        <row r="49">
          <cell r="A49" t="str">
            <v>NAWA COM ATAC VAR PROD LAR E L</v>
          </cell>
          <cell r="B49">
            <v>7</v>
          </cell>
          <cell r="C49">
            <v>3949.14</v>
          </cell>
          <cell r="D49">
            <v>263.27999999999997</v>
          </cell>
          <cell r="E49">
            <v>0</v>
          </cell>
          <cell r="F49">
            <v>0</v>
          </cell>
          <cell r="G49">
            <v>0</v>
          </cell>
          <cell r="H49">
            <v>3949.14</v>
          </cell>
          <cell r="I49">
            <v>2288.33</v>
          </cell>
          <cell r="J49">
            <v>0</v>
          </cell>
          <cell r="K49">
            <v>1660.81</v>
          </cell>
          <cell r="L49">
            <v>42.05</v>
          </cell>
          <cell r="M49">
            <v>0.27</v>
          </cell>
        </row>
        <row r="50">
          <cell r="A50" t="str">
            <v>PRATIMIX</v>
          </cell>
          <cell r="B50">
            <v>27</v>
          </cell>
          <cell r="C50">
            <v>3930.61</v>
          </cell>
          <cell r="D50">
            <v>10.62</v>
          </cell>
          <cell r="E50">
            <v>0</v>
          </cell>
          <cell r="F50">
            <v>0</v>
          </cell>
          <cell r="G50">
            <v>165.7</v>
          </cell>
          <cell r="H50">
            <v>3764.91</v>
          </cell>
          <cell r="I50">
            <v>2214.98</v>
          </cell>
          <cell r="J50">
            <v>91.57</v>
          </cell>
          <cell r="K50">
            <v>1641.5</v>
          </cell>
          <cell r="L50">
            <v>42.76</v>
          </cell>
          <cell r="M50">
            <v>0.27</v>
          </cell>
        </row>
        <row r="51">
          <cell r="A51" t="str">
            <v>VONDER</v>
          </cell>
          <cell r="B51">
            <v>7</v>
          </cell>
          <cell r="C51">
            <v>3875.97</v>
          </cell>
          <cell r="D51">
            <v>34</v>
          </cell>
          <cell r="E51">
            <v>0</v>
          </cell>
          <cell r="F51">
            <v>0</v>
          </cell>
          <cell r="G51">
            <v>21.6</v>
          </cell>
          <cell r="H51">
            <v>3854.37</v>
          </cell>
          <cell r="I51">
            <v>2274.79</v>
          </cell>
          <cell r="J51">
            <v>7.73</v>
          </cell>
          <cell r="K51">
            <v>1587.31</v>
          </cell>
          <cell r="L51">
            <v>41.03</v>
          </cell>
          <cell r="M51">
            <v>0.26</v>
          </cell>
        </row>
        <row r="52">
          <cell r="A52" t="str">
            <v>CENSI</v>
          </cell>
          <cell r="B52">
            <v>39</v>
          </cell>
          <cell r="C52">
            <v>3783.9</v>
          </cell>
          <cell r="D52">
            <v>24.57</v>
          </cell>
          <cell r="E52">
            <v>0</v>
          </cell>
          <cell r="F52">
            <v>0</v>
          </cell>
          <cell r="G52">
            <v>201.79</v>
          </cell>
          <cell r="H52">
            <v>3582.11</v>
          </cell>
          <cell r="I52">
            <v>2277.96</v>
          </cell>
          <cell r="J52">
            <v>122.83</v>
          </cell>
          <cell r="K52">
            <v>1426.98</v>
          </cell>
          <cell r="L52">
            <v>38.979999999999997</v>
          </cell>
          <cell r="M52">
            <v>0.26</v>
          </cell>
        </row>
        <row r="53">
          <cell r="A53" t="str">
            <v>LUCONI</v>
          </cell>
          <cell r="B53">
            <v>41</v>
          </cell>
          <cell r="C53">
            <v>3697.53</v>
          </cell>
          <cell r="D53">
            <v>9.99</v>
          </cell>
          <cell r="E53">
            <v>0</v>
          </cell>
          <cell r="F53">
            <v>0</v>
          </cell>
          <cell r="G53">
            <v>131.74</v>
          </cell>
          <cell r="H53">
            <v>3565.79</v>
          </cell>
          <cell r="I53">
            <v>1801.94</v>
          </cell>
          <cell r="J53">
            <v>75.8</v>
          </cell>
          <cell r="K53">
            <v>1839.65</v>
          </cell>
          <cell r="L53">
            <v>50.79</v>
          </cell>
          <cell r="M53">
            <v>0.25</v>
          </cell>
        </row>
        <row r="54">
          <cell r="A54" t="str">
            <v>HERC</v>
          </cell>
          <cell r="B54">
            <v>18</v>
          </cell>
          <cell r="C54">
            <v>3455.9</v>
          </cell>
          <cell r="D54">
            <v>21.6</v>
          </cell>
          <cell r="E54">
            <v>0</v>
          </cell>
          <cell r="F54">
            <v>0</v>
          </cell>
          <cell r="G54">
            <v>78.38</v>
          </cell>
          <cell r="H54">
            <v>3377.52</v>
          </cell>
          <cell r="I54">
            <v>1837.24</v>
          </cell>
          <cell r="J54">
            <v>39.76</v>
          </cell>
          <cell r="K54">
            <v>1580.04</v>
          </cell>
          <cell r="L54">
            <v>46.25</v>
          </cell>
          <cell r="M54">
            <v>0.23</v>
          </cell>
        </row>
        <row r="55">
          <cell r="A55" t="str">
            <v>ADERE</v>
          </cell>
          <cell r="B55">
            <v>22</v>
          </cell>
          <cell r="C55">
            <v>3426.48</v>
          </cell>
          <cell r="D55">
            <v>10.11</v>
          </cell>
          <cell r="E55">
            <v>0</v>
          </cell>
          <cell r="F55">
            <v>0</v>
          </cell>
          <cell r="G55">
            <v>0</v>
          </cell>
          <cell r="H55">
            <v>3426.48</v>
          </cell>
          <cell r="I55">
            <v>2005.04</v>
          </cell>
          <cell r="J55">
            <v>0</v>
          </cell>
          <cell r="K55">
            <v>1421.44</v>
          </cell>
          <cell r="L55">
            <v>41.48</v>
          </cell>
          <cell r="M55">
            <v>0.23</v>
          </cell>
        </row>
        <row r="56">
          <cell r="A56" t="str">
            <v>CORTAG</v>
          </cell>
          <cell r="B56">
            <v>18</v>
          </cell>
          <cell r="C56">
            <v>3173.58</v>
          </cell>
          <cell r="D56">
            <v>35.659999999999997</v>
          </cell>
          <cell r="E56">
            <v>0</v>
          </cell>
          <cell r="F56">
            <v>0</v>
          </cell>
          <cell r="G56">
            <v>45.8</v>
          </cell>
          <cell r="H56">
            <v>3127.78</v>
          </cell>
          <cell r="I56">
            <v>1893.77</v>
          </cell>
          <cell r="J56">
            <v>23.56</v>
          </cell>
          <cell r="K56">
            <v>1257.57</v>
          </cell>
          <cell r="L56">
            <v>39.92</v>
          </cell>
          <cell r="M56">
            <v>0.21</v>
          </cell>
        </row>
        <row r="57">
          <cell r="A57" t="str">
            <v>BRASFORMA</v>
          </cell>
          <cell r="B57">
            <v>9</v>
          </cell>
          <cell r="C57">
            <v>3008.38</v>
          </cell>
          <cell r="D57">
            <v>50.14</v>
          </cell>
          <cell r="E57">
            <v>0</v>
          </cell>
          <cell r="F57">
            <v>0</v>
          </cell>
          <cell r="G57">
            <v>109.8</v>
          </cell>
          <cell r="H57">
            <v>2898.58</v>
          </cell>
          <cell r="I57">
            <v>1722.29</v>
          </cell>
          <cell r="J57">
            <v>61.39</v>
          </cell>
          <cell r="K57">
            <v>1237.68</v>
          </cell>
          <cell r="L57">
            <v>42</v>
          </cell>
          <cell r="M57">
            <v>0.2</v>
          </cell>
        </row>
        <row r="58">
          <cell r="A58" t="str">
            <v>PLASTMAR IND E COM</v>
          </cell>
          <cell r="B58">
            <v>9</v>
          </cell>
          <cell r="C58">
            <v>2915.29</v>
          </cell>
          <cell r="D58">
            <v>45.55</v>
          </cell>
          <cell r="E58">
            <v>0</v>
          </cell>
          <cell r="F58">
            <v>0</v>
          </cell>
          <cell r="G58">
            <v>0</v>
          </cell>
          <cell r="H58">
            <v>2915.29</v>
          </cell>
          <cell r="I58">
            <v>1675.51</v>
          </cell>
          <cell r="J58">
            <v>0</v>
          </cell>
          <cell r="K58">
            <v>1239.78</v>
          </cell>
          <cell r="L58">
            <v>42.53</v>
          </cell>
          <cell r="M58">
            <v>0.2</v>
          </cell>
        </row>
        <row r="59">
          <cell r="A59" t="str">
            <v>MARLUVAS</v>
          </cell>
          <cell r="B59">
            <v>6</v>
          </cell>
          <cell r="C59">
            <v>2267.34</v>
          </cell>
          <cell r="D59">
            <v>83.98</v>
          </cell>
          <cell r="E59">
            <v>0</v>
          </cell>
          <cell r="F59">
            <v>0</v>
          </cell>
          <cell r="G59">
            <v>0</v>
          </cell>
          <cell r="H59">
            <v>2267.34</v>
          </cell>
          <cell r="I59">
            <v>1348.3</v>
          </cell>
          <cell r="J59">
            <v>0</v>
          </cell>
          <cell r="K59">
            <v>919.04</v>
          </cell>
          <cell r="L59">
            <v>40.53</v>
          </cell>
          <cell r="M59">
            <v>0.15</v>
          </cell>
        </row>
        <row r="60">
          <cell r="A60" t="str">
            <v>ALIANÇA</v>
          </cell>
          <cell r="B60">
            <v>4</v>
          </cell>
          <cell r="C60">
            <v>2241.3000000000002</v>
          </cell>
          <cell r="D60">
            <v>60.58</v>
          </cell>
          <cell r="E60">
            <v>0</v>
          </cell>
          <cell r="F60">
            <v>0</v>
          </cell>
          <cell r="G60">
            <v>0</v>
          </cell>
          <cell r="H60">
            <v>2241.3000000000002</v>
          </cell>
          <cell r="I60">
            <v>1411.33</v>
          </cell>
          <cell r="J60">
            <v>0</v>
          </cell>
          <cell r="K60">
            <v>829.97</v>
          </cell>
          <cell r="L60">
            <v>37.03</v>
          </cell>
          <cell r="M60">
            <v>0.15</v>
          </cell>
        </row>
        <row r="61">
          <cell r="A61" t="str">
            <v>BOGNAR</v>
          </cell>
          <cell r="B61">
            <v>10</v>
          </cell>
          <cell r="C61">
            <v>2102.37</v>
          </cell>
          <cell r="D61">
            <v>47.78</v>
          </cell>
          <cell r="E61">
            <v>0</v>
          </cell>
          <cell r="F61">
            <v>0</v>
          </cell>
          <cell r="G61">
            <v>200.7</v>
          </cell>
          <cell r="H61">
            <v>1901.67</v>
          </cell>
          <cell r="I61">
            <v>1277.24</v>
          </cell>
          <cell r="J61">
            <v>121.77</v>
          </cell>
          <cell r="K61">
            <v>746.2</v>
          </cell>
          <cell r="L61">
            <v>37.68</v>
          </cell>
          <cell r="M61">
            <v>0.14000000000000001</v>
          </cell>
        </row>
        <row r="62">
          <cell r="A62" t="str">
            <v>ARAFORROS</v>
          </cell>
          <cell r="B62">
            <v>7</v>
          </cell>
          <cell r="C62">
            <v>2042.14</v>
          </cell>
          <cell r="D62">
            <v>157.09</v>
          </cell>
          <cell r="E62">
            <v>0</v>
          </cell>
          <cell r="F62">
            <v>0</v>
          </cell>
          <cell r="G62">
            <v>135.69999999999999</v>
          </cell>
          <cell r="H62">
            <v>1906.44</v>
          </cell>
          <cell r="I62">
            <v>1234.9000000000001</v>
          </cell>
          <cell r="J62">
            <v>79.64</v>
          </cell>
          <cell r="K62">
            <v>751.18</v>
          </cell>
          <cell r="L62">
            <v>38.28</v>
          </cell>
          <cell r="M62">
            <v>0.14000000000000001</v>
          </cell>
        </row>
        <row r="63">
          <cell r="A63" t="str">
            <v>TAF</v>
          </cell>
          <cell r="B63">
            <v>9</v>
          </cell>
          <cell r="C63">
            <v>1752.82</v>
          </cell>
          <cell r="D63">
            <v>15.65</v>
          </cell>
          <cell r="E63">
            <v>0</v>
          </cell>
          <cell r="F63">
            <v>0</v>
          </cell>
          <cell r="G63">
            <v>58.17</v>
          </cell>
          <cell r="H63">
            <v>1694.65</v>
          </cell>
          <cell r="I63">
            <v>1006.71</v>
          </cell>
          <cell r="J63">
            <v>35.03</v>
          </cell>
          <cell r="K63">
            <v>722.97</v>
          </cell>
          <cell r="L63">
            <v>42.09</v>
          </cell>
          <cell r="M63">
            <v>0.12</v>
          </cell>
        </row>
        <row r="64">
          <cell r="A64" t="str">
            <v>ILUMI</v>
          </cell>
          <cell r="B64">
            <v>13</v>
          </cell>
          <cell r="C64">
            <v>1695.42</v>
          </cell>
          <cell r="D64">
            <v>9.2100000000000009</v>
          </cell>
          <cell r="E64">
            <v>0</v>
          </cell>
          <cell r="F64">
            <v>0</v>
          </cell>
          <cell r="G64">
            <v>49.5</v>
          </cell>
          <cell r="H64">
            <v>1645.92</v>
          </cell>
          <cell r="I64">
            <v>957.52</v>
          </cell>
          <cell r="J64">
            <v>24.34</v>
          </cell>
          <cell r="K64">
            <v>712.74</v>
          </cell>
          <cell r="L64">
            <v>42.65</v>
          </cell>
          <cell r="M64">
            <v>0.11</v>
          </cell>
        </row>
        <row r="65">
          <cell r="A65" t="str">
            <v>TOP MIX</v>
          </cell>
          <cell r="B65">
            <v>2</v>
          </cell>
          <cell r="C65">
            <v>1629.9</v>
          </cell>
          <cell r="D65">
            <v>814.95</v>
          </cell>
          <cell r="E65">
            <v>0</v>
          </cell>
          <cell r="F65">
            <v>0</v>
          </cell>
          <cell r="G65">
            <v>0</v>
          </cell>
          <cell r="H65">
            <v>1629.9</v>
          </cell>
          <cell r="I65">
            <v>776.75</v>
          </cell>
          <cell r="J65">
            <v>0</v>
          </cell>
          <cell r="K65">
            <v>853.15</v>
          </cell>
          <cell r="L65">
            <v>52.34</v>
          </cell>
          <cell r="M65">
            <v>0.11</v>
          </cell>
        </row>
        <row r="66">
          <cell r="A66" t="str">
            <v>BOTAFOGO</v>
          </cell>
          <cell r="B66">
            <v>2</v>
          </cell>
          <cell r="C66">
            <v>1584.6</v>
          </cell>
          <cell r="D66">
            <v>396.15</v>
          </cell>
          <cell r="E66">
            <v>0</v>
          </cell>
          <cell r="F66">
            <v>0</v>
          </cell>
          <cell r="G66">
            <v>0</v>
          </cell>
          <cell r="H66">
            <v>1584.6</v>
          </cell>
          <cell r="I66">
            <v>972.77</v>
          </cell>
          <cell r="J66">
            <v>0</v>
          </cell>
          <cell r="K66">
            <v>611.83000000000004</v>
          </cell>
          <cell r="L66">
            <v>38.61</v>
          </cell>
          <cell r="M66">
            <v>0.11</v>
          </cell>
        </row>
        <row r="67">
          <cell r="A67" t="str">
            <v>STARRETT INDUSTRIA E COMERCIO</v>
          </cell>
          <cell r="B67">
            <v>9</v>
          </cell>
          <cell r="C67">
            <v>1568.88</v>
          </cell>
          <cell r="D67">
            <v>13.18</v>
          </cell>
          <cell r="E67">
            <v>0</v>
          </cell>
          <cell r="F67">
            <v>0</v>
          </cell>
          <cell r="G67">
            <v>0</v>
          </cell>
          <cell r="H67">
            <v>1568.88</v>
          </cell>
          <cell r="I67">
            <v>855.08</v>
          </cell>
          <cell r="J67">
            <v>0</v>
          </cell>
          <cell r="K67">
            <v>713.8</v>
          </cell>
          <cell r="L67">
            <v>45.5</v>
          </cell>
          <cell r="M67">
            <v>0.11</v>
          </cell>
        </row>
        <row r="68">
          <cell r="A68" t="str">
            <v>BEMFIXA</v>
          </cell>
          <cell r="B68">
            <v>10</v>
          </cell>
          <cell r="C68">
            <v>1564.16</v>
          </cell>
          <cell r="D68">
            <v>10.57</v>
          </cell>
          <cell r="E68">
            <v>0</v>
          </cell>
          <cell r="F68">
            <v>0</v>
          </cell>
          <cell r="G68">
            <v>0</v>
          </cell>
          <cell r="H68">
            <v>1564.16</v>
          </cell>
          <cell r="I68">
            <v>942.85</v>
          </cell>
          <cell r="J68">
            <v>0</v>
          </cell>
          <cell r="K68">
            <v>621.30999999999995</v>
          </cell>
          <cell r="L68">
            <v>39.72</v>
          </cell>
          <cell r="M68">
            <v>0.11</v>
          </cell>
        </row>
        <row r="69">
          <cell r="A69" t="str">
            <v>BOSCH</v>
          </cell>
          <cell r="B69">
            <v>7</v>
          </cell>
          <cell r="C69">
            <v>1431.36</v>
          </cell>
          <cell r="D69">
            <v>95.42</v>
          </cell>
          <cell r="E69">
            <v>0</v>
          </cell>
          <cell r="F69">
            <v>0</v>
          </cell>
          <cell r="G69">
            <v>334.9</v>
          </cell>
          <cell r="H69">
            <v>1096.46</v>
          </cell>
          <cell r="I69">
            <v>915.56</v>
          </cell>
          <cell r="J69">
            <v>215.19</v>
          </cell>
          <cell r="K69">
            <v>396.09</v>
          </cell>
          <cell r="L69">
            <v>32.57</v>
          </cell>
          <cell r="M69">
            <v>0.1</v>
          </cell>
        </row>
        <row r="70">
          <cell r="A70" t="str">
            <v>TRAMONTINA</v>
          </cell>
          <cell r="B70">
            <v>3</v>
          </cell>
          <cell r="C70">
            <v>1430.9</v>
          </cell>
          <cell r="D70">
            <v>68.14</v>
          </cell>
          <cell r="E70">
            <v>0</v>
          </cell>
          <cell r="F70">
            <v>0</v>
          </cell>
          <cell r="G70">
            <v>45.9</v>
          </cell>
          <cell r="H70">
            <v>1385</v>
          </cell>
          <cell r="I70">
            <v>895.39</v>
          </cell>
          <cell r="J70">
            <v>20.96</v>
          </cell>
          <cell r="K70">
            <v>510.57</v>
          </cell>
          <cell r="L70">
            <v>36.21</v>
          </cell>
          <cell r="M70">
            <v>0.1</v>
          </cell>
        </row>
        <row r="71">
          <cell r="A71" t="str">
            <v>EXATRON</v>
          </cell>
          <cell r="B71">
            <v>5</v>
          </cell>
          <cell r="C71">
            <v>1395.9</v>
          </cell>
          <cell r="D71">
            <v>51.7</v>
          </cell>
          <cell r="E71">
            <v>0</v>
          </cell>
          <cell r="F71">
            <v>0</v>
          </cell>
          <cell r="G71">
            <v>109.7</v>
          </cell>
          <cell r="H71">
            <v>1286.2</v>
          </cell>
          <cell r="I71">
            <v>812.45</v>
          </cell>
          <cell r="J71">
            <v>64.36</v>
          </cell>
          <cell r="K71">
            <v>538.11</v>
          </cell>
          <cell r="L71">
            <v>40.409999999999997</v>
          </cell>
          <cell r="M71">
            <v>0.09</v>
          </cell>
        </row>
        <row r="72">
          <cell r="A72" t="str">
            <v>FORTLINE</v>
          </cell>
          <cell r="B72">
            <v>2</v>
          </cell>
          <cell r="C72">
            <v>1390.8</v>
          </cell>
          <cell r="D72">
            <v>115.9</v>
          </cell>
          <cell r="E72">
            <v>0</v>
          </cell>
          <cell r="F72">
            <v>0</v>
          </cell>
          <cell r="G72">
            <v>0</v>
          </cell>
          <cell r="H72">
            <v>1390.8</v>
          </cell>
          <cell r="I72">
            <v>848.7</v>
          </cell>
          <cell r="J72">
            <v>0</v>
          </cell>
          <cell r="K72">
            <v>542.1</v>
          </cell>
          <cell r="L72">
            <v>38.979999999999997</v>
          </cell>
          <cell r="M72">
            <v>0.09</v>
          </cell>
        </row>
        <row r="73">
          <cell r="A73" t="str">
            <v>ANJO QUIMICA DO BRASIL LTDA</v>
          </cell>
          <cell r="B73">
            <v>3</v>
          </cell>
          <cell r="C73">
            <v>1256.29</v>
          </cell>
          <cell r="D73">
            <v>23.7</v>
          </cell>
          <cell r="E73">
            <v>0</v>
          </cell>
          <cell r="F73">
            <v>0</v>
          </cell>
          <cell r="G73">
            <v>0</v>
          </cell>
          <cell r="H73">
            <v>1256.29</v>
          </cell>
          <cell r="I73">
            <v>766.69</v>
          </cell>
          <cell r="J73">
            <v>0</v>
          </cell>
          <cell r="K73">
            <v>489.6</v>
          </cell>
          <cell r="L73">
            <v>38.97</v>
          </cell>
          <cell r="M73">
            <v>0.08</v>
          </cell>
        </row>
        <row r="74">
          <cell r="A74" t="str">
            <v>KALIPSO</v>
          </cell>
          <cell r="B74">
            <v>12</v>
          </cell>
          <cell r="C74">
            <v>1252.43</v>
          </cell>
          <cell r="D74">
            <v>8.58</v>
          </cell>
          <cell r="E74">
            <v>0</v>
          </cell>
          <cell r="F74">
            <v>0</v>
          </cell>
          <cell r="G74">
            <v>31.7</v>
          </cell>
          <cell r="H74">
            <v>1220.73</v>
          </cell>
          <cell r="I74">
            <v>582.42999999999995</v>
          </cell>
          <cell r="J74">
            <v>16.350000000000001</v>
          </cell>
          <cell r="K74">
            <v>654.65</v>
          </cell>
          <cell r="L74">
            <v>52.96</v>
          </cell>
          <cell r="M74">
            <v>0.08</v>
          </cell>
        </row>
        <row r="75">
          <cell r="A75" t="str">
            <v>BRASFORT</v>
          </cell>
          <cell r="B75">
            <v>5</v>
          </cell>
          <cell r="C75">
            <v>1236.6400000000001</v>
          </cell>
          <cell r="D75">
            <v>20.61</v>
          </cell>
          <cell r="E75">
            <v>0</v>
          </cell>
          <cell r="F75">
            <v>0</v>
          </cell>
          <cell r="G75">
            <v>15</v>
          </cell>
          <cell r="H75">
            <v>1221.6400000000001</v>
          </cell>
          <cell r="I75">
            <v>727.92</v>
          </cell>
          <cell r="J75">
            <v>8.86</v>
          </cell>
          <cell r="K75">
            <v>502.58</v>
          </cell>
          <cell r="L75">
            <v>40.93</v>
          </cell>
          <cell r="M75">
            <v>0.08</v>
          </cell>
        </row>
        <row r="76">
          <cell r="A76" t="str">
            <v>GARDENLIFE</v>
          </cell>
          <cell r="B76">
            <v>5</v>
          </cell>
          <cell r="C76">
            <v>1204.2</v>
          </cell>
          <cell r="D76">
            <v>43.01</v>
          </cell>
          <cell r="E76">
            <v>0</v>
          </cell>
          <cell r="F76">
            <v>0</v>
          </cell>
          <cell r="G76">
            <v>0</v>
          </cell>
          <cell r="H76">
            <v>1204.2</v>
          </cell>
          <cell r="I76">
            <v>806.97</v>
          </cell>
          <cell r="J76">
            <v>0</v>
          </cell>
          <cell r="K76">
            <v>397.23</v>
          </cell>
          <cell r="L76">
            <v>32.99</v>
          </cell>
          <cell r="M76">
            <v>0.08</v>
          </cell>
        </row>
        <row r="77">
          <cell r="A77" t="str">
            <v>J LOBATO</v>
          </cell>
          <cell r="B77">
            <v>7</v>
          </cell>
          <cell r="C77">
            <v>1201.8</v>
          </cell>
          <cell r="D77">
            <v>17.170000000000002</v>
          </cell>
          <cell r="E77">
            <v>0</v>
          </cell>
          <cell r="F77">
            <v>0</v>
          </cell>
          <cell r="G77">
            <v>5.7</v>
          </cell>
          <cell r="H77">
            <v>1196.0999999999999</v>
          </cell>
          <cell r="I77">
            <v>548.64</v>
          </cell>
          <cell r="J77">
            <v>2.83</v>
          </cell>
          <cell r="K77">
            <v>650.29</v>
          </cell>
          <cell r="L77">
            <v>54.24</v>
          </cell>
          <cell r="M77">
            <v>0.08</v>
          </cell>
        </row>
        <row r="78">
          <cell r="A78" t="str">
            <v>Momfort</v>
          </cell>
          <cell r="B78">
            <v>8</v>
          </cell>
          <cell r="C78">
            <v>1165.3</v>
          </cell>
          <cell r="D78">
            <v>32.369999999999997</v>
          </cell>
          <cell r="E78">
            <v>0</v>
          </cell>
          <cell r="F78">
            <v>0</v>
          </cell>
          <cell r="G78">
            <v>0</v>
          </cell>
          <cell r="H78">
            <v>1165.3</v>
          </cell>
          <cell r="I78">
            <v>651.67999999999995</v>
          </cell>
          <cell r="J78">
            <v>0</v>
          </cell>
          <cell r="K78">
            <v>513.62</v>
          </cell>
          <cell r="L78">
            <v>44.08</v>
          </cell>
          <cell r="M78">
            <v>0.08</v>
          </cell>
        </row>
        <row r="79">
          <cell r="A79" t="str">
            <v>Max-Giro</v>
          </cell>
          <cell r="B79">
            <v>9</v>
          </cell>
          <cell r="C79">
            <v>1154.6500000000001</v>
          </cell>
          <cell r="D79">
            <v>13.43</v>
          </cell>
          <cell r="E79">
            <v>0</v>
          </cell>
          <cell r="F79">
            <v>0</v>
          </cell>
          <cell r="G79">
            <v>0</v>
          </cell>
          <cell r="H79">
            <v>1154.6500000000001</v>
          </cell>
          <cell r="I79">
            <v>661.2</v>
          </cell>
          <cell r="J79">
            <v>0</v>
          </cell>
          <cell r="K79">
            <v>493.45</v>
          </cell>
          <cell r="L79">
            <v>42.74</v>
          </cell>
          <cell r="M79">
            <v>0.08</v>
          </cell>
        </row>
        <row r="80">
          <cell r="A80" t="str">
            <v>METALOSA</v>
          </cell>
          <cell r="B80">
            <v>3</v>
          </cell>
          <cell r="C80">
            <v>1069.2</v>
          </cell>
          <cell r="D80">
            <v>213.84</v>
          </cell>
          <cell r="E80">
            <v>0</v>
          </cell>
          <cell r="F80">
            <v>0</v>
          </cell>
          <cell r="G80">
            <v>0</v>
          </cell>
          <cell r="H80">
            <v>1069.2</v>
          </cell>
          <cell r="I80">
            <v>629.37</v>
          </cell>
          <cell r="J80">
            <v>0</v>
          </cell>
          <cell r="K80">
            <v>439.83</v>
          </cell>
          <cell r="L80">
            <v>41.14</v>
          </cell>
          <cell r="M80">
            <v>7.0000000000000007E-2</v>
          </cell>
        </row>
        <row r="81">
          <cell r="A81" t="str">
            <v>NORCOLA</v>
          </cell>
          <cell r="B81">
            <v>5</v>
          </cell>
          <cell r="C81">
            <v>984.34</v>
          </cell>
          <cell r="D81">
            <v>31.75</v>
          </cell>
          <cell r="E81">
            <v>0</v>
          </cell>
          <cell r="F81">
            <v>0</v>
          </cell>
          <cell r="G81">
            <v>0</v>
          </cell>
          <cell r="H81">
            <v>984.34</v>
          </cell>
          <cell r="I81">
            <v>750.42</v>
          </cell>
          <cell r="J81">
            <v>0</v>
          </cell>
          <cell r="K81">
            <v>233.92</v>
          </cell>
          <cell r="L81">
            <v>23.76</v>
          </cell>
          <cell r="M81">
            <v>7.0000000000000007E-2</v>
          </cell>
        </row>
        <row r="82">
          <cell r="A82" t="str">
            <v>ORBI QUIMICA LTDA</v>
          </cell>
          <cell r="B82">
            <v>5</v>
          </cell>
          <cell r="C82">
            <v>929.16</v>
          </cell>
          <cell r="D82">
            <v>14.08</v>
          </cell>
          <cell r="E82">
            <v>0</v>
          </cell>
          <cell r="F82">
            <v>0</v>
          </cell>
          <cell r="G82">
            <v>0</v>
          </cell>
          <cell r="H82">
            <v>929.16</v>
          </cell>
          <cell r="I82">
            <v>527.17999999999995</v>
          </cell>
          <cell r="J82">
            <v>0</v>
          </cell>
          <cell r="K82">
            <v>401.98</v>
          </cell>
          <cell r="L82">
            <v>43.26</v>
          </cell>
          <cell r="M82">
            <v>0.06</v>
          </cell>
        </row>
        <row r="83">
          <cell r="A83" t="str">
            <v>DUDA</v>
          </cell>
          <cell r="B83">
            <v>5</v>
          </cell>
          <cell r="C83">
            <v>856.56</v>
          </cell>
          <cell r="D83">
            <v>34.26</v>
          </cell>
          <cell r="E83">
            <v>0</v>
          </cell>
          <cell r="F83">
            <v>0</v>
          </cell>
          <cell r="G83">
            <v>108.3</v>
          </cell>
          <cell r="H83">
            <v>748.26</v>
          </cell>
          <cell r="I83">
            <v>487.43799999999999</v>
          </cell>
          <cell r="J83">
            <v>61.81</v>
          </cell>
          <cell r="K83">
            <v>322.63200000000001</v>
          </cell>
          <cell r="L83">
            <v>40.6</v>
          </cell>
          <cell r="M83">
            <v>0.06</v>
          </cell>
        </row>
        <row r="84">
          <cell r="A84" t="str">
            <v>PRECON</v>
          </cell>
          <cell r="B84">
            <v>2</v>
          </cell>
          <cell r="C84">
            <v>843.84</v>
          </cell>
          <cell r="D84">
            <v>140.63999999999999</v>
          </cell>
          <cell r="E84">
            <v>0</v>
          </cell>
          <cell r="F84">
            <v>0</v>
          </cell>
          <cell r="G84">
            <v>0</v>
          </cell>
          <cell r="H84">
            <v>843.84</v>
          </cell>
          <cell r="I84">
            <v>544</v>
          </cell>
          <cell r="J84">
            <v>0</v>
          </cell>
          <cell r="K84">
            <v>299.83999999999997</v>
          </cell>
          <cell r="L84">
            <v>35.53</v>
          </cell>
          <cell r="M84">
            <v>0.06</v>
          </cell>
        </row>
        <row r="85">
          <cell r="A85" t="str">
            <v>PINTSILK</v>
          </cell>
          <cell r="B85">
            <v>5</v>
          </cell>
          <cell r="C85">
            <v>839.5</v>
          </cell>
          <cell r="D85">
            <v>104.94</v>
          </cell>
          <cell r="E85">
            <v>0</v>
          </cell>
          <cell r="F85">
            <v>0</v>
          </cell>
          <cell r="G85">
            <v>109</v>
          </cell>
          <cell r="H85">
            <v>730.5</v>
          </cell>
          <cell r="I85">
            <v>480.49</v>
          </cell>
          <cell r="J85">
            <v>63.45</v>
          </cell>
          <cell r="K85">
            <v>313.45999999999998</v>
          </cell>
          <cell r="L85">
            <v>40.39</v>
          </cell>
          <cell r="M85">
            <v>0.06</v>
          </cell>
        </row>
        <row r="86">
          <cell r="A86" t="str">
            <v>HIDRACOR</v>
          </cell>
          <cell r="B86">
            <v>9</v>
          </cell>
          <cell r="C86">
            <v>824.7</v>
          </cell>
          <cell r="D86">
            <v>2.89</v>
          </cell>
          <cell r="E86">
            <v>0</v>
          </cell>
          <cell r="F86">
            <v>0</v>
          </cell>
          <cell r="G86">
            <v>0</v>
          </cell>
          <cell r="H86">
            <v>824.7</v>
          </cell>
          <cell r="I86">
            <v>402.52</v>
          </cell>
          <cell r="J86">
            <v>0</v>
          </cell>
          <cell r="K86">
            <v>422.18</v>
          </cell>
          <cell r="L86">
            <v>51.19</v>
          </cell>
          <cell r="M86">
            <v>0.06</v>
          </cell>
        </row>
        <row r="87">
          <cell r="A87" t="str">
            <v>COZIMAX</v>
          </cell>
          <cell r="B87">
            <v>2</v>
          </cell>
          <cell r="C87">
            <v>749.5</v>
          </cell>
          <cell r="D87">
            <v>149.9</v>
          </cell>
          <cell r="E87">
            <v>0</v>
          </cell>
          <cell r="F87">
            <v>0</v>
          </cell>
          <cell r="G87">
            <v>0</v>
          </cell>
          <cell r="H87">
            <v>749.5</v>
          </cell>
          <cell r="I87">
            <v>465.17</v>
          </cell>
          <cell r="J87">
            <v>0</v>
          </cell>
          <cell r="K87">
            <v>284.33</v>
          </cell>
          <cell r="L87">
            <v>37.94</v>
          </cell>
          <cell r="M87">
            <v>0.05</v>
          </cell>
        </row>
        <row r="88">
          <cell r="A88" t="str">
            <v>SECALUX</v>
          </cell>
          <cell r="B88">
            <v>4</v>
          </cell>
          <cell r="C88">
            <v>692.34</v>
          </cell>
          <cell r="D88">
            <v>46.16</v>
          </cell>
          <cell r="E88">
            <v>0</v>
          </cell>
          <cell r="F88">
            <v>0</v>
          </cell>
          <cell r="G88">
            <v>91.7</v>
          </cell>
          <cell r="H88">
            <v>600.64</v>
          </cell>
          <cell r="I88">
            <v>425.4</v>
          </cell>
          <cell r="J88">
            <v>53.76</v>
          </cell>
          <cell r="K88">
            <v>229</v>
          </cell>
          <cell r="L88">
            <v>35.86</v>
          </cell>
          <cell r="M88">
            <v>0.05</v>
          </cell>
        </row>
        <row r="89">
          <cell r="A89" t="str">
            <v>ULTRA CLEAN</v>
          </cell>
          <cell r="B89">
            <v>5</v>
          </cell>
          <cell r="C89">
            <v>690.13</v>
          </cell>
          <cell r="D89">
            <v>20.91</v>
          </cell>
          <cell r="E89">
            <v>0</v>
          </cell>
          <cell r="F89">
            <v>0</v>
          </cell>
          <cell r="G89">
            <v>0</v>
          </cell>
          <cell r="H89">
            <v>690.13</v>
          </cell>
          <cell r="I89">
            <v>421.01</v>
          </cell>
          <cell r="J89">
            <v>0</v>
          </cell>
          <cell r="K89">
            <v>269.12</v>
          </cell>
          <cell r="L89">
            <v>39</v>
          </cell>
          <cell r="M89">
            <v>0.05</v>
          </cell>
        </row>
        <row r="90">
          <cell r="A90" t="str">
            <v>LEDAN</v>
          </cell>
          <cell r="B90">
            <v>3</v>
          </cell>
          <cell r="C90">
            <v>625.41</v>
          </cell>
          <cell r="D90">
            <v>12.03</v>
          </cell>
          <cell r="E90">
            <v>0</v>
          </cell>
          <cell r="F90">
            <v>0</v>
          </cell>
          <cell r="G90">
            <v>0</v>
          </cell>
          <cell r="H90">
            <v>625.41</v>
          </cell>
          <cell r="I90">
            <v>385.3</v>
          </cell>
          <cell r="J90">
            <v>0</v>
          </cell>
          <cell r="K90">
            <v>240.11</v>
          </cell>
          <cell r="L90">
            <v>38.39</v>
          </cell>
          <cell r="M90">
            <v>0.04</v>
          </cell>
        </row>
        <row r="91">
          <cell r="A91" t="str">
            <v>TRAMONTINA NORDESTE</v>
          </cell>
          <cell r="B91">
            <v>4</v>
          </cell>
          <cell r="C91">
            <v>582.79999999999995</v>
          </cell>
          <cell r="D91">
            <v>32.380000000000003</v>
          </cell>
          <cell r="E91">
            <v>0</v>
          </cell>
          <cell r="F91">
            <v>0</v>
          </cell>
          <cell r="G91">
            <v>0</v>
          </cell>
          <cell r="H91">
            <v>582.79999999999995</v>
          </cell>
          <cell r="I91">
            <v>411.92</v>
          </cell>
          <cell r="J91">
            <v>0</v>
          </cell>
          <cell r="K91">
            <v>170.88</v>
          </cell>
          <cell r="L91">
            <v>29.32</v>
          </cell>
          <cell r="M91">
            <v>0.04</v>
          </cell>
        </row>
        <row r="92">
          <cell r="A92" t="str">
            <v>GERDAU</v>
          </cell>
          <cell r="B92">
            <v>6</v>
          </cell>
          <cell r="C92">
            <v>569.95000000000005</v>
          </cell>
          <cell r="D92">
            <v>27.14</v>
          </cell>
          <cell r="E92">
            <v>0</v>
          </cell>
          <cell r="F92">
            <v>0</v>
          </cell>
          <cell r="G92">
            <v>0</v>
          </cell>
          <cell r="H92">
            <v>569.95000000000005</v>
          </cell>
          <cell r="I92">
            <v>317.66000000000003</v>
          </cell>
          <cell r="J92">
            <v>0</v>
          </cell>
          <cell r="K92">
            <v>252.29</v>
          </cell>
          <cell r="L92">
            <v>44.27</v>
          </cell>
          <cell r="M92">
            <v>0.04</v>
          </cell>
        </row>
        <row r="93">
          <cell r="A93" t="str">
            <v>CHEMONE</v>
          </cell>
          <cell r="B93">
            <v>4</v>
          </cell>
          <cell r="C93">
            <v>566.49</v>
          </cell>
          <cell r="D93">
            <v>14.53</v>
          </cell>
          <cell r="E93">
            <v>0</v>
          </cell>
          <cell r="F93">
            <v>0</v>
          </cell>
          <cell r="G93">
            <v>0</v>
          </cell>
          <cell r="H93">
            <v>566.49</v>
          </cell>
          <cell r="I93">
            <v>328.25</v>
          </cell>
          <cell r="J93">
            <v>0</v>
          </cell>
          <cell r="K93">
            <v>238.24</v>
          </cell>
          <cell r="L93">
            <v>42.06</v>
          </cell>
          <cell r="M93">
            <v>0.04</v>
          </cell>
        </row>
        <row r="94">
          <cell r="A94" t="str">
            <v>MASCOTE</v>
          </cell>
          <cell r="B94">
            <v>11</v>
          </cell>
          <cell r="C94">
            <v>540.44000000000005</v>
          </cell>
          <cell r="D94">
            <v>9.83</v>
          </cell>
          <cell r="E94">
            <v>0</v>
          </cell>
          <cell r="F94">
            <v>0</v>
          </cell>
          <cell r="G94">
            <v>46.13</v>
          </cell>
          <cell r="H94">
            <v>494.31</v>
          </cell>
          <cell r="I94">
            <v>271.60000000000002</v>
          </cell>
          <cell r="J94">
            <v>24.68</v>
          </cell>
          <cell r="K94">
            <v>247.39</v>
          </cell>
          <cell r="L94">
            <v>47.97</v>
          </cell>
          <cell r="M94">
            <v>0.04</v>
          </cell>
        </row>
        <row r="95">
          <cell r="A95" t="str">
            <v>ULTRACLEAN</v>
          </cell>
          <cell r="B95">
            <v>5</v>
          </cell>
          <cell r="C95">
            <v>497.86</v>
          </cell>
          <cell r="D95">
            <v>19.149999999999999</v>
          </cell>
          <cell r="E95">
            <v>0</v>
          </cell>
          <cell r="F95">
            <v>0</v>
          </cell>
          <cell r="G95">
            <v>0</v>
          </cell>
          <cell r="H95">
            <v>497.86</v>
          </cell>
          <cell r="I95">
            <v>293.25</v>
          </cell>
          <cell r="J95">
            <v>0</v>
          </cell>
          <cell r="K95">
            <v>204.61</v>
          </cell>
          <cell r="L95">
            <v>41.1</v>
          </cell>
          <cell r="M95">
            <v>0.03</v>
          </cell>
        </row>
        <row r="96">
          <cell r="A96" t="str">
            <v>ATTENA</v>
          </cell>
          <cell r="B96">
            <v>2</v>
          </cell>
          <cell r="C96">
            <v>458.1</v>
          </cell>
          <cell r="D96">
            <v>28.63</v>
          </cell>
          <cell r="E96">
            <v>0</v>
          </cell>
          <cell r="F96">
            <v>0</v>
          </cell>
          <cell r="G96">
            <v>0</v>
          </cell>
          <cell r="H96">
            <v>458.1</v>
          </cell>
          <cell r="I96">
            <v>824.8</v>
          </cell>
          <cell r="J96">
            <v>0</v>
          </cell>
          <cell r="K96">
            <v>-366.7</v>
          </cell>
          <cell r="L96">
            <v>0</v>
          </cell>
          <cell r="M96">
            <v>0.03</v>
          </cell>
        </row>
        <row r="97">
          <cell r="A97" t="str">
            <v>PADRAO FORTE</v>
          </cell>
          <cell r="B97">
            <v>8</v>
          </cell>
          <cell r="C97">
            <v>454.62</v>
          </cell>
          <cell r="D97">
            <v>18.940000000000001</v>
          </cell>
          <cell r="E97">
            <v>0</v>
          </cell>
          <cell r="F97">
            <v>0</v>
          </cell>
          <cell r="G97">
            <v>0</v>
          </cell>
          <cell r="H97">
            <v>454.62</v>
          </cell>
          <cell r="I97">
            <v>268.61</v>
          </cell>
          <cell r="J97">
            <v>0</v>
          </cell>
          <cell r="K97">
            <v>186.01</v>
          </cell>
          <cell r="L97">
            <v>40.92</v>
          </cell>
          <cell r="M97">
            <v>0.03</v>
          </cell>
        </row>
        <row r="98">
          <cell r="A98" t="str">
            <v>OVERTIME</v>
          </cell>
          <cell r="B98">
            <v>5</v>
          </cell>
          <cell r="C98">
            <v>439.97</v>
          </cell>
          <cell r="D98">
            <v>24.44</v>
          </cell>
          <cell r="E98">
            <v>0</v>
          </cell>
          <cell r="F98">
            <v>0</v>
          </cell>
          <cell r="G98">
            <v>0</v>
          </cell>
          <cell r="H98">
            <v>439.97</v>
          </cell>
          <cell r="I98">
            <v>263.62</v>
          </cell>
          <cell r="J98">
            <v>0</v>
          </cell>
          <cell r="K98">
            <v>176.35</v>
          </cell>
          <cell r="L98">
            <v>40.08</v>
          </cell>
          <cell r="M98">
            <v>0.03</v>
          </cell>
        </row>
        <row r="99">
          <cell r="A99" t="str">
            <v>STAM</v>
          </cell>
          <cell r="B99">
            <v>4</v>
          </cell>
          <cell r="C99">
            <v>401.19</v>
          </cell>
          <cell r="D99">
            <v>50.15</v>
          </cell>
          <cell r="E99">
            <v>0</v>
          </cell>
          <cell r="F99">
            <v>0</v>
          </cell>
          <cell r="G99">
            <v>0</v>
          </cell>
          <cell r="H99">
            <v>401.19</v>
          </cell>
          <cell r="I99">
            <v>227.45</v>
          </cell>
          <cell r="J99">
            <v>0</v>
          </cell>
          <cell r="K99">
            <v>173.74</v>
          </cell>
          <cell r="L99">
            <v>43.31</v>
          </cell>
          <cell r="M99">
            <v>0.03</v>
          </cell>
        </row>
        <row r="100">
          <cell r="A100" t="str">
            <v>COMFORT DOOR</v>
          </cell>
          <cell r="B100">
            <v>4</v>
          </cell>
          <cell r="C100">
            <v>325.89999999999998</v>
          </cell>
          <cell r="D100">
            <v>29.63</v>
          </cell>
          <cell r="E100">
            <v>0</v>
          </cell>
          <cell r="F100">
            <v>0</v>
          </cell>
          <cell r="G100">
            <v>0</v>
          </cell>
          <cell r="H100">
            <v>325.89999999999998</v>
          </cell>
          <cell r="I100">
            <v>178.68</v>
          </cell>
          <cell r="J100">
            <v>0</v>
          </cell>
          <cell r="K100">
            <v>147.22</v>
          </cell>
          <cell r="L100">
            <v>45.17</v>
          </cell>
          <cell r="M100">
            <v>0.02</v>
          </cell>
        </row>
        <row r="101">
          <cell r="A101" t="str">
            <v>FRANKE</v>
          </cell>
          <cell r="B101">
            <v>3</v>
          </cell>
          <cell r="C101">
            <v>310.60000000000002</v>
          </cell>
          <cell r="D101">
            <v>77.650000000000006</v>
          </cell>
          <cell r="E101">
            <v>0</v>
          </cell>
          <cell r="F101">
            <v>0</v>
          </cell>
          <cell r="G101">
            <v>0</v>
          </cell>
          <cell r="H101">
            <v>310.60000000000002</v>
          </cell>
          <cell r="I101">
            <v>164.58</v>
          </cell>
          <cell r="J101">
            <v>0</v>
          </cell>
          <cell r="K101">
            <v>146.02000000000001</v>
          </cell>
          <cell r="L101">
            <v>47.01</v>
          </cell>
          <cell r="M101">
            <v>0.02</v>
          </cell>
        </row>
        <row r="102">
          <cell r="A102" t="str">
            <v>EXTRALUX</v>
          </cell>
          <cell r="B102">
            <v>3</v>
          </cell>
          <cell r="C102">
            <v>304.7</v>
          </cell>
          <cell r="D102">
            <v>23.44</v>
          </cell>
          <cell r="E102">
            <v>0</v>
          </cell>
          <cell r="F102">
            <v>0</v>
          </cell>
          <cell r="G102">
            <v>0</v>
          </cell>
          <cell r="H102">
            <v>304.7</v>
          </cell>
          <cell r="I102">
            <v>180.87</v>
          </cell>
          <cell r="J102">
            <v>0</v>
          </cell>
          <cell r="K102">
            <v>123.83</v>
          </cell>
          <cell r="L102">
            <v>40.64</v>
          </cell>
          <cell r="M102">
            <v>0.02</v>
          </cell>
        </row>
        <row r="103">
          <cell r="A103" t="str">
            <v>ARCELORMITTAL</v>
          </cell>
          <cell r="B103">
            <v>2</v>
          </cell>
          <cell r="C103">
            <v>255</v>
          </cell>
          <cell r="D103">
            <v>25.5</v>
          </cell>
          <cell r="E103">
            <v>0</v>
          </cell>
          <cell r="F103">
            <v>0</v>
          </cell>
          <cell r="G103">
            <v>23.9</v>
          </cell>
          <cell r="H103">
            <v>231.1</v>
          </cell>
          <cell r="I103">
            <v>141.84</v>
          </cell>
          <cell r="J103">
            <v>12.73</v>
          </cell>
          <cell r="K103">
            <v>101.99</v>
          </cell>
          <cell r="L103">
            <v>42.1</v>
          </cell>
          <cell r="M103">
            <v>0.02</v>
          </cell>
        </row>
        <row r="104">
          <cell r="A104" t="str">
            <v>NOVA FIXACAO</v>
          </cell>
          <cell r="B104">
            <v>2</v>
          </cell>
          <cell r="C104">
            <v>255</v>
          </cell>
          <cell r="D104">
            <v>1.76</v>
          </cell>
          <cell r="E104">
            <v>0</v>
          </cell>
          <cell r="F104">
            <v>0</v>
          </cell>
          <cell r="G104">
            <v>0</v>
          </cell>
          <cell r="H104">
            <v>255</v>
          </cell>
          <cell r="I104">
            <v>144.05000000000001</v>
          </cell>
          <cell r="J104">
            <v>0</v>
          </cell>
          <cell r="K104">
            <v>110.95</v>
          </cell>
          <cell r="L104">
            <v>43.51</v>
          </cell>
          <cell r="M104">
            <v>0.02</v>
          </cell>
        </row>
        <row r="105">
          <cell r="A105" t="str">
            <v>EXTRALUZ</v>
          </cell>
          <cell r="B105">
            <v>3</v>
          </cell>
          <cell r="C105">
            <v>217.8</v>
          </cell>
          <cell r="D105">
            <v>18.149999999999999</v>
          </cell>
          <cell r="E105">
            <v>0</v>
          </cell>
          <cell r="F105">
            <v>0</v>
          </cell>
          <cell r="G105">
            <v>0</v>
          </cell>
          <cell r="H105">
            <v>217.8</v>
          </cell>
          <cell r="I105">
            <v>131.66</v>
          </cell>
          <cell r="J105">
            <v>0</v>
          </cell>
          <cell r="K105">
            <v>86.14</v>
          </cell>
          <cell r="L105">
            <v>39.549999999999997</v>
          </cell>
          <cell r="M105">
            <v>0.01</v>
          </cell>
        </row>
        <row r="106">
          <cell r="A106" t="str">
            <v>PADOVA</v>
          </cell>
          <cell r="B106">
            <v>8</v>
          </cell>
          <cell r="C106">
            <v>217.61</v>
          </cell>
          <cell r="D106">
            <v>16.739999999999998</v>
          </cell>
          <cell r="E106">
            <v>0</v>
          </cell>
          <cell r="F106">
            <v>0</v>
          </cell>
          <cell r="G106">
            <v>0</v>
          </cell>
          <cell r="H106">
            <v>217.61</v>
          </cell>
          <cell r="I106">
            <v>132.02000000000001</v>
          </cell>
          <cell r="J106">
            <v>0</v>
          </cell>
          <cell r="K106">
            <v>85.59</v>
          </cell>
          <cell r="L106">
            <v>39.33</v>
          </cell>
          <cell r="M106">
            <v>0.01</v>
          </cell>
        </row>
        <row r="107">
          <cell r="A107" t="str">
            <v>ANJO TINTAS E SOLVENTES</v>
          </cell>
          <cell r="B107">
            <v>2</v>
          </cell>
          <cell r="C107">
            <v>213.3</v>
          </cell>
          <cell r="D107">
            <v>30.47</v>
          </cell>
          <cell r="E107">
            <v>0</v>
          </cell>
          <cell r="F107">
            <v>0</v>
          </cell>
          <cell r="G107">
            <v>0</v>
          </cell>
          <cell r="H107">
            <v>213.3</v>
          </cell>
          <cell r="I107">
            <v>124.3</v>
          </cell>
          <cell r="J107">
            <v>0</v>
          </cell>
          <cell r="K107">
            <v>89</v>
          </cell>
          <cell r="L107">
            <v>41.73</v>
          </cell>
          <cell r="M107">
            <v>0.01</v>
          </cell>
        </row>
        <row r="108">
          <cell r="A108" t="str">
            <v>TRAMONTINA ELETRIK S.A.</v>
          </cell>
          <cell r="B108">
            <v>3</v>
          </cell>
          <cell r="C108">
            <v>200.3</v>
          </cell>
          <cell r="D108">
            <v>18.21</v>
          </cell>
          <cell r="E108">
            <v>0</v>
          </cell>
          <cell r="F108">
            <v>0</v>
          </cell>
          <cell r="G108">
            <v>26.09</v>
          </cell>
          <cell r="H108">
            <v>174.21</v>
          </cell>
          <cell r="I108">
            <v>120</v>
          </cell>
          <cell r="J108">
            <v>15.44</v>
          </cell>
          <cell r="K108">
            <v>69.650000000000006</v>
          </cell>
          <cell r="L108">
            <v>37.68</v>
          </cell>
          <cell r="M108">
            <v>0.01</v>
          </cell>
        </row>
        <row r="109">
          <cell r="A109" t="str">
            <v>LGMAIS</v>
          </cell>
          <cell r="B109">
            <v>1</v>
          </cell>
          <cell r="C109">
            <v>152.9</v>
          </cell>
          <cell r="D109">
            <v>152.9</v>
          </cell>
          <cell r="E109">
            <v>0</v>
          </cell>
          <cell r="F109">
            <v>0</v>
          </cell>
          <cell r="G109">
            <v>0</v>
          </cell>
          <cell r="H109">
            <v>152.9</v>
          </cell>
          <cell r="I109">
            <v>270.94</v>
          </cell>
          <cell r="J109">
            <v>0</v>
          </cell>
          <cell r="K109">
            <v>-118.04</v>
          </cell>
          <cell r="L109">
            <v>0</v>
          </cell>
          <cell r="M109">
            <v>0.01</v>
          </cell>
        </row>
        <row r="110">
          <cell r="A110" t="str">
            <v>EMPLAC</v>
          </cell>
          <cell r="B110">
            <v>4</v>
          </cell>
          <cell r="C110">
            <v>86.4</v>
          </cell>
          <cell r="D110">
            <v>7.2</v>
          </cell>
          <cell r="E110">
            <v>0</v>
          </cell>
          <cell r="F110">
            <v>0</v>
          </cell>
          <cell r="G110">
            <v>0</v>
          </cell>
          <cell r="H110">
            <v>86.4</v>
          </cell>
          <cell r="I110">
            <v>40.1</v>
          </cell>
          <cell r="J110">
            <v>0</v>
          </cell>
          <cell r="K110">
            <v>46.3</v>
          </cell>
          <cell r="L110">
            <v>53.59</v>
          </cell>
          <cell r="M110">
            <v>0.01</v>
          </cell>
        </row>
        <row r="111">
          <cell r="A111" t="str">
            <v xml:space="preserve"> RESISWAL</v>
          </cell>
          <cell r="B111">
            <v>2</v>
          </cell>
          <cell r="C111">
            <v>77.02</v>
          </cell>
          <cell r="D111">
            <v>38.51</v>
          </cell>
          <cell r="E111">
            <v>0</v>
          </cell>
          <cell r="F111">
            <v>0</v>
          </cell>
          <cell r="G111">
            <v>0</v>
          </cell>
          <cell r="H111">
            <v>77.02</v>
          </cell>
          <cell r="I111">
            <v>43.08</v>
          </cell>
          <cell r="J111">
            <v>0</v>
          </cell>
          <cell r="K111">
            <v>33.94</v>
          </cell>
          <cell r="L111">
            <v>44.07</v>
          </cell>
          <cell r="M111">
            <v>0.01</v>
          </cell>
        </row>
        <row r="112">
          <cell r="A112" t="str">
            <v>GDN</v>
          </cell>
          <cell r="B112">
            <v>1</v>
          </cell>
          <cell r="C112">
            <v>71.8</v>
          </cell>
          <cell r="D112">
            <v>35.9</v>
          </cell>
          <cell r="E112">
            <v>0</v>
          </cell>
          <cell r="F112">
            <v>0</v>
          </cell>
          <cell r="G112">
            <v>0</v>
          </cell>
          <cell r="H112">
            <v>71.8</v>
          </cell>
          <cell r="I112">
            <v>42.74</v>
          </cell>
          <cell r="J112">
            <v>0</v>
          </cell>
          <cell r="K112">
            <v>29.06</v>
          </cell>
          <cell r="L112">
            <v>40.47</v>
          </cell>
          <cell r="M112">
            <v>0</v>
          </cell>
        </row>
        <row r="113">
          <cell r="A113" t="str">
            <v>CRIVAL</v>
          </cell>
          <cell r="B113">
            <v>1</v>
          </cell>
          <cell r="C113">
            <v>63.9</v>
          </cell>
          <cell r="D113">
            <v>63.9</v>
          </cell>
          <cell r="E113">
            <v>0</v>
          </cell>
          <cell r="F113">
            <v>0</v>
          </cell>
          <cell r="G113">
            <v>0</v>
          </cell>
          <cell r="H113">
            <v>63.9</v>
          </cell>
          <cell r="I113">
            <v>38.18</v>
          </cell>
          <cell r="J113">
            <v>0</v>
          </cell>
          <cell r="K113">
            <v>25.72</v>
          </cell>
          <cell r="L113">
            <v>40.25</v>
          </cell>
          <cell r="M113">
            <v>0</v>
          </cell>
        </row>
        <row r="114">
          <cell r="A114" t="str">
            <v>RANCAN</v>
          </cell>
          <cell r="B114">
            <v>1</v>
          </cell>
          <cell r="C114">
            <v>59.9</v>
          </cell>
          <cell r="D114">
            <v>59.9</v>
          </cell>
          <cell r="E114">
            <v>0</v>
          </cell>
          <cell r="F114">
            <v>0</v>
          </cell>
          <cell r="G114">
            <v>0</v>
          </cell>
          <cell r="H114">
            <v>59.9</v>
          </cell>
          <cell r="I114">
            <v>33.78</v>
          </cell>
          <cell r="J114">
            <v>0</v>
          </cell>
          <cell r="K114">
            <v>26.12</v>
          </cell>
          <cell r="L114">
            <v>43.61</v>
          </cell>
          <cell r="M114">
            <v>0</v>
          </cell>
        </row>
        <row r="115">
          <cell r="A115" t="str">
            <v>ONDULINE</v>
          </cell>
          <cell r="B115">
            <v>1</v>
          </cell>
          <cell r="C115">
            <v>53.8</v>
          </cell>
          <cell r="D115">
            <v>26.9</v>
          </cell>
          <cell r="E115">
            <v>0</v>
          </cell>
          <cell r="F115">
            <v>0</v>
          </cell>
          <cell r="G115">
            <v>0</v>
          </cell>
          <cell r="H115">
            <v>53.8</v>
          </cell>
          <cell r="I115">
            <v>34.700000000000003</v>
          </cell>
          <cell r="J115">
            <v>0</v>
          </cell>
          <cell r="K115">
            <v>19.100000000000001</v>
          </cell>
          <cell r="L115">
            <v>35.5</v>
          </cell>
          <cell r="M115">
            <v>0</v>
          </cell>
        </row>
        <row r="116">
          <cell r="A116" t="str">
            <v>INJEPLAST</v>
          </cell>
          <cell r="B116">
            <v>1</v>
          </cell>
          <cell r="C116">
            <v>50</v>
          </cell>
          <cell r="D116">
            <v>0.4</v>
          </cell>
          <cell r="E116">
            <v>0</v>
          </cell>
          <cell r="F116">
            <v>0</v>
          </cell>
          <cell r="G116">
            <v>0</v>
          </cell>
          <cell r="H116">
            <v>50</v>
          </cell>
          <cell r="I116">
            <v>22.5</v>
          </cell>
          <cell r="J116">
            <v>0</v>
          </cell>
          <cell r="K116">
            <v>27.5</v>
          </cell>
          <cell r="L116">
            <v>55</v>
          </cell>
          <cell r="M116">
            <v>0</v>
          </cell>
        </row>
        <row r="117">
          <cell r="A117" t="str">
            <v>INCA</v>
          </cell>
          <cell r="B117">
            <v>3</v>
          </cell>
          <cell r="C117">
            <v>42.5</v>
          </cell>
          <cell r="D117">
            <v>3.86</v>
          </cell>
          <cell r="E117">
            <v>0</v>
          </cell>
          <cell r="F117">
            <v>0</v>
          </cell>
          <cell r="G117">
            <v>21.9</v>
          </cell>
          <cell r="H117">
            <v>20.6</v>
          </cell>
          <cell r="I117">
            <v>21.51</v>
          </cell>
          <cell r="J117">
            <v>11.53</v>
          </cell>
          <cell r="K117">
            <v>10.62</v>
          </cell>
          <cell r="L117">
            <v>34.29</v>
          </cell>
          <cell r="M117">
            <v>0</v>
          </cell>
        </row>
        <row r="118">
          <cell r="A118" t="str">
            <v>GABRIELLA</v>
          </cell>
          <cell r="B118">
            <v>1</v>
          </cell>
          <cell r="C118">
            <v>39.799999999999997</v>
          </cell>
          <cell r="D118">
            <v>19.899999999999999</v>
          </cell>
          <cell r="E118">
            <v>0</v>
          </cell>
          <cell r="F118">
            <v>0</v>
          </cell>
          <cell r="G118">
            <v>0</v>
          </cell>
          <cell r="H118">
            <v>39.799999999999997</v>
          </cell>
          <cell r="I118">
            <v>22.36</v>
          </cell>
          <cell r="J118">
            <v>0</v>
          </cell>
          <cell r="K118">
            <v>17.440000000000001</v>
          </cell>
          <cell r="L118">
            <v>43.82</v>
          </cell>
          <cell r="M118">
            <v>0</v>
          </cell>
        </row>
        <row r="119">
          <cell r="A119" t="str">
            <v>CORAL</v>
          </cell>
          <cell r="B119">
            <v>1</v>
          </cell>
          <cell r="C119">
            <v>29.9</v>
          </cell>
          <cell r="D119">
            <v>29.9</v>
          </cell>
          <cell r="E119">
            <v>0</v>
          </cell>
          <cell r="F119">
            <v>0</v>
          </cell>
          <cell r="G119">
            <v>0</v>
          </cell>
          <cell r="H119">
            <v>29.9</v>
          </cell>
          <cell r="I119">
            <v>0</v>
          </cell>
          <cell r="J119">
            <v>0</v>
          </cell>
          <cell r="K119">
            <v>29.9</v>
          </cell>
          <cell r="L119">
            <v>100</v>
          </cell>
          <cell r="M119">
            <v>0</v>
          </cell>
        </row>
        <row r="120">
          <cell r="A120" t="str">
            <v>outros</v>
          </cell>
          <cell r="B120">
            <v>0</v>
          </cell>
          <cell r="C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AGO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231</v>
          </cell>
          <cell r="C2">
            <v>245469.8346</v>
          </cell>
          <cell r="D2">
            <v>25.88</v>
          </cell>
          <cell r="E2">
            <v>0</v>
          </cell>
          <cell r="F2">
            <v>0</v>
          </cell>
          <cell r="G2">
            <v>4019.5610000000001</v>
          </cell>
          <cell r="H2">
            <v>241450.27359999999</v>
          </cell>
          <cell r="I2">
            <v>160099.2291</v>
          </cell>
          <cell r="J2">
            <v>2626.5043999999998</v>
          </cell>
          <cell r="K2">
            <v>83977.548899999994</v>
          </cell>
          <cell r="L2">
            <v>34.58</v>
          </cell>
          <cell r="M2">
            <v>15.87</v>
          </cell>
        </row>
        <row r="3">
          <cell r="A3" t="str">
            <v>POINTER</v>
          </cell>
          <cell r="B3">
            <v>144</v>
          </cell>
          <cell r="C3">
            <v>127497.60400000001</v>
          </cell>
          <cell r="D3">
            <v>35.68</v>
          </cell>
          <cell r="E3">
            <v>0</v>
          </cell>
          <cell r="F3">
            <v>0</v>
          </cell>
          <cell r="G3">
            <v>1428.191</v>
          </cell>
          <cell r="H3">
            <v>126069.413</v>
          </cell>
          <cell r="I3">
            <v>78978.722299999994</v>
          </cell>
          <cell r="J3">
            <v>746.88879999999995</v>
          </cell>
          <cell r="K3">
            <v>47837.5795</v>
          </cell>
          <cell r="L3">
            <v>37.74</v>
          </cell>
          <cell r="M3">
            <v>8.24</v>
          </cell>
        </row>
        <row r="4">
          <cell r="A4" t="str">
            <v>CERBRAS</v>
          </cell>
          <cell r="B4">
            <v>107</v>
          </cell>
          <cell r="C4">
            <v>106355.9099</v>
          </cell>
          <cell r="D4">
            <v>27.11</v>
          </cell>
          <cell r="E4">
            <v>0</v>
          </cell>
          <cell r="F4">
            <v>0</v>
          </cell>
          <cell r="G4">
            <v>4468.0290000000005</v>
          </cell>
          <cell r="H4">
            <v>101887.8809</v>
          </cell>
          <cell r="I4">
            <v>74308.782800000001</v>
          </cell>
          <cell r="J4">
            <v>2959.5308</v>
          </cell>
          <cell r="K4">
            <v>30538.6289</v>
          </cell>
          <cell r="L4">
            <v>29.54</v>
          </cell>
          <cell r="M4">
            <v>6.88</v>
          </cell>
        </row>
        <row r="5">
          <cell r="A5" t="str">
            <v>DO MESTRE</v>
          </cell>
          <cell r="B5">
            <v>309</v>
          </cell>
          <cell r="C5">
            <v>99883.24</v>
          </cell>
          <cell r="D5">
            <v>19.87</v>
          </cell>
          <cell r="E5">
            <v>0</v>
          </cell>
          <cell r="F5">
            <v>0</v>
          </cell>
          <cell r="G5">
            <v>2083.87</v>
          </cell>
          <cell r="H5">
            <v>97799.37</v>
          </cell>
          <cell r="I5">
            <v>63459.58</v>
          </cell>
          <cell r="J5">
            <v>1633.49</v>
          </cell>
          <cell r="K5">
            <v>35973.279999999999</v>
          </cell>
          <cell r="L5">
            <v>36.61</v>
          </cell>
          <cell r="M5">
            <v>6.46</v>
          </cell>
        </row>
        <row r="6">
          <cell r="A6" t="str">
            <v>IQUINE</v>
          </cell>
          <cell r="B6">
            <v>73</v>
          </cell>
          <cell r="C6">
            <v>97413.272599999997</v>
          </cell>
          <cell r="D6">
            <v>43.12</v>
          </cell>
          <cell r="E6">
            <v>0</v>
          </cell>
          <cell r="F6">
            <v>0</v>
          </cell>
          <cell r="G6">
            <v>696.1</v>
          </cell>
          <cell r="H6">
            <v>96717.172600000005</v>
          </cell>
          <cell r="I6">
            <v>58986.322800000002</v>
          </cell>
          <cell r="J6">
            <v>412.24</v>
          </cell>
          <cell r="K6">
            <v>38143.089800000002</v>
          </cell>
          <cell r="L6">
            <v>39.32</v>
          </cell>
          <cell r="M6">
            <v>6.3</v>
          </cell>
        </row>
        <row r="7">
          <cell r="A7" t="str">
            <v>MEGAÓ</v>
          </cell>
          <cell r="B7">
            <v>87</v>
          </cell>
          <cell r="C7">
            <v>82889.67</v>
          </cell>
          <cell r="D7">
            <v>57.4</v>
          </cell>
          <cell r="E7">
            <v>0</v>
          </cell>
          <cell r="F7">
            <v>0</v>
          </cell>
          <cell r="G7">
            <v>908.13</v>
          </cell>
          <cell r="H7">
            <v>81981.539999999994</v>
          </cell>
          <cell r="I7">
            <v>50775.98</v>
          </cell>
          <cell r="J7">
            <v>591.65</v>
          </cell>
          <cell r="K7">
            <v>31797.21</v>
          </cell>
          <cell r="L7">
            <v>38.64</v>
          </cell>
          <cell r="M7">
            <v>5.36</v>
          </cell>
        </row>
        <row r="8">
          <cell r="A8" t="str">
            <v>INCENOR</v>
          </cell>
          <cell r="B8">
            <v>84</v>
          </cell>
          <cell r="C8">
            <v>74537.9908</v>
          </cell>
          <cell r="D8">
            <v>40.200000000000003</v>
          </cell>
          <cell r="E8">
            <v>0</v>
          </cell>
          <cell r="F8">
            <v>0</v>
          </cell>
          <cell r="G8">
            <v>3571.7314000000001</v>
          </cell>
          <cell r="H8">
            <v>70966.259399999995</v>
          </cell>
          <cell r="I8">
            <v>46698.872100000001</v>
          </cell>
          <cell r="J8">
            <v>2289.2818000000002</v>
          </cell>
          <cell r="K8">
            <v>26556.669099999999</v>
          </cell>
          <cell r="L8">
            <v>36.76</v>
          </cell>
          <cell r="M8">
            <v>4.82</v>
          </cell>
        </row>
        <row r="9">
          <cell r="A9" t="str">
            <v>QUALITY</v>
          </cell>
          <cell r="B9">
            <v>67</v>
          </cell>
          <cell r="C9">
            <v>53146.64</v>
          </cell>
          <cell r="D9">
            <v>196.11</v>
          </cell>
          <cell r="E9">
            <v>0</v>
          </cell>
          <cell r="F9">
            <v>0</v>
          </cell>
          <cell r="G9">
            <v>1810.5</v>
          </cell>
          <cell r="H9">
            <v>51336.14</v>
          </cell>
          <cell r="I9">
            <v>34053.019999999997</v>
          </cell>
          <cell r="J9">
            <v>1131.8900000000001</v>
          </cell>
          <cell r="K9">
            <v>18415.009999999998</v>
          </cell>
          <cell r="L9">
            <v>35.4</v>
          </cell>
          <cell r="M9">
            <v>3.44</v>
          </cell>
        </row>
        <row r="10">
          <cell r="A10" t="str">
            <v>TECNOGRES</v>
          </cell>
          <cell r="B10">
            <v>29</v>
          </cell>
          <cell r="C10">
            <v>49991.911099999998</v>
          </cell>
          <cell r="D10">
            <v>62.38</v>
          </cell>
          <cell r="E10">
            <v>0</v>
          </cell>
          <cell r="F10">
            <v>0</v>
          </cell>
          <cell r="G10">
            <v>329.64479999999998</v>
          </cell>
          <cell r="H10">
            <v>49662.266300000003</v>
          </cell>
          <cell r="I10">
            <v>31505.4827</v>
          </cell>
          <cell r="J10">
            <v>208.85759999999999</v>
          </cell>
          <cell r="K10">
            <v>18365.641199999998</v>
          </cell>
          <cell r="L10">
            <v>36.89</v>
          </cell>
          <cell r="M10">
            <v>3.23</v>
          </cell>
        </row>
        <row r="11">
          <cell r="A11" t="str">
            <v>WEBER QUARTZOLIT</v>
          </cell>
          <cell r="B11">
            <v>128</v>
          </cell>
          <cell r="C11">
            <v>49281.08</v>
          </cell>
          <cell r="D11">
            <v>29.89</v>
          </cell>
          <cell r="E11">
            <v>0</v>
          </cell>
          <cell r="F11">
            <v>0</v>
          </cell>
          <cell r="G11">
            <v>748.39</v>
          </cell>
          <cell r="H11">
            <v>48532.69</v>
          </cell>
          <cell r="I11">
            <v>32003.16</v>
          </cell>
          <cell r="J11">
            <v>483.18</v>
          </cell>
          <cell r="K11">
            <v>17012.71</v>
          </cell>
          <cell r="L11">
            <v>34.86</v>
          </cell>
          <cell r="M11">
            <v>3.19</v>
          </cell>
        </row>
        <row r="12">
          <cell r="A12" t="str">
            <v>ROCA</v>
          </cell>
          <cell r="B12">
            <v>68</v>
          </cell>
          <cell r="C12">
            <v>44853.57</v>
          </cell>
          <cell r="D12">
            <v>147.54</v>
          </cell>
          <cell r="E12">
            <v>0</v>
          </cell>
          <cell r="F12">
            <v>0</v>
          </cell>
          <cell r="G12">
            <v>1226.8900000000001</v>
          </cell>
          <cell r="H12">
            <v>43626.68</v>
          </cell>
          <cell r="I12">
            <v>29997.37</v>
          </cell>
          <cell r="J12">
            <v>790.96</v>
          </cell>
          <cell r="K12">
            <v>14420.27</v>
          </cell>
          <cell r="L12">
            <v>32.729999999999997</v>
          </cell>
          <cell r="M12">
            <v>2.9</v>
          </cell>
        </row>
        <row r="13">
          <cell r="A13" t="str">
            <v>FORTLEV</v>
          </cell>
          <cell r="B13">
            <v>73</v>
          </cell>
          <cell r="C13">
            <v>40342.32</v>
          </cell>
          <cell r="D13">
            <v>15.24</v>
          </cell>
          <cell r="E13">
            <v>0</v>
          </cell>
          <cell r="F13">
            <v>0</v>
          </cell>
          <cell r="G13">
            <v>244.99</v>
          </cell>
          <cell r="H13">
            <v>40097.33</v>
          </cell>
          <cell r="I13">
            <v>27172.87</v>
          </cell>
          <cell r="J13">
            <v>181.96</v>
          </cell>
          <cell r="K13">
            <v>13106.42</v>
          </cell>
          <cell r="L13">
            <v>32.64</v>
          </cell>
          <cell r="M13">
            <v>2.61</v>
          </cell>
        </row>
        <row r="14">
          <cell r="A14" t="str">
            <v>PORTO RICO</v>
          </cell>
          <cell r="B14">
            <v>60</v>
          </cell>
          <cell r="C14">
            <v>37773.32</v>
          </cell>
          <cell r="D14">
            <v>27.53</v>
          </cell>
          <cell r="E14">
            <v>0</v>
          </cell>
          <cell r="F14">
            <v>0</v>
          </cell>
          <cell r="G14">
            <v>1146</v>
          </cell>
          <cell r="H14">
            <v>36627.32</v>
          </cell>
          <cell r="I14">
            <v>22593</v>
          </cell>
          <cell r="J14">
            <v>653.5</v>
          </cell>
          <cell r="K14">
            <v>14687.82</v>
          </cell>
          <cell r="L14">
            <v>39.57</v>
          </cell>
          <cell r="M14">
            <v>2.44</v>
          </cell>
        </row>
        <row r="15">
          <cell r="A15" t="str">
            <v>ETERNIT</v>
          </cell>
          <cell r="B15">
            <v>34</v>
          </cell>
          <cell r="C15">
            <v>33944.69</v>
          </cell>
          <cell r="D15">
            <v>64.66</v>
          </cell>
          <cell r="E15">
            <v>0</v>
          </cell>
          <cell r="F15">
            <v>0</v>
          </cell>
          <cell r="G15">
            <v>611.1</v>
          </cell>
          <cell r="H15">
            <v>33333.589999999997</v>
          </cell>
          <cell r="I15">
            <v>25793.51</v>
          </cell>
          <cell r="J15">
            <v>467.19</v>
          </cell>
          <cell r="K15">
            <v>8007.27</v>
          </cell>
          <cell r="L15">
            <v>23.92</v>
          </cell>
          <cell r="M15">
            <v>2.2000000000000002</v>
          </cell>
        </row>
        <row r="16">
          <cell r="A16" t="str">
            <v>COBRECOM</v>
          </cell>
          <cell r="B16">
            <v>18</v>
          </cell>
          <cell r="C16">
            <v>27940.16</v>
          </cell>
          <cell r="D16">
            <v>176.84</v>
          </cell>
          <cell r="E16">
            <v>0</v>
          </cell>
          <cell r="F16">
            <v>0</v>
          </cell>
          <cell r="G16">
            <v>896.95</v>
          </cell>
          <cell r="H16">
            <v>27043.21</v>
          </cell>
          <cell r="I16">
            <v>17858.23</v>
          </cell>
          <cell r="J16">
            <v>559.41</v>
          </cell>
          <cell r="K16">
            <v>9744.39</v>
          </cell>
          <cell r="L16">
            <v>35.590000000000003</v>
          </cell>
          <cell r="M16">
            <v>1.81</v>
          </cell>
        </row>
        <row r="17">
          <cell r="A17" t="str">
            <v>PAMESA</v>
          </cell>
          <cell r="B17">
            <v>13</v>
          </cell>
          <cell r="C17">
            <v>22624.1044</v>
          </cell>
          <cell r="D17">
            <v>29.96</v>
          </cell>
          <cell r="E17">
            <v>0</v>
          </cell>
          <cell r="F17">
            <v>0</v>
          </cell>
          <cell r="G17">
            <v>141.12799999999999</v>
          </cell>
          <cell r="H17">
            <v>22482.9764</v>
          </cell>
          <cell r="I17">
            <v>14901.460800000001</v>
          </cell>
          <cell r="J17">
            <v>87.508799999999994</v>
          </cell>
          <cell r="K17">
            <v>7669.0244000000002</v>
          </cell>
          <cell r="L17">
            <v>34.03</v>
          </cell>
          <cell r="M17">
            <v>1.46</v>
          </cell>
        </row>
        <row r="18">
          <cell r="A18" t="str">
            <v>ATLAS</v>
          </cell>
          <cell r="B18">
            <v>73</v>
          </cell>
          <cell r="C18">
            <v>19653.62</v>
          </cell>
          <cell r="D18">
            <v>14.18</v>
          </cell>
          <cell r="E18">
            <v>0</v>
          </cell>
          <cell r="F18">
            <v>0</v>
          </cell>
          <cell r="G18">
            <v>57</v>
          </cell>
          <cell r="H18">
            <v>19596.62</v>
          </cell>
          <cell r="I18">
            <v>10950.56</v>
          </cell>
          <cell r="J18">
            <v>32.03</v>
          </cell>
          <cell r="K18">
            <v>8678.09</v>
          </cell>
          <cell r="L18">
            <v>44.23</v>
          </cell>
          <cell r="M18">
            <v>1.27</v>
          </cell>
        </row>
        <row r="19">
          <cell r="A19" t="str">
            <v>BLACK DECKER</v>
          </cell>
          <cell r="B19">
            <v>34</v>
          </cell>
          <cell r="C19">
            <v>17636.62</v>
          </cell>
          <cell r="D19">
            <v>36.67</v>
          </cell>
          <cell r="E19">
            <v>0</v>
          </cell>
          <cell r="F19">
            <v>0</v>
          </cell>
          <cell r="G19">
            <v>48.6</v>
          </cell>
          <cell r="H19">
            <v>17588.02</v>
          </cell>
          <cell r="I19">
            <v>10645.23</v>
          </cell>
          <cell r="J19">
            <v>27</v>
          </cell>
          <cell r="K19">
            <v>6969.79</v>
          </cell>
          <cell r="L19">
            <v>39.58</v>
          </cell>
          <cell r="M19">
            <v>1.1399999999999999</v>
          </cell>
        </row>
        <row r="20">
          <cell r="A20" t="str">
            <v>AVANT</v>
          </cell>
          <cell r="B20">
            <v>48</v>
          </cell>
          <cell r="C20">
            <v>16058.78</v>
          </cell>
          <cell r="D20">
            <v>12.27</v>
          </cell>
          <cell r="E20">
            <v>0</v>
          </cell>
          <cell r="F20">
            <v>0</v>
          </cell>
          <cell r="G20">
            <v>536.54</v>
          </cell>
          <cell r="H20">
            <v>15522.24</v>
          </cell>
          <cell r="I20">
            <v>8617.01</v>
          </cell>
          <cell r="J20">
            <v>289.82</v>
          </cell>
          <cell r="K20">
            <v>7195.05</v>
          </cell>
          <cell r="L20">
            <v>45.63</v>
          </cell>
          <cell r="M20">
            <v>1.04</v>
          </cell>
        </row>
        <row r="21">
          <cell r="A21" t="str">
            <v>LORENZETTI</v>
          </cell>
          <cell r="B21">
            <v>19</v>
          </cell>
          <cell r="C21">
            <v>14487.82</v>
          </cell>
          <cell r="D21">
            <v>77.06</v>
          </cell>
          <cell r="E21">
            <v>0</v>
          </cell>
          <cell r="F21">
            <v>0</v>
          </cell>
          <cell r="G21">
            <v>513.20000000000005</v>
          </cell>
          <cell r="H21">
            <v>13974.62</v>
          </cell>
          <cell r="I21">
            <v>8829.51</v>
          </cell>
          <cell r="J21">
            <v>319.23</v>
          </cell>
          <cell r="K21">
            <v>5464.34</v>
          </cell>
          <cell r="L21">
            <v>38.57</v>
          </cell>
          <cell r="M21">
            <v>0.94</v>
          </cell>
        </row>
        <row r="22">
          <cell r="A22" t="str">
            <v>MEC-TRONIC</v>
          </cell>
          <cell r="B22">
            <v>50</v>
          </cell>
          <cell r="C22">
            <v>14001.64</v>
          </cell>
          <cell r="D22">
            <v>11.34</v>
          </cell>
          <cell r="E22">
            <v>0</v>
          </cell>
          <cell r="F22">
            <v>0</v>
          </cell>
          <cell r="G22">
            <v>285.52999999999997</v>
          </cell>
          <cell r="H22">
            <v>13716.11</v>
          </cell>
          <cell r="I22">
            <v>6859.18</v>
          </cell>
          <cell r="J22">
            <v>148.84</v>
          </cell>
          <cell r="K22">
            <v>7005.77</v>
          </cell>
          <cell r="L22">
            <v>50.57</v>
          </cell>
          <cell r="M22">
            <v>0.91</v>
          </cell>
        </row>
        <row r="23">
          <cell r="A23" t="str">
            <v>GHEL'PLUS</v>
          </cell>
          <cell r="B23">
            <v>19</v>
          </cell>
          <cell r="C23">
            <v>13193.71</v>
          </cell>
          <cell r="D23">
            <v>178.29</v>
          </cell>
          <cell r="E23">
            <v>0</v>
          </cell>
          <cell r="F23">
            <v>0</v>
          </cell>
          <cell r="G23">
            <v>239.9</v>
          </cell>
          <cell r="H23">
            <v>12953.81</v>
          </cell>
          <cell r="I23">
            <v>8218.51</v>
          </cell>
          <cell r="J23">
            <v>147.9</v>
          </cell>
          <cell r="K23">
            <v>4883.2</v>
          </cell>
          <cell r="L23">
            <v>37.43</v>
          </cell>
          <cell r="M23">
            <v>0.85</v>
          </cell>
        </row>
        <row r="24">
          <cell r="A24" t="str">
            <v>GRANPLAST</v>
          </cell>
          <cell r="B24">
            <v>41</v>
          </cell>
          <cell r="C24">
            <v>12222.17</v>
          </cell>
          <cell r="D24">
            <v>17.260000000000002</v>
          </cell>
          <cell r="E24">
            <v>0</v>
          </cell>
          <cell r="F24">
            <v>0</v>
          </cell>
          <cell r="G24">
            <v>169.6</v>
          </cell>
          <cell r="H24">
            <v>12052.57</v>
          </cell>
          <cell r="I24">
            <v>6907.48</v>
          </cell>
          <cell r="J24">
            <v>94.59</v>
          </cell>
          <cell r="K24">
            <v>5239.68</v>
          </cell>
          <cell r="L24">
            <v>43.2</v>
          </cell>
          <cell r="M24">
            <v>0.79</v>
          </cell>
        </row>
        <row r="25">
          <cell r="A25" t="str">
            <v>METAIS LEAO</v>
          </cell>
          <cell r="B25">
            <v>37</v>
          </cell>
          <cell r="C25">
            <v>11301.37</v>
          </cell>
          <cell r="D25">
            <v>60.11</v>
          </cell>
          <cell r="E25">
            <v>0</v>
          </cell>
          <cell r="F25">
            <v>0</v>
          </cell>
          <cell r="G25">
            <v>230.49</v>
          </cell>
          <cell r="H25">
            <v>11070.88</v>
          </cell>
          <cell r="I25">
            <v>6697.02</v>
          </cell>
          <cell r="J25">
            <v>136.28</v>
          </cell>
          <cell r="K25">
            <v>4510.1400000000003</v>
          </cell>
          <cell r="L25">
            <v>40.4</v>
          </cell>
          <cell r="M25">
            <v>0.73</v>
          </cell>
        </row>
        <row r="26">
          <cell r="A26" t="str">
            <v>TOP MIX</v>
          </cell>
          <cell r="B26">
            <v>3</v>
          </cell>
          <cell r="C26">
            <v>10587.74</v>
          </cell>
          <cell r="D26">
            <v>705.85</v>
          </cell>
          <cell r="E26">
            <v>0</v>
          </cell>
          <cell r="F26">
            <v>0</v>
          </cell>
          <cell r="G26">
            <v>719.9</v>
          </cell>
          <cell r="H26">
            <v>9867.84</v>
          </cell>
          <cell r="I26">
            <v>5226.16</v>
          </cell>
          <cell r="J26">
            <v>330.84</v>
          </cell>
          <cell r="K26">
            <v>4972.5200000000004</v>
          </cell>
          <cell r="L26">
            <v>48.48</v>
          </cell>
          <cell r="M26">
            <v>0.68</v>
          </cell>
        </row>
        <row r="27">
          <cell r="A27" t="str">
            <v>ELIZABETH PORC.</v>
          </cell>
          <cell r="B27">
            <v>5</v>
          </cell>
          <cell r="C27">
            <v>9993.5982000000004</v>
          </cell>
          <cell r="D27">
            <v>66.94</v>
          </cell>
          <cell r="E27">
            <v>0</v>
          </cell>
          <cell r="F27">
            <v>0</v>
          </cell>
          <cell r="G27">
            <v>0</v>
          </cell>
          <cell r="H27">
            <v>9993.5982000000004</v>
          </cell>
          <cell r="I27">
            <v>6296.4120000000003</v>
          </cell>
          <cell r="J27">
            <v>0</v>
          </cell>
          <cell r="K27">
            <v>3697.1862000000001</v>
          </cell>
          <cell r="L27">
            <v>37</v>
          </cell>
          <cell r="M27">
            <v>0.65</v>
          </cell>
        </row>
        <row r="28">
          <cell r="A28" t="str">
            <v>NITROLUX</v>
          </cell>
          <cell r="B28">
            <v>21</v>
          </cell>
          <cell r="C28">
            <v>9312.32</v>
          </cell>
          <cell r="D28">
            <v>35.01</v>
          </cell>
          <cell r="E28">
            <v>0</v>
          </cell>
          <cell r="F28">
            <v>0</v>
          </cell>
          <cell r="G28">
            <v>226.8</v>
          </cell>
          <cell r="H28">
            <v>9085.52</v>
          </cell>
          <cell r="I28">
            <v>5616.75</v>
          </cell>
          <cell r="J28">
            <v>135.61000000000001</v>
          </cell>
          <cell r="K28">
            <v>3604.38</v>
          </cell>
          <cell r="L28">
            <v>39.28</v>
          </cell>
          <cell r="M28">
            <v>0.6</v>
          </cell>
        </row>
        <row r="29">
          <cell r="A29" t="str">
            <v>VIQUA</v>
          </cell>
          <cell r="B29">
            <v>26</v>
          </cell>
          <cell r="C29">
            <v>8379.01</v>
          </cell>
          <cell r="D29">
            <v>36.909999999999997</v>
          </cell>
          <cell r="E29">
            <v>0</v>
          </cell>
          <cell r="F29">
            <v>0</v>
          </cell>
          <cell r="G29">
            <v>194.4</v>
          </cell>
          <cell r="H29">
            <v>8184.61</v>
          </cell>
          <cell r="I29">
            <v>5149.0600000000004</v>
          </cell>
          <cell r="J29">
            <v>120.31</v>
          </cell>
          <cell r="K29">
            <v>3155.86</v>
          </cell>
          <cell r="L29">
            <v>38.21</v>
          </cell>
          <cell r="M29">
            <v>0.54</v>
          </cell>
        </row>
        <row r="30">
          <cell r="A30" t="str">
            <v>INTECH MACHINE</v>
          </cell>
          <cell r="B30">
            <v>13</v>
          </cell>
          <cell r="C30">
            <v>8283.64</v>
          </cell>
          <cell r="D30">
            <v>223.88</v>
          </cell>
          <cell r="E30">
            <v>0</v>
          </cell>
          <cell r="F30">
            <v>0</v>
          </cell>
          <cell r="G30">
            <v>0</v>
          </cell>
          <cell r="H30">
            <v>8283.64</v>
          </cell>
          <cell r="I30">
            <v>5195.54</v>
          </cell>
          <cell r="J30">
            <v>0</v>
          </cell>
          <cell r="K30">
            <v>3088.1</v>
          </cell>
          <cell r="L30">
            <v>37.28</v>
          </cell>
          <cell r="M30">
            <v>0.54</v>
          </cell>
        </row>
        <row r="31">
          <cell r="A31" t="str">
            <v>KDK PORTAS</v>
          </cell>
          <cell r="B31">
            <v>19</v>
          </cell>
          <cell r="C31">
            <v>8242.56</v>
          </cell>
          <cell r="D31">
            <v>164.85</v>
          </cell>
          <cell r="E31">
            <v>0</v>
          </cell>
          <cell r="F31">
            <v>0</v>
          </cell>
          <cell r="G31">
            <v>495.7</v>
          </cell>
          <cell r="H31">
            <v>7746.86</v>
          </cell>
          <cell r="I31">
            <v>4948.4799999999996</v>
          </cell>
          <cell r="J31">
            <v>300.93</v>
          </cell>
          <cell r="K31">
            <v>3099.31</v>
          </cell>
          <cell r="L31">
            <v>39.03</v>
          </cell>
          <cell r="M31">
            <v>0.53</v>
          </cell>
        </row>
        <row r="32">
          <cell r="A32" t="str">
            <v>MULT MIX IMPORTADORA</v>
          </cell>
          <cell r="B32">
            <v>38</v>
          </cell>
          <cell r="C32">
            <v>7808.4</v>
          </cell>
          <cell r="D32">
            <v>15.68</v>
          </cell>
          <cell r="E32">
            <v>0</v>
          </cell>
          <cell r="F32">
            <v>0</v>
          </cell>
          <cell r="G32">
            <v>0</v>
          </cell>
          <cell r="H32">
            <v>7808.4</v>
          </cell>
          <cell r="I32">
            <v>4143.71</v>
          </cell>
          <cell r="J32">
            <v>0</v>
          </cell>
          <cell r="K32">
            <v>3664.69</v>
          </cell>
          <cell r="L32">
            <v>46.93</v>
          </cell>
          <cell r="M32">
            <v>0.5</v>
          </cell>
        </row>
        <row r="33">
          <cell r="A33" t="str">
            <v>BELLA PIA</v>
          </cell>
          <cell r="B33">
            <v>16</v>
          </cell>
          <cell r="C33">
            <v>7547.42</v>
          </cell>
          <cell r="D33">
            <v>215.64</v>
          </cell>
          <cell r="E33">
            <v>0</v>
          </cell>
          <cell r="F33">
            <v>0</v>
          </cell>
          <cell r="G33">
            <v>154.9</v>
          </cell>
          <cell r="H33">
            <v>7392.52</v>
          </cell>
          <cell r="I33">
            <v>4585.6899999999996</v>
          </cell>
          <cell r="J33">
            <v>80.55</v>
          </cell>
          <cell r="K33">
            <v>2887.38</v>
          </cell>
          <cell r="L33">
            <v>38.67</v>
          </cell>
          <cell r="M33">
            <v>0.49</v>
          </cell>
        </row>
        <row r="34">
          <cell r="A34" t="str">
            <v>ANAUGER</v>
          </cell>
          <cell r="B34">
            <v>11</v>
          </cell>
          <cell r="C34">
            <v>7043.82</v>
          </cell>
          <cell r="D34">
            <v>227.22</v>
          </cell>
          <cell r="E34">
            <v>0</v>
          </cell>
          <cell r="F34">
            <v>0</v>
          </cell>
          <cell r="G34">
            <v>0</v>
          </cell>
          <cell r="H34">
            <v>7043.82</v>
          </cell>
          <cell r="I34">
            <v>4779.24</v>
          </cell>
          <cell r="J34">
            <v>0</v>
          </cell>
          <cell r="K34">
            <v>2264.58</v>
          </cell>
          <cell r="L34">
            <v>32.15</v>
          </cell>
          <cell r="M34">
            <v>0.46</v>
          </cell>
        </row>
        <row r="35">
          <cell r="A35" t="str">
            <v>KRONA</v>
          </cell>
          <cell r="B35">
            <v>44</v>
          </cell>
          <cell r="C35">
            <v>7029.9</v>
          </cell>
          <cell r="D35">
            <v>6.39</v>
          </cell>
          <cell r="E35">
            <v>0</v>
          </cell>
          <cell r="F35">
            <v>0</v>
          </cell>
          <cell r="G35">
            <v>149.37</v>
          </cell>
          <cell r="H35">
            <v>6880.53</v>
          </cell>
          <cell r="I35">
            <v>4073.4</v>
          </cell>
          <cell r="J35">
            <v>91.87</v>
          </cell>
          <cell r="K35">
            <v>2899</v>
          </cell>
          <cell r="L35">
            <v>41.78</v>
          </cell>
          <cell r="M35">
            <v>0.45</v>
          </cell>
        </row>
        <row r="36">
          <cell r="A36" t="str">
            <v>SILVANA</v>
          </cell>
          <cell r="B36">
            <v>27</v>
          </cell>
          <cell r="C36">
            <v>6897.86</v>
          </cell>
          <cell r="D36">
            <v>25.27</v>
          </cell>
          <cell r="E36">
            <v>0</v>
          </cell>
          <cell r="F36">
            <v>0</v>
          </cell>
          <cell r="G36">
            <v>132.80000000000001</v>
          </cell>
          <cell r="H36">
            <v>6765.06</v>
          </cell>
          <cell r="I36">
            <v>3884.72</v>
          </cell>
          <cell r="J36">
            <v>77.09</v>
          </cell>
          <cell r="K36">
            <v>2957.43</v>
          </cell>
          <cell r="L36">
            <v>43.36</v>
          </cell>
          <cell r="M36">
            <v>0.45</v>
          </cell>
        </row>
        <row r="37">
          <cell r="A37" t="str">
            <v>REALLE</v>
          </cell>
          <cell r="B37">
            <v>8</v>
          </cell>
          <cell r="C37">
            <v>6592.1040000000003</v>
          </cell>
          <cell r="D37">
            <v>32.47</v>
          </cell>
          <cell r="E37">
            <v>0</v>
          </cell>
          <cell r="F37">
            <v>0</v>
          </cell>
          <cell r="G37">
            <v>91.53</v>
          </cell>
          <cell r="H37">
            <v>6500.5739999999996</v>
          </cell>
          <cell r="I37">
            <v>4176.3545999999997</v>
          </cell>
          <cell r="J37">
            <v>57.698999999999998</v>
          </cell>
          <cell r="K37">
            <v>2381.9184</v>
          </cell>
          <cell r="L37">
            <v>36.450000000000003</v>
          </cell>
          <cell r="M37">
            <v>0.43</v>
          </cell>
        </row>
        <row r="38">
          <cell r="A38" t="str">
            <v>LEDVANCE</v>
          </cell>
          <cell r="B38">
            <v>31</v>
          </cell>
          <cell r="C38">
            <v>6434.36</v>
          </cell>
          <cell r="D38">
            <v>7.23</v>
          </cell>
          <cell r="E38">
            <v>0</v>
          </cell>
          <cell r="F38">
            <v>0</v>
          </cell>
          <cell r="G38">
            <v>82.4</v>
          </cell>
          <cell r="H38">
            <v>6351.96</v>
          </cell>
          <cell r="I38">
            <v>3443.77</v>
          </cell>
          <cell r="J38">
            <v>57.86</v>
          </cell>
          <cell r="K38">
            <v>2966.05</v>
          </cell>
          <cell r="L38">
            <v>46.52</v>
          </cell>
          <cell r="M38">
            <v>0.42</v>
          </cell>
        </row>
        <row r="39">
          <cell r="A39" t="str">
            <v>MGM</v>
          </cell>
          <cell r="B39">
            <v>7</v>
          </cell>
          <cell r="C39">
            <v>6016.85</v>
          </cell>
          <cell r="D39">
            <v>334.27</v>
          </cell>
          <cell r="E39">
            <v>0</v>
          </cell>
          <cell r="F39">
            <v>0</v>
          </cell>
          <cell r="G39">
            <v>0</v>
          </cell>
          <cell r="H39">
            <v>6016.85</v>
          </cell>
          <cell r="I39">
            <v>3649.26</v>
          </cell>
          <cell r="J39">
            <v>0</v>
          </cell>
          <cell r="K39">
            <v>2367.59</v>
          </cell>
          <cell r="L39">
            <v>39.35</v>
          </cell>
          <cell r="M39">
            <v>0.39</v>
          </cell>
        </row>
        <row r="40">
          <cell r="A40" t="str">
            <v>LEGRAND</v>
          </cell>
          <cell r="B40">
            <v>17</v>
          </cell>
          <cell r="C40">
            <v>5762.37</v>
          </cell>
          <cell r="D40">
            <v>16.420000000000002</v>
          </cell>
          <cell r="E40">
            <v>0</v>
          </cell>
          <cell r="F40">
            <v>0</v>
          </cell>
          <cell r="G40">
            <v>24.8</v>
          </cell>
          <cell r="H40">
            <v>5737.57</v>
          </cell>
          <cell r="I40">
            <v>3454.01</v>
          </cell>
          <cell r="J40">
            <v>14.62</v>
          </cell>
          <cell r="K40">
            <v>2298.1799999999998</v>
          </cell>
          <cell r="L40">
            <v>39.979999999999997</v>
          </cell>
          <cell r="M40">
            <v>0.37</v>
          </cell>
        </row>
        <row r="41">
          <cell r="A41" t="str">
            <v>ASTRA</v>
          </cell>
          <cell r="B41">
            <v>21</v>
          </cell>
          <cell r="C41">
            <v>5299.85</v>
          </cell>
          <cell r="D41">
            <v>27.18</v>
          </cell>
          <cell r="E41">
            <v>0</v>
          </cell>
          <cell r="F41">
            <v>0</v>
          </cell>
          <cell r="G41">
            <v>112.8</v>
          </cell>
          <cell r="H41">
            <v>5187.05</v>
          </cell>
          <cell r="I41">
            <v>3080.66</v>
          </cell>
          <cell r="J41">
            <v>68.48</v>
          </cell>
          <cell r="K41">
            <v>2174.87</v>
          </cell>
          <cell r="L41">
            <v>41.57</v>
          </cell>
          <cell r="M41">
            <v>0.34</v>
          </cell>
        </row>
        <row r="42">
          <cell r="A42" t="str">
            <v>PADO</v>
          </cell>
          <cell r="B42">
            <v>12</v>
          </cell>
          <cell r="C42">
            <v>5159.01</v>
          </cell>
          <cell r="D42">
            <v>38.5</v>
          </cell>
          <cell r="E42">
            <v>0</v>
          </cell>
          <cell r="F42">
            <v>0</v>
          </cell>
          <cell r="G42">
            <v>33.9</v>
          </cell>
          <cell r="H42">
            <v>5125.1099999999997</v>
          </cell>
          <cell r="I42">
            <v>2849.44</v>
          </cell>
          <cell r="J42">
            <v>17.91</v>
          </cell>
          <cell r="K42">
            <v>2293.58</v>
          </cell>
          <cell r="L42">
            <v>44.61</v>
          </cell>
          <cell r="M42">
            <v>0.33</v>
          </cell>
        </row>
        <row r="43">
          <cell r="A43" t="str">
            <v>DOCOL METAIS</v>
          </cell>
          <cell r="B43">
            <v>16</v>
          </cell>
          <cell r="C43">
            <v>4980.2</v>
          </cell>
          <cell r="D43">
            <v>92.23</v>
          </cell>
          <cell r="E43">
            <v>0</v>
          </cell>
          <cell r="F43">
            <v>0</v>
          </cell>
          <cell r="G43">
            <v>181.8</v>
          </cell>
          <cell r="H43">
            <v>4798.3999999999996</v>
          </cell>
          <cell r="I43">
            <v>2902.38</v>
          </cell>
          <cell r="J43">
            <v>104.73</v>
          </cell>
          <cell r="K43">
            <v>2000.75</v>
          </cell>
          <cell r="L43">
            <v>41.04</v>
          </cell>
          <cell r="M43">
            <v>0.32</v>
          </cell>
        </row>
        <row r="44">
          <cell r="A44" t="str">
            <v>VEDACIT</v>
          </cell>
          <cell r="B44">
            <v>10</v>
          </cell>
          <cell r="C44">
            <v>4927.76</v>
          </cell>
          <cell r="D44">
            <v>71.42</v>
          </cell>
          <cell r="E44">
            <v>0</v>
          </cell>
          <cell r="F44">
            <v>0</v>
          </cell>
          <cell r="G44">
            <v>0</v>
          </cell>
          <cell r="H44">
            <v>4927.76</v>
          </cell>
          <cell r="I44">
            <v>2837.42</v>
          </cell>
          <cell r="J44">
            <v>0</v>
          </cell>
          <cell r="K44">
            <v>2090.34</v>
          </cell>
          <cell r="L44">
            <v>42.42</v>
          </cell>
          <cell r="M44">
            <v>0.32</v>
          </cell>
        </row>
        <row r="45">
          <cell r="A45" t="str">
            <v>BLUKIT</v>
          </cell>
          <cell r="B45">
            <v>24</v>
          </cell>
          <cell r="C45">
            <v>4849.51</v>
          </cell>
          <cell r="D45">
            <v>19.09</v>
          </cell>
          <cell r="E45">
            <v>0</v>
          </cell>
          <cell r="F45">
            <v>0</v>
          </cell>
          <cell r="G45">
            <v>38.200000000000003</v>
          </cell>
          <cell r="H45">
            <v>4811.3100000000004</v>
          </cell>
          <cell r="I45">
            <v>3057.91</v>
          </cell>
          <cell r="J45">
            <v>22.68</v>
          </cell>
          <cell r="K45">
            <v>1776.08</v>
          </cell>
          <cell r="L45">
            <v>36.799999999999997</v>
          </cell>
          <cell r="M45">
            <v>0.31</v>
          </cell>
        </row>
        <row r="46">
          <cell r="A46" t="str">
            <v>LUCONI</v>
          </cell>
          <cell r="B46">
            <v>39</v>
          </cell>
          <cell r="C46">
            <v>4460.78</v>
          </cell>
          <cell r="D46">
            <v>10.93</v>
          </cell>
          <cell r="E46">
            <v>0</v>
          </cell>
          <cell r="F46">
            <v>0</v>
          </cell>
          <cell r="G46">
            <v>39.5</v>
          </cell>
          <cell r="H46">
            <v>4421.28</v>
          </cell>
          <cell r="I46">
            <v>2212.16</v>
          </cell>
          <cell r="J46">
            <v>18.45</v>
          </cell>
          <cell r="K46">
            <v>2227.5700000000002</v>
          </cell>
          <cell r="L46">
            <v>50.14</v>
          </cell>
          <cell r="M46">
            <v>0.28999999999999998</v>
          </cell>
        </row>
        <row r="47">
          <cell r="A47" t="str">
            <v>PULVITEC</v>
          </cell>
          <cell r="B47">
            <v>48</v>
          </cell>
          <cell r="C47">
            <v>4411.54</v>
          </cell>
          <cell r="D47">
            <v>7.93</v>
          </cell>
          <cell r="E47">
            <v>0</v>
          </cell>
          <cell r="F47">
            <v>0</v>
          </cell>
          <cell r="G47">
            <v>8.6300000000000008</v>
          </cell>
          <cell r="H47">
            <v>4402.91</v>
          </cell>
          <cell r="I47">
            <v>2133.46</v>
          </cell>
          <cell r="J47">
            <v>4.6100000000000003</v>
          </cell>
          <cell r="K47">
            <v>2274.06</v>
          </cell>
          <cell r="L47">
            <v>51.6</v>
          </cell>
          <cell r="M47">
            <v>0.28999999999999998</v>
          </cell>
        </row>
        <row r="48">
          <cell r="A48" t="str">
            <v>PLASTMAR IND E COM</v>
          </cell>
          <cell r="B48">
            <v>6</v>
          </cell>
          <cell r="C48">
            <v>4399.05</v>
          </cell>
          <cell r="D48">
            <v>65.66</v>
          </cell>
          <cell r="E48">
            <v>0</v>
          </cell>
          <cell r="F48">
            <v>0</v>
          </cell>
          <cell r="G48">
            <v>106.9</v>
          </cell>
          <cell r="H48">
            <v>4292.1499999999996</v>
          </cell>
          <cell r="I48">
            <v>2521.36</v>
          </cell>
          <cell r="J48">
            <v>56.46</v>
          </cell>
          <cell r="K48">
            <v>1827.25</v>
          </cell>
          <cell r="L48">
            <v>42.08</v>
          </cell>
          <cell r="M48">
            <v>0.28000000000000003</v>
          </cell>
        </row>
        <row r="49">
          <cell r="A49" t="str">
            <v>HERC</v>
          </cell>
          <cell r="B49">
            <v>20</v>
          </cell>
          <cell r="C49">
            <v>3724.82</v>
          </cell>
          <cell r="D49">
            <v>20.03</v>
          </cell>
          <cell r="E49">
            <v>0</v>
          </cell>
          <cell r="F49">
            <v>0</v>
          </cell>
          <cell r="G49">
            <v>127.3</v>
          </cell>
          <cell r="H49">
            <v>3597.52</v>
          </cell>
          <cell r="I49">
            <v>1939.95</v>
          </cell>
          <cell r="J49">
            <v>70.56</v>
          </cell>
          <cell r="K49">
            <v>1728.13</v>
          </cell>
          <cell r="L49">
            <v>47.29</v>
          </cell>
          <cell r="M49">
            <v>0.24</v>
          </cell>
        </row>
        <row r="50">
          <cell r="A50" t="str">
            <v>NORTON</v>
          </cell>
          <cell r="B50">
            <v>32</v>
          </cell>
          <cell r="C50">
            <v>3664.12</v>
          </cell>
          <cell r="D50">
            <v>3.45</v>
          </cell>
          <cell r="E50">
            <v>0</v>
          </cell>
          <cell r="F50">
            <v>0</v>
          </cell>
          <cell r="G50">
            <v>13</v>
          </cell>
          <cell r="H50">
            <v>3651.12</v>
          </cell>
          <cell r="I50">
            <v>1835.06</v>
          </cell>
          <cell r="J50">
            <v>6.72</v>
          </cell>
          <cell r="K50">
            <v>1822.78</v>
          </cell>
          <cell r="L50">
            <v>49.84</v>
          </cell>
          <cell r="M50">
            <v>0.24</v>
          </cell>
        </row>
        <row r="51">
          <cell r="A51" t="str">
            <v>PRATEFIX</v>
          </cell>
          <cell r="B51">
            <v>6</v>
          </cell>
          <cell r="C51">
            <v>3439.06</v>
          </cell>
          <cell r="D51">
            <v>38.21</v>
          </cell>
          <cell r="E51">
            <v>0</v>
          </cell>
          <cell r="F51">
            <v>0</v>
          </cell>
          <cell r="G51">
            <v>73.099999999999994</v>
          </cell>
          <cell r="H51">
            <v>3365.96</v>
          </cell>
          <cell r="I51">
            <v>1842.46</v>
          </cell>
          <cell r="J51">
            <v>42.19</v>
          </cell>
          <cell r="K51">
            <v>1565.69</v>
          </cell>
          <cell r="L51">
            <v>46.09</v>
          </cell>
          <cell r="M51">
            <v>0.22</v>
          </cell>
        </row>
        <row r="52">
          <cell r="A52" t="str">
            <v>MYPA</v>
          </cell>
          <cell r="B52">
            <v>22</v>
          </cell>
          <cell r="C52">
            <v>3184.81</v>
          </cell>
          <cell r="D52">
            <v>14.74</v>
          </cell>
          <cell r="E52">
            <v>0</v>
          </cell>
          <cell r="F52">
            <v>0</v>
          </cell>
          <cell r="G52">
            <v>0</v>
          </cell>
          <cell r="H52">
            <v>3184.81</v>
          </cell>
          <cell r="I52">
            <v>1737.01</v>
          </cell>
          <cell r="J52">
            <v>0</v>
          </cell>
          <cell r="K52">
            <v>1447.8</v>
          </cell>
          <cell r="L52">
            <v>45.46</v>
          </cell>
          <cell r="M52">
            <v>0.21</v>
          </cell>
        </row>
        <row r="53">
          <cell r="A53" t="str">
            <v>PRATIMIX</v>
          </cell>
          <cell r="B53">
            <v>27</v>
          </cell>
          <cell r="C53">
            <v>3151.89</v>
          </cell>
          <cell r="D53">
            <v>10.79</v>
          </cell>
          <cell r="E53">
            <v>0</v>
          </cell>
          <cell r="F53">
            <v>0</v>
          </cell>
          <cell r="G53">
            <v>33.19</v>
          </cell>
          <cell r="H53">
            <v>3118.7</v>
          </cell>
          <cell r="I53">
            <v>1781.57</v>
          </cell>
          <cell r="J53">
            <v>18.809999999999999</v>
          </cell>
          <cell r="K53">
            <v>1355.94</v>
          </cell>
          <cell r="L53">
            <v>43.28</v>
          </cell>
          <cell r="M53">
            <v>0.2</v>
          </cell>
        </row>
        <row r="54">
          <cell r="A54" t="str">
            <v>ADERE</v>
          </cell>
          <cell r="B54">
            <v>24</v>
          </cell>
          <cell r="C54">
            <v>2864.07</v>
          </cell>
          <cell r="D54">
            <v>9.52</v>
          </cell>
          <cell r="E54">
            <v>0</v>
          </cell>
          <cell r="F54">
            <v>0</v>
          </cell>
          <cell r="G54">
            <v>119.2</v>
          </cell>
          <cell r="H54">
            <v>2744.87</v>
          </cell>
          <cell r="I54">
            <v>1678.11</v>
          </cell>
          <cell r="J54">
            <v>64.72</v>
          </cell>
          <cell r="K54">
            <v>1131.48</v>
          </cell>
          <cell r="L54">
            <v>40.42</v>
          </cell>
          <cell r="M54">
            <v>0.19</v>
          </cell>
        </row>
        <row r="55">
          <cell r="A55" t="str">
            <v>VONDER</v>
          </cell>
          <cell r="B55">
            <v>10</v>
          </cell>
          <cell r="C55">
            <v>2780.42</v>
          </cell>
          <cell r="D55">
            <v>25.05</v>
          </cell>
          <cell r="E55">
            <v>0</v>
          </cell>
          <cell r="F55">
            <v>0</v>
          </cell>
          <cell r="G55">
            <v>7.2</v>
          </cell>
          <cell r="H55">
            <v>2773.22</v>
          </cell>
          <cell r="I55">
            <v>1557.52</v>
          </cell>
          <cell r="J55">
            <v>3.71</v>
          </cell>
          <cell r="K55">
            <v>1219.4100000000001</v>
          </cell>
          <cell r="L55">
            <v>43.92</v>
          </cell>
          <cell r="M55">
            <v>0.18</v>
          </cell>
        </row>
        <row r="56">
          <cell r="A56" t="str">
            <v>FRANKLIN</v>
          </cell>
          <cell r="B56">
            <v>3</v>
          </cell>
          <cell r="C56">
            <v>2567.8000000000002</v>
          </cell>
          <cell r="D56">
            <v>855.93</v>
          </cell>
          <cell r="E56">
            <v>0</v>
          </cell>
          <cell r="F56">
            <v>0</v>
          </cell>
          <cell r="G56">
            <v>0</v>
          </cell>
          <cell r="H56">
            <v>2567.8000000000002</v>
          </cell>
          <cell r="I56">
            <v>1633.57</v>
          </cell>
          <cell r="J56">
            <v>0</v>
          </cell>
          <cell r="K56">
            <v>934.23</v>
          </cell>
          <cell r="L56">
            <v>36.380000000000003</v>
          </cell>
          <cell r="M56">
            <v>0.17</v>
          </cell>
        </row>
        <row r="57">
          <cell r="A57" t="str">
            <v>BRASFORMA</v>
          </cell>
          <cell r="B57">
            <v>4</v>
          </cell>
          <cell r="C57">
            <v>2420.5700000000002</v>
          </cell>
          <cell r="D57">
            <v>80.69</v>
          </cell>
          <cell r="E57">
            <v>0</v>
          </cell>
          <cell r="F57">
            <v>0</v>
          </cell>
          <cell r="G57">
            <v>159.9</v>
          </cell>
          <cell r="H57">
            <v>2260.67</v>
          </cell>
          <cell r="I57">
            <v>1446.82</v>
          </cell>
          <cell r="J57">
            <v>92.23</v>
          </cell>
          <cell r="K57">
            <v>906.08</v>
          </cell>
          <cell r="L57">
            <v>38.92</v>
          </cell>
          <cell r="M57">
            <v>0.16</v>
          </cell>
        </row>
        <row r="58">
          <cell r="A58" t="str">
            <v>BEMFIXA</v>
          </cell>
          <cell r="B58">
            <v>10</v>
          </cell>
          <cell r="C58">
            <v>2290.7399999999998</v>
          </cell>
          <cell r="D58">
            <v>11.01</v>
          </cell>
          <cell r="E58">
            <v>0</v>
          </cell>
          <cell r="F58">
            <v>0</v>
          </cell>
          <cell r="G58">
            <v>113.4</v>
          </cell>
          <cell r="H58">
            <v>2177.34</v>
          </cell>
          <cell r="I58">
            <v>1348.76</v>
          </cell>
          <cell r="J58">
            <v>64.709999999999994</v>
          </cell>
          <cell r="K58">
            <v>893.29</v>
          </cell>
          <cell r="L58">
            <v>40.130000000000003</v>
          </cell>
          <cell r="M58">
            <v>0.15</v>
          </cell>
        </row>
        <row r="59">
          <cell r="A59" t="str">
            <v>BOGNAR</v>
          </cell>
          <cell r="B59">
            <v>10</v>
          </cell>
          <cell r="C59">
            <v>2267.34</v>
          </cell>
          <cell r="D59">
            <v>58.14</v>
          </cell>
          <cell r="E59">
            <v>0</v>
          </cell>
          <cell r="F59">
            <v>0</v>
          </cell>
          <cell r="G59">
            <v>0</v>
          </cell>
          <cell r="H59">
            <v>2267.34</v>
          </cell>
          <cell r="I59">
            <v>1392.86</v>
          </cell>
          <cell r="J59">
            <v>0</v>
          </cell>
          <cell r="K59">
            <v>874.48</v>
          </cell>
          <cell r="L59">
            <v>38.57</v>
          </cell>
          <cell r="M59">
            <v>0.15</v>
          </cell>
        </row>
        <row r="60">
          <cell r="A60" t="str">
            <v>ARAFORROS</v>
          </cell>
          <cell r="B60">
            <v>9</v>
          </cell>
          <cell r="C60">
            <v>2238.1999999999998</v>
          </cell>
          <cell r="D60">
            <v>186.52</v>
          </cell>
          <cell r="E60">
            <v>0</v>
          </cell>
          <cell r="F60">
            <v>0</v>
          </cell>
          <cell r="G60">
            <v>199.9</v>
          </cell>
          <cell r="H60">
            <v>2038.3</v>
          </cell>
          <cell r="I60">
            <v>1320.92</v>
          </cell>
          <cell r="J60">
            <v>124.97</v>
          </cell>
          <cell r="K60">
            <v>842.35</v>
          </cell>
          <cell r="L60">
            <v>39.86</v>
          </cell>
          <cell r="M60">
            <v>0.14000000000000001</v>
          </cell>
        </row>
        <row r="61">
          <cell r="A61" t="str">
            <v>CENSI</v>
          </cell>
          <cell r="B61">
            <v>17</v>
          </cell>
          <cell r="C61">
            <v>2120.9899999999998</v>
          </cell>
          <cell r="D61">
            <v>22.33</v>
          </cell>
          <cell r="E61">
            <v>0</v>
          </cell>
          <cell r="F61">
            <v>0</v>
          </cell>
          <cell r="G61">
            <v>69.09</v>
          </cell>
          <cell r="H61">
            <v>2051.9</v>
          </cell>
          <cell r="I61">
            <v>1266.3599999999999</v>
          </cell>
          <cell r="J61">
            <v>42.19</v>
          </cell>
          <cell r="K61">
            <v>827.73</v>
          </cell>
          <cell r="L61">
            <v>39.82</v>
          </cell>
          <cell r="M61">
            <v>0.14000000000000001</v>
          </cell>
        </row>
        <row r="62">
          <cell r="A62" t="str">
            <v>TAF</v>
          </cell>
          <cell r="B62">
            <v>9</v>
          </cell>
          <cell r="C62">
            <v>1851.29</v>
          </cell>
          <cell r="D62">
            <v>13.42</v>
          </cell>
          <cell r="E62">
            <v>0</v>
          </cell>
          <cell r="F62">
            <v>0</v>
          </cell>
          <cell r="G62">
            <v>36.4</v>
          </cell>
          <cell r="H62">
            <v>1814.89</v>
          </cell>
          <cell r="I62">
            <v>1101.2</v>
          </cell>
          <cell r="J62">
            <v>21.16</v>
          </cell>
          <cell r="K62">
            <v>734.85</v>
          </cell>
          <cell r="L62">
            <v>40.15</v>
          </cell>
          <cell r="M62">
            <v>0.12</v>
          </cell>
        </row>
        <row r="63">
          <cell r="A63" t="str">
            <v>EXATRON</v>
          </cell>
          <cell r="B63">
            <v>5</v>
          </cell>
          <cell r="C63">
            <v>1708.91</v>
          </cell>
          <cell r="D63">
            <v>58.93</v>
          </cell>
          <cell r="E63">
            <v>0</v>
          </cell>
          <cell r="F63">
            <v>0</v>
          </cell>
          <cell r="G63">
            <v>35.9</v>
          </cell>
          <cell r="H63">
            <v>1673.01</v>
          </cell>
          <cell r="I63">
            <v>965.19</v>
          </cell>
          <cell r="J63">
            <v>18.010000000000002</v>
          </cell>
          <cell r="K63">
            <v>725.83</v>
          </cell>
          <cell r="L63">
            <v>42.93</v>
          </cell>
          <cell r="M63">
            <v>0.11</v>
          </cell>
        </row>
        <row r="64">
          <cell r="A64" t="str">
            <v>MARLUVAS</v>
          </cell>
          <cell r="B64">
            <v>4</v>
          </cell>
          <cell r="C64">
            <v>1669.1</v>
          </cell>
          <cell r="D64">
            <v>87.85</v>
          </cell>
          <cell r="E64">
            <v>0</v>
          </cell>
          <cell r="F64">
            <v>0</v>
          </cell>
          <cell r="G64">
            <v>0</v>
          </cell>
          <cell r="H64">
            <v>1669.1</v>
          </cell>
          <cell r="I64">
            <v>1014.69</v>
          </cell>
          <cell r="J64">
            <v>0</v>
          </cell>
          <cell r="K64">
            <v>654.41</v>
          </cell>
          <cell r="L64">
            <v>39.21</v>
          </cell>
          <cell r="M64">
            <v>0.11</v>
          </cell>
        </row>
        <row r="65">
          <cell r="A65" t="str">
            <v>PRECON</v>
          </cell>
          <cell r="B65">
            <v>5</v>
          </cell>
          <cell r="C65">
            <v>1655.74</v>
          </cell>
          <cell r="D65">
            <v>97.4</v>
          </cell>
          <cell r="E65">
            <v>0</v>
          </cell>
          <cell r="F65">
            <v>0</v>
          </cell>
          <cell r="G65">
            <v>0</v>
          </cell>
          <cell r="H65">
            <v>1655.74</v>
          </cell>
          <cell r="I65">
            <v>1079.49</v>
          </cell>
          <cell r="J65">
            <v>0</v>
          </cell>
          <cell r="K65">
            <v>576.25</v>
          </cell>
          <cell r="L65">
            <v>34.799999999999997</v>
          </cell>
          <cell r="M65">
            <v>0.11</v>
          </cell>
        </row>
        <row r="66">
          <cell r="A66" t="str">
            <v>CORTAG</v>
          </cell>
          <cell r="B66">
            <v>16</v>
          </cell>
          <cell r="C66">
            <v>1622.89</v>
          </cell>
          <cell r="D66">
            <v>24.22</v>
          </cell>
          <cell r="E66">
            <v>0</v>
          </cell>
          <cell r="F66">
            <v>0</v>
          </cell>
          <cell r="G66">
            <v>0</v>
          </cell>
          <cell r="H66">
            <v>1622.89</v>
          </cell>
          <cell r="I66">
            <v>939.37</v>
          </cell>
          <cell r="J66">
            <v>0</v>
          </cell>
          <cell r="K66">
            <v>683.52</v>
          </cell>
          <cell r="L66">
            <v>42.12</v>
          </cell>
          <cell r="M66">
            <v>0.1</v>
          </cell>
        </row>
        <row r="67">
          <cell r="A67" t="str">
            <v>STARRETT INDUSTRIA E COMERCIO</v>
          </cell>
          <cell r="B67">
            <v>9</v>
          </cell>
          <cell r="C67">
            <v>1612.76</v>
          </cell>
          <cell r="D67">
            <v>21.79</v>
          </cell>
          <cell r="E67">
            <v>0</v>
          </cell>
          <cell r="F67">
            <v>0</v>
          </cell>
          <cell r="G67">
            <v>0</v>
          </cell>
          <cell r="H67">
            <v>1612.76</v>
          </cell>
          <cell r="I67">
            <v>927.84</v>
          </cell>
          <cell r="J67">
            <v>0</v>
          </cell>
          <cell r="K67">
            <v>684.92</v>
          </cell>
          <cell r="L67">
            <v>42.47</v>
          </cell>
          <cell r="M67">
            <v>0.1</v>
          </cell>
        </row>
        <row r="68">
          <cell r="A68" t="str">
            <v>METALOSA</v>
          </cell>
          <cell r="B68">
            <v>3</v>
          </cell>
          <cell r="C68">
            <v>1611.1</v>
          </cell>
          <cell r="D68">
            <v>268.52</v>
          </cell>
          <cell r="E68">
            <v>0</v>
          </cell>
          <cell r="F68">
            <v>0</v>
          </cell>
          <cell r="G68">
            <v>0</v>
          </cell>
          <cell r="H68">
            <v>1611.1</v>
          </cell>
          <cell r="I68">
            <v>909.31</v>
          </cell>
          <cell r="J68">
            <v>0</v>
          </cell>
          <cell r="K68">
            <v>701.79</v>
          </cell>
          <cell r="L68">
            <v>43.56</v>
          </cell>
          <cell r="M68">
            <v>0.1</v>
          </cell>
        </row>
        <row r="69">
          <cell r="A69" t="str">
            <v>BOTAFOGO</v>
          </cell>
          <cell r="B69">
            <v>2</v>
          </cell>
          <cell r="C69">
            <v>1602.9</v>
          </cell>
          <cell r="D69">
            <v>801.45</v>
          </cell>
          <cell r="E69">
            <v>0</v>
          </cell>
          <cell r="F69">
            <v>0</v>
          </cell>
          <cell r="G69">
            <v>0</v>
          </cell>
          <cell r="H69">
            <v>1602.9</v>
          </cell>
          <cell r="I69">
            <v>903.67</v>
          </cell>
          <cell r="J69">
            <v>0</v>
          </cell>
          <cell r="K69">
            <v>699.23</v>
          </cell>
          <cell r="L69">
            <v>43.62</v>
          </cell>
          <cell r="M69">
            <v>0.1</v>
          </cell>
        </row>
        <row r="70">
          <cell r="A70" t="str">
            <v>ILUMI</v>
          </cell>
          <cell r="B70">
            <v>11</v>
          </cell>
          <cell r="C70">
            <v>1601.74</v>
          </cell>
          <cell r="D70">
            <v>7.93</v>
          </cell>
          <cell r="E70">
            <v>0</v>
          </cell>
          <cell r="F70">
            <v>0</v>
          </cell>
          <cell r="G70">
            <v>54.3</v>
          </cell>
          <cell r="H70">
            <v>1547.44</v>
          </cell>
          <cell r="I70">
            <v>911.4</v>
          </cell>
          <cell r="J70">
            <v>34.1</v>
          </cell>
          <cell r="K70">
            <v>670.14</v>
          </cell>
          <cell r="L70">
            <v>42.75</v>
          </cell>
          <cell r="M70">
            <v>0.1</v>
          </cell>
        </row>
        <row r="71">
          <cell r="A71" t="str">
            <v>Momfort</v>
          </cell>
          <cell r="B71">
            <v>6</v>
          </cell>
          <cell r="C71">
            <v>1540.9</v>
          </cell>
          <cell r="D71">
            <v>29.63</v>
          </cell>
          <cell r="E71">
            <v>0</v>
          </cell>
          <cell r="F71">
            <v>0</v>
          </cell>
          <cell r="G71">
            <v>34.9</v>
          </cell>
          <cell r="H71">
            <v>1506</v>
          </cell>
          <cell r="I71">
            <v>868.4</v>
          </cell>
          <cell r="J71">
            <v>19.899999999999999</v>
          </cell>
          <cell r="K71">
            <v>657.5</v>
          </cell>
          <cell r="L71">
            <v>43.23</v>
          </cell>
          <cell r="M71">
            <v>0.1</v>
          </cell>
        </row>
        <row r="72">
          <cell r="A72" t="str">
            <v>ALIANÇA</v>
          </cell>
          <cell r="B72">
            <v>4</v>
          </cell>
          <cell r="C72">
            <v>1513.6</v>
          </cell>
          <cell r="D72">
            <v>63.07</v>
          </cell>
          <cell r="E72">
            <v>0</v>
          </cell>
          <cell r="F72">
            <v>0</v>
          </cell>
          <cell r="G72">
            <v>0</v>
          </cell>
          <cell r="H72">
            <v>1513.6</v>
          </cell>
          <cell r="I72">
            <v>949.5</v>
          </cell>
          <cell r="J72">
            <v>0</v>
          </cell>
          <cell r="K72">
            <v>564.1</v>
          </cell>
          <cell r="L72">
            <v>37.270000000000003</v>
          </cell>
          <cell r="M72">
            <v>0.1</v>
          </cell>
        </row>
        <row r="73">
          <cell r="A73" t="str">
            <v>PINTSILK</v>
          </cell>
          <cell r="B73">
            <v>7</v>
          </cell>
          <cell r="C73">
            <v>1313.83</v>
          </cell>
          <cell r="D73">
            <v>93.85</v>
          </cell>
          <cell r="E73">
            <v>0</v>
          </cell>
          <cell r="F73">
            <v>0</v>
          </cell>
          <cell r="G73">
            <v>163.80000000000001</v>
          </cell>
          <cell r="H73">
            <v>1150.03</v>
          </cell>
          <cell r="I73">
            <v>757.65</v>
          </cell>
          <cell r="J73">
            <v>98.26</v>
          </cell>
          <cell r="K73">
            <v>490.64</v>
          </cell>
          <cell r="L73">
            <v>40.36</v>
          </cell>
          <cell r="M73">
            <v>0.08</v>
          </cell>
        </row>
        <row r="74">
          <cell r="A74" t="str">
            <v>NORCOLA</v>
          </cell>
          <cell r="B74">
            <v>2</v>
          </cell>
          <cell r="C74">
            <v>1296.31</v>
          </cell>
          <cell r="D74">
            <v>144.03</v>
          </cell>
          <cell r="E74">
            <v>0</v>
          </cell>
          <cell r="F74">
            <v>0</v>
          </cell>
          <cell r="G74">
            <v>0</v>
          </cell>
          <cell r="H74">
            <v>1296.31</v>
          </cell>
          <cell r="I74">
            <v>868.7</v>
          </cell>
          <cell r="J74">
            <v>0</v>
          </cell>
          <cell r="K74">
            <v>427.61</v>
          </cell>
          <cell r="L74">
            <v>32.99</v>
          </cell>
          <cell r="M74">
            <v>0.08</v>
          </cell>
        </row>
        <row r="75">
          <cell r="A75" t="str">
            <v>J LOBATO</v>
          </cell>
          <cell r="B75">
            <v>7</v>
          </cell>
          <cell r="C75">
            <v>1194.79</v>
          </cell>
          <cell r="D75">
            <v>23.43</v>
          </cell>
          <cell r="E75">
            <v>0</v>
          </cell>
          <cell r="F75">
            <v>0</v>
          </cell>
          <cell r="G75">
            <v>0</v>
          </cell>
          <cell r="H75">
            <v>1194.79</v>
          </cell>
          <cell r="I75">
            <v>542.27</v>
          </cell>
          <cell r="J75">
            <v>0</v>
          </cell>
          <cell r="K75">
            <v>652.52</v>
          </cell>
          <cell r="L75">
            <v>54.61</v>
          </cell>
          <cell r="M75">
            <v>0.08</v>
          </cell>
        </row>
        <row r="76">
          <cell r="A76" t="str">
            <v>PADRAO FORTE</v>
          </cell>
          <cell r="B76">
            <v>13</v>
          </cell>
          <cell r="C76">
            <v>1185.95</v>
          </cell>
          <cell r="D76">
            <v>49.41</v>
          </cell>
          <cell r="E76">
            <v>0</v>
          </cell>
          <cell r="F76">
            <v>0</v>
          </cell>
          <cell r="G76">
            <v>0</v>
          </cell>
          <cell r="H76">
            <v>1185.95</v>
          </cell>
          <cell r="I76">
            <v>704.11</v>
          </cell>
          <cell r="J76">
            <v>0</v>
          </cell>
          <cell r="K76">
            <v>481.84</v>
          </cell>
          <cell r="L76">
            <v>40.630000000000003</v>
          </cell>
          <cell r="M76">
            <v>0.08</v>
          </cell>
        </row>
        <row r="77">
          <cell r="A77" t="str">
            <v>TRAMONTINA NORDESTE</v>
          </cell>
          <cell r="B77">
            <v>6</v>
          </cell>
          <cell r="C77">
            <v>1183.0999999999999</v>
          </cell>
          <cell r="D77">
            <v>56.34</v>
          </cell>
          <cell r="E77">
            <v>0</v>
          </cell>
          <cell r="F77">
            <v>0</v>
          </cell>
          <cell r="G77">
            <v>6.2</v>
          </cell>
          <cell r="H77">
            <v>1176.9000000000001</v>
          </cell>
          <cell r="I77">
            <v>770.42</v>
          </cell>
          <cell r="J77">
            <v>3.42</v>
          </cell>
          <cell r="K77">
            <v>409.9</v>
          </cell>
          <cell r="L77">
            <v>34.75</v>
          </cell>
          <cell r="M77">
            <v>0.08</v>
          </cell>
        </row>
        <row r="78">
          <cell r="A78" t="str">
            <v>KALIPSO</v>
          </cell>
          <cell r="B78">
            <v>8</v>
          </cell>
          <cell r="C78">
            <v>1111.24</v>
          </cell>
          <cell r="D78">
            <v>8.82</v>
          </cell>
          <cell r="E78">
            <v>0</v>
          </cell>
          <cell r="F78">
            <v>0</v>
          </cell>
          <cell r="G78">
            <v>0</v>
          </cell>
          <cell r="H78">
            <v>1111.24</v>
          </cell>
          <cell r="I78">
            <v>511.57</v>
          </cell>
          <cell r="J78">
            <v>0</v>
          </cell>
          <cell r="K78">
            <v>599.66999999999996</v>
          </cell>
          <cell r="L78">
            <v>53.96</v>
          </cell>
          <cell r="M78">
            <v>7.0000000000000007E-2</v>
          </cell>
        </row>
        <row r="79">
          <cell r="A79" t="str">
            <v>NAWA COM ATAC VAR PROD LAR E L</v>
          </cell>
          <cell r="B79">
            <v>5</v>
          </cell>
          <cell r="C79">
            <v>1094.5999999999999</v>
          </cell>
          <cell r="D79">
            <v>218.92</v>
          </cell>
          <cell r="E79">
            <v>0</v>
          </cell>
          <cell r="F79">
            <v>0</v>
          </cell>
          <cell r="G79">
            <v>0</v>
          </cell>
          <cell r="H79">
            <v>1094.5999999999999</v>
          </cell>
          <cell r="I79">
            <v>671.62</v>
          </cell>
          <cell r="J79">
            <v>0</v>
          </cell>
          <cell r="K79">
            <v>422.98</v>
          </cell>
          <cell r="L79">
            <v>38.64</v>
          </cell>
          <cell r="M79">
            <v>7.0000000000000007E-2</v>
          </cell>
        </row>
        <row r="80">
          <cell r="A80" t="str">
            <v>TRAMONTINA</v>
          </cell>
          <cell r="B80">
            <v>7</v>
          </cell>
          <cell r="C80">
            <v>1036.03</v>
          </cell>
          <cell r="D80">
            <v>39.85</v>
          </cell>
          <cell r="E80">
            <v>0</v>
          </cell>
          <cell r="F80">
            <v>0</v>
          </cell>
          <cell r="G80">
            <v>0</v>
          </cell>
          <cell r="H80">
            <v>1036.03</v>
          </cell>
          <cell r="I80">
            <v>598.41</v>
          </cell>
          <cell r="J80">
            <v>0</v>
          </cell>
          <cell r="K80">
            <v>437.62</v>
          </cell>
          <cell r="L80">
            <v>42.24</v>
          </cell>
          <cell r="M80">
            <v>7.0000000000000007E-2</v>
          </cell>
        </row>
        <row r="81">
          <cell r="A81" t="str">
            <v>ULTRA CLEAN</v>
          </cell>
          <cell r="B81">
            <v>4</v>
          </cell>
          <cell r="C81">
            <v>896.46</v>
          </cell>
          <cell r="D81">
            <v>22.99</v>
          </cell>
          <cell r="E81">
            <v>0</v>
          </cell>
          <cell r="F81">
            <v>0</v>
          </cell>
          <cell r="G81">
            <v>0</v>
          </cell>
          <cell r="H81">
            <v>896.46</v>
          </cell>
          <cell r="I81">
            <v>546.89</v>
          </cell>
          <cell r="J81">
            <v>0</v>
          </cell>
          <cell r="K81">
            <v>349.57</v>
          </cell>
          <cell r="L81">
            <v>38.99</v>
          </cell>
          <cell r="M81">
            <v>0.06</v>
          </cell>
        </row>
        <row r="82">
          <cell r="A82" t="str">
            <v>BRASFORT</v>
          </cell>
          <cell r="B82">
            <v>5</v>
          </cell>
          <cell r="C82">
            <v>891.6</v>
          </cell>
          <cell r="D82">
            <v>14.86</v>
          </cell>
          <cell r="E82">
            <v>0</v>
          </cell>
          <cell r="F82">
            <v>0</v>
          </cell>
          <cell r="G82">
            <v>0</v>
          </cell>
          <cell r="H82">
            <v>891.6</v>
          </cell>
          <cell r="I82">
            <v>527.02</v>
          </cell>
          <cell r="J82">
            <v>0</v>
          </cell>
          <cell r="K82">
            <v>364.58</v>
          </cell>
          <cell r="L82">
            <v>40.89</v>
          </cell>
          <cell r="M82">
            <v>0.06</v>
          </cell>
        </row>
        <row r="83">
          <cell r="A83" t="str">
            <v>BOSCH</v>
          </cell>
          <cell r="B83">
            <v>3</v>
          </cell>
          <cell r="C83">
            <v>854.86</v>
          </cell>
          <cell r="D83">
            <v>170.97</v>
          </cell>
          <cell r="E83">
            <v>0</v>
          </cell>
          <cell r="F83">
            <v>0</v>
          </cell>
          <cell r="G83">
            <v>31.26</v>
          </cell>
          <cell r="H83">
            <v>823.6</v>
          </cell>
          <cell r="I83">
            <v>549.04</v>
          </cell>
          <cell r="J83">
            <v>20.61</v>
          </cell>
          <cell r="K83">
            <v>295.17</v>
          </cell>
          <cell r="L83">
            <v>35.380000000000003</v>
          </cell>
          <cell r="M83">
            <v>0.06</v>
          </cell>
        </row>
        <row r="84">
          <cell r="A84" t="str">
            <v>Max-Giro</v>
          </cell>
          <cell r="B84">
            <v>10</v>
          </cell>
          <cell r="C84">
            <v>850.43</v>
          </cell>
          <cell r="D84">
            <v>12.51</v>
          </cell>
          <cell r="E84">
            <v>0</v>
          </cell>
          <cell r="F84">
            <v>0</v>
          </cell>
          <cell r="G84">
            <v>0</v>
          </cell>
          <cell r="H84">
            <v>850.43</v>
          </cell>
          <cell r="I84">
            <v>500.07</v>
          </cell>
          <cell r="J84">
            <v>0</v>
          </cell>
          <cell r="K84">
            <v>350.36</v>
          </cell>
          <cell r="L84">
            <v>41.2</v>
          </cell>
          <cell r="M84">
            <v>0.05</v>
          </cell>
        </row>
        <row r="85">
          <cell r="A85" t="str">
            <v>ORBI QUIMICA LTDA</v>
          </cell>
          <cell r="B85">
            <v>4</v>
          </cell>
          <cell r="C85">
            <v>794.4</v>
          </cell>
          <cell r="D85">
            <v>13.7</v>
          </cell>
          <cell r="E85">
            <v>0</v>
          </cell>
          <cell r="F85">
            <v>0</v>
          </cell>
          <cell r="G85">
            <v>0</v>
          </cell>
          <cell r="H85">
            <v>794.4</v>
          </cell>
          <cell r="I85">
            <v>447.19</v>
          </cell>
          <cell r="J85">
            <v>0</v>
          </cell>
          <cell r="K85">
            <v>347.21</v>
          </cell>
          <cell r="L85">
            <v>43.71</v>
          </cell>
          <cell r="M85">
            <v>0.05</v>
          </cell>
        </row>
        <row r="86">
          <cell r="A86" t="str">
            <v>FORTLINE</v>
          </cell>
          <cell r="B86">
            <v>2</v>
          </cell>
          <cell r="C86">
            <v>761.26</v>
          </cell>
          <cell r="D86">
            <v>108.75</v>
          </cell>
          <cell r="E86">
            <v>0</v>
          </cell>
          <cell r="F86">
            <v>0</v>
          </cell>
          <cell r="G86">
            <v>0</v>
          </cell>
          <cell r="H86">
            <v>761.26</v>
          </cell>
          <cell r="I86">
            <v>463.77</v>
          </cell>
          <cell r="J86">
            <v>0</v>
          </cell>
          <cell r="K86">
            <v>297.49</v>
          </cell>
          <cell r="L86">
            <v>39.08</v>
          </cell>
          <cell r="M86">
            <v>0.05</v>
          </cell>
        </row>
        <row r="87">
          <cell r="A87" t="str">
            <v>ARCELORMITTAL</v>
          </cell>
          <cell r="B87">
            <v>4</v>
          </cell>
          <cell r="C87">
            <v>719.26</v>
          </cell>
          <cell r="D87">
            <v>51.38</v>
          </cell>
          <cell r="E87">
            <v>0</v>
          </cell>
          <cell r="F87">
            <v>0</v>
          </cell>
          <cell r="G87">
            <v>0</v>
          </cell>
          <cell r="H87">
            <v>719.26</v>
          </cell>
          <cell r="I87">
            <v>418.9</v>
          </cell>
          <cell r="J87">
            <v>0</v>
          </cell>
          <cell r="K87">
            <v>300.36</v>
          </cell>
          <cell r="L87">
            <v>41.76</v>
          </cell>
          <cell r="M87">
            <v>0.05</v>
          </cell>
        </row>
        <row r="88">
          <cell r="A88" t="str">
            <v>ANJO QUIMICA DO BRASIL LTDA</v>
          </cell>
          <cell r="B88">
            <v>5</v>
          </cell>
          <cell r="C88">
            <v>668.57</v>
          </cell>
          <cell r="D88">
            <v>23.88</v>
          </cell>
          <cell r="E88">
            <v>0</v>
          </cell>
          <cell r="F88">
            <v>0</v>
          </cell>
          <cell r="G88">
            <v>0</v>
          </cell>
          <cell r="H88">
            <v>668.57</v>
          </cell>
          <cell r="I88">
            <v>404.15</v>
          </cell>
          <cell r="J88">
            <v>0</v>
          </cell>
          <cell r="K88">
            <v>264.42</v>
          </cell>
          <cell r="L88">
            <v>39.549999999999997</v>
          </cell>
          <cell r="M88">
            <v>0.04</v>
          </cell>
        </row>
        <row r="89">
          <cell r="A89" t="str">
            <v>LGMAIS</v>
          </cell>
          <cell r="B89">
            <v>3</v>
          </cell>
          <cell r="C89">
            <v>624.47</v>
          </cell>
          <cell r="D89">
            <v>124.89</v>
          </cell>
          <cell r="E89">
            <v>0</v>
          </cell>
          <cell r="F89">
            <v>0</v>
          </cell>
          <cell r="G89">
            <v>0</v>
          </cell>
          <cell r="H89">
            <v>624.47</v>
          </cell>
          <cell r="I89">
            <v>392.36</v>
          </cell>
          <cell r="J89">
            <v>0</v>
          </cell>
          <cell r="K89">
            <v>232.11</v>
          </cell>
          <cell r="L89">
            <v>37.17</v>
          </cell>
          <cell r="M89">
            <v>0.04</v>
          </cell>
        </row>
        <row r="90">
          <cell r="A90" t="str">
            <v>HIDRACOR</v>
          </cell>
          <cell r="B90">
            <v>6</v>
          </cell>
          <cell r="C90">
            <v>622.78</v>
          </cell>
          <cell r="D90">
            <v>2.9</v>
          </cell>
          <cell r="E90">
            <v>0</v>
          </cell>
          <cell r="F90">
            <v>0</v>
          </cell>
          <cell r="G90">
            <v>5.62</v>
          </cell>
          <cell r="H90">
            <v>617.16</v>
          </cell>
          <cell r="I90">
            <v>306.3</v>
          </cell>
          <cell r="J90">
            <v>2.84</v>
          </cell>
          <cell r="K90">
            <v>313.7</v>
          </cell>
          <cell r="L90">
            <v>50.6</v>
          </cell>
          <cell r="M90">
            <v>0.04</v>
          </cell>
        </row>
        <row r="91">
          <cell r="A91" t="str">
            <v>CHEMONE</v>
          </cell>
          <cell r="B91">
            <v>5</v>
          </cell>
          <cell r="C91">
            <v>582.03</v>
          </cell>
          <cell r="D91">
            <v>17.12</v>
          </cell>
          <cell r="E91">
            <v>0</v>
          </cell>
          <cell r="F91">
            <v>0</v>
          </cell>
          <cell r="G91">
            <v>0</v>
          </cell>
          <cell r="H91">
            <v>582.03</v>
          </cell>
          <cell r="I91">
            <v>346</v>
          </cell>
          <cell r="J91">
            <v>0</v>
          </cell>
          <cell r="K91">
            <v>236.03</v>
          </cell>
          <cell r="L91">
            <v>40.549999999999997</v>
          </cell>
          <cell r="M91">
            <v>0.04</v>
          </cell>
        </row>
        <row r="92">
          <cell r="A92" t="str">
            <v>GARDENLIFE</v>
          </cell>
          <cell r="B92">
            <v>2</v>
          </cell>
          <cell r="C92">
            <v>551.9</v>
          </cell>
          <cell r="D92">
            <v>50.17</v>
          </cell>
          <cell r="E92">
            <v>0</v>
          </cell>
          <cell r="F92">
            <v>0</v>
          </cell>
          <cell r="G92">
            <v>0</v>
          </cell>
          <cell r="H92">
            <v>551.9</v>
          </cell>
          <cell r="I92">
            <v>351.88</v>
          </cell>
          <cell r="J92">
            <v>0</v>
          </cell>
          <cell r="K92">
            <v>200.02</v>
          </cell>
          <cell r="L92">
            <v>36.24</v>
          </cell>
          <cell r="M92">
            <v>0.04</v>
          </cell>
        </row>
        <row r="93">
          <cell r="A93" t="str">
            <v>EXTRALUZ</v>
          </cell>
          <cell r="B93">
            <v>5</v>
          </cell>
          <cell r="C93">
            <v>529.30999999999995</v>
          </cell>
          <cell r="D93">
            <v>19.600000000000001</v>
          </cell>
          <cell r="E93">
            <v>0</v>
          </cell>
          <cell r="F93">
            <v>0</v>
          </cell>
          <cell r="G93">
            <v>0</v>
          </cell>
          <cell r="H93">
            <v>529.30999999999995</v>
          </cell>
          <cell r="I93">
            <v>321.31</v>
          </cell>
          <cell r="J93">
            <v>0</v>
          </cell>
          <cell r="K93">
            <v>208</v>
          </cell>
          <cell r="L93">
            <v>39.299999999999997</v>
          </cell>
          <cell r="M93">
            <v>0.03</v>
          </cell>
        </row>
        <row r="94">
          <cell r="A94" t="str">
            <v>GERDAU</v>
          </cell>
          <cell r="B94">
            <v>4</v>
          </cell>
          <cell r="C94">
            <v>513.16</v>
          </cell>
          <cell r="D94">
            <v>30.19</v>
          </cell>
          <cell r="E94">
            <v>0</v>
          </cell>
          <cell r="F94">
            <v>0</v>
          </cell>
          <cell r="G94">
            <v>0</v>
          </cell>
          <cell r="H94">
            <v>513.16</v>
          </cell>
          <cell r="I94">
            <v>276.3</v>
          </cell>
          <cell r="J94">
            <v>0</v>
          </cell>
          <cell r="K94">
            <v>236.86</v>
          </cell>
          <cell r="L94">
            <v>46.16</v>
          </cell>
          <cell r="M94">
            <v>0.03</v>
          </cell>
        </row>
        <row r="95">
          <cell r="A95" t="str">
            <v>ULTRACLEAN</v>
          </cell>
          <cell r="B95">
            <v>3</v>
          </cell>
          <cell r="C95">
            <v>500.64</v>
          </cell>
          <cell r="D95">
            <v>20.86</v>
          </cell>
          <cell r="E95">
            <v>0</v>
          </cell>
          <cell r="F95">
            <v>0</v>
          </cell>
          <cell r="G95">
            <v>0</v>
          </cell>
          <cell r="H95">
            <v>500.64</v>
          </cell>
          <cell r="I95">
            <v>291.04000000000002</v>
          </cell>
          <cell r="J95">
            <v>0</v>
          </cell>
          <cell r="K95">
            <v>209.6</v>
          </cell>
          <cell r="L95">
            <v>41.87</v>
          </cell>
          <cell r="M95">
            <v>0.03</v>
          </cell>
        </row>
        <row r="96">
          <cell r="A96" t="str">
            <v>EPLAST</v>
          </cell>
          <cell r="B96">
            <v>1</v>
          </cell>
          <cell r="C96">
            <v>450</v>
          </cell>
          <cell r="D96">
            <v>37.5</v>
          </cell>
          <cell r="E96">
            <v>0</v>
          </cell>
          <cell r="F96">
            <v>0</v>
          </cell>
          <cell r="G96">
            <v>0</v>
          </cell>
          <cell r="H96">
            <v>450</v>
          </cell>
          <cell r="I96">
            <v>296.52</v>
          </cell>
          <cell r="J96">
            <v>0</v>
          </cell>
          <cell r="K96">
            <v>153.47999999999999</v>
          </cell>
          <cell r="L96">
            <v>34.11</v>
          </cell>
          <cell r="M96">
            <v>0.03</v>
          </cell>
        </row>
        <row r="97">
          <cell r="A97" t="str">
            <v>COZIMAX</v>
          </cell>
          <cell r="B97">
            <v>3</v>
          </cell>
          <cell r="C97">
            <v>417.7</v>
          </cell>
          <cell r="D97">
            <v>139.22999999999999</v>
          </cell>
          <cell r="E97">
            <v>0</v>
          </cell>
          <cell r="F97">
            <v>0</v>
          </cell>
          <cell r="G97">
            <v>0</v>
          </cell>
          <cell r="H97">
            <v>417.7</v>
          </cell>
          <cell r="I97">
            <v>249.76</v>
          </cell>
          <cell r="J97">
            <v>0</v>
          </cell>
          <cell r="K97">
            <v>167.94</v>
          </cell>
          <cell r="L97">
            <v>40.21</v>
          </cell>
          <cell r="M97">
            <v>0.03</v>
          </cell>
        </row>
        <row r="98">
          <cell r="A98" t="str">
            <v>INCESA</v>
          </cell>
          <cell r="B98">
            <v>2</v>
          </cell>
          <cell r="C98">
            <v>392.875</v>
          </cell>
          <cell r="D98">
            <v>26.19</v>
          </cell>
          <cell r="E98">
            <v>0</v>
          </cell>
          <cell r="F98">
            <v>0</v>
          </cell>
          <cell r="G98">
            <v>0</v>
          </cell>
          <cell r="H98">
            <v>392.875</v>
          </cell>
          <cell r="I98">
            <v>285.14999999999998</v>
          </cell>
          <cell r="J98">
            <v>0</v>
          </cell>
          <cell r="K98">
            <v>107.72499999999999</v>
          </cell>
          <cell r="L98">
            <v>27.42</v>
          </cell>
          <cell r="M98">
            <v>0.03</v>
          </cell>
        </row>
        <row r="99">
          <cell r="A99" t="str">
            <v>CRIVAL</v>
          </cell>
          <cell r="B99">
            <v>1</v>
          </cell>
          <cell r="C99">
            <v>390.5</v>
          </cell>
          <cell r="D99">
            <v>78.099999999999994</v>
          </cell>
          <cell r="E99">
            <v>0</v>
          </cell>
          <cell r="F99">
            <v>0</v>
          </cell>
          <cell r="G99">
            <v>0</v>
          </cell>
          <cell r="H99">
            <v>390.5</v>
          </cell>
          <cell r="I99">
            <v>229.2</v>
          </cell>
          <cell r="J99">
            <v>0</v>
          </cell>
          <cell r="K99">
            <v>161.30000000000001</v>
          </cell>
          <cell r="L99">
            <v>41.31</v>
          </cell>
          <cell r="M99">
            <v>0.03</v>
          </cell>
        </row>
        <row r="100">
          <cell r="A100" t="str">
            <v>DUDA</v>
          </cell>
          <cell r="B100">
            <v>2</v>
          </cell>
          <cell r="C100">
            <v>360.84</v>
          </cell>
          <cell r="D100">
            <v>34.04</v>
          </cell>
          <cell r="E100">
            <v>0</v>
          </cell>
          <cell r="F100">
            <v>0</v>
          </cell>
          <cell r="G100">
            <v>0</v>
          </cell>
          <cell r="H100">
            <v>360.84</v>
          </cell>
          <cell r="I100">
            <v>203.84399999999999</v>
          </cell>
          <cell r="J100">
            <v>0</v>
          </cell>
          <cell r="K100">
            <v>156.99600000000001</v>
          </cell>
          <cell r="L100">
            <v>43.51</v>
          </cell>
          <cell r="M100">
            <v>0.02</v>
          </cell>
        </row>
        <row r="101">
          <cell r="A101" t="str">
            <v>RHPE</v>
          </cell>
          <cell r="B101">
            <v>3</v>
          </cell>
          <cell r="C101">
            <v>343.6</v>
          </cell>
          <cell r="D101">
            <v>85.9</v>
          </cell>
          <cell r="E101">
            <v>0</v>
          </cell>
          <cell r="F101">
            <v>0</v>
          </cell>
          <cell r="G101">
            <v>85.9</v>
          </cell>
          <cell r="H101">
            <v>257.7</v>
          </cell>
          <cell r="I101">
            <v>213.36</v>
          </cell>
          <cell r="J101">
            <v>53.34</v>
          </cell>
          <cell r="K101">
            <v>97.68</v>
          </cell>
          <cell r="L101">
            <v>33.65</v>
          </cell>
          <cell r="M101">
            <v>0.02</v>
          </cell>
        </row>
        <row r="102">
          <cell r="A102" t="str">
            <v>SECALUX</v>
          </cell>
          <cell r="B102">
            <v>3</v>
          </cell>
          <cell r="C102">
            <v>308.7</v>
          </cell>
          <cell r="D102">
            <v>102.9</v>
          </cell>
          <cell r="E102">
            <v>0</v>
          </cell>
          <cell r="F102">
            <v>0</v>
          </cell>
          <cell r="G102">
            <v>0</v>
          </cell>
          <cell r="H102">
            <v>308.7</v>
          </cell>
          <cell r="I102">
            <v>195.22</v>
          </cell>
          <cell r="J102">
            <v>0</v>
          </cell>
          <cell r="K102">
            <v>113.48</v>
          </cell>
          <cell r="L102">
            <v>36.76</v>
          </cell>
          <cell r="M102">
            <v>0.02</v>
          </cell>
        </row>
        <row r="103">
          <cell r="A103" t="str">
            <v>LEDAN</v>
          </cell>
          <cell r="B103">
            <v>3</v>
          </cell>
          <cell r="C103">
            <v>308.06</v>
          </cell>
          <cell r="D103">
            <v>7.16</v>
          </cell>
          <cell r="E103">
            <v>0</v>
          </cell>
          <cell r="F103">
            <v>0</v>
          </cell>
          <cell r="G103">
            <v>0</v>
          </cell>
          <cell r="H103">
            <v>308.06</v>
          </cell>
          <cell r="I103">
            <v>196.04</v>
          </cell>
          <cell r="J103">
            <v>0</v>
          </cell>
          <cell r="K103">
            <v>112.02</v>
          </cell>
          <cell r="L103">
            <v>36.36</v>
          </cell>
          <cell r="M103">
            <v>0.02</v>
          </cell>
        </row>
        <row r="104">
          <cell r="A104" t="str">
            <v>STAM</v>
          </cell>
          <cell r="B104">
            <v>2</v>
          </cell>
          <cell r="C104">
            <v>305.5</v>
          </cell>
          <cell r="D104">
            <v>61.1</v>
          </cell>
          <cell r="E104">
            <v>0</v>
          </cell>
          <cell r="F104">
            <v>0</v>
          </cell>
          <cell r="G104">
            <v>49.9</v>
          </cell>
          <cell r="H104">
            <v>255.6</v>
          </cell>
          <cell r="I104">
            <v>165.51</v>
          </cell>
          <cell r="J104">
            <v>29.02</v>
          </cell>
          <cell r="K104">
            <v>119.11</v>
          </cell>
          <cell r="L104">
            <v>43.08</v>
          </cell>
          <cell r="M104">
            <v>0.02</v>
          </cell>
        </row>
        <row r="105">
          <cell r="A105" t="str">
            <v>ATTENA</v>
          </cell>
          <cell r="B105">
            <v>1</v>
          </cell>
          <cell r="C105">
            <v>230.45</v>
          </cell>
          <cell r="D105">
            <v>20.95</v>
          </cell>
          <cell r="E105">
            <v>0</v>
          </cell>
          <cell r="F105">
            <v>0</v>
          </cell>
          <cell r="G105">
            <v>0</v>
          </cell>
          <cell r="H105">
            <v>230.45</v>
          </cell>
          <cell r="I105">
            <v>460.9</v>
          </cell>
          <cell r="J105">
            <v>0</v>
          </cell>
          <cell r="K105">
            <v>-230.45</v>
          </cell>
          <cell r="L105">
            <v>0</v>
          </cell>
          <cell r="M105">
            <v>0.01</v>
          </cell>
        </row>
        <row r="106">
          <cell r="A106" t="str">
            <v>EXTRALUX</v>
          </cell>
          <cell r="B106">
            <v>4</v>
          </cell>
          <cell r="C106">
            <v>214.5</v>
          </cell>
          <cell r="D106">
            <v>23.83</v>
          </cell>
          <cell r="E106">
            <v>0</v>
          </cell>
          <cell r="F106">
            <v>0</v>
          </cell>
          <cell r="G106">
            <v>0</v>
          </cell>
          <cell r="H106">
            <v>214.5</v>
          </cell>
          <cell r="I106">
            <v>129.93</v>
          </cell>
          <cell r="J106">
            <v>0</v>
          </cell>
          <cell r="K106">
            <v>84.57</v>
          </cell>
          <cell r="L106">
            <v>39.43</v>
          </cell>
          <cell r="M106">
            <v>0.01</v>
          </cell>
        </row>
        <row r="107">
          <cell r="A107" t="str">
            <v>NOVA FIXACAO</v>
          </cell>
          <cell r="B107">
            <v>4</v>
          </cell>
          <cell r="C107">
            <v>160</v>
          </cell>
          <cell r="D107">
            <v>1.95</v>
          </cell>
          <cell r="E107">
            <v>0</v>
          </cell>
          <cell r="F107">
            <v>0</v>
          </cell>
          <cell r="G107">
            <v>0</v>
          </cell>
          <cell r="H107">
            <v>160</v>
          </cell>
          <cell r="I107">
            <v>91.64</v>
          </cell>
          <cell r="J107">
            <v>0</v>
          </cell>
          <cell r="K107">
            <v>68.36</v>
          </cell>
          <cell r="L107">
            <v>42.73</v>
          </cell>
          <cell r="M107">
            <v>0.01</v>
          </cell>
        </row>
        <row r="108">
          <cell r="A108" t="str">
            <v>GABRIELLA</v>
          </cell>
          <cell r="B108">
            <v>2</v>
          </cell>
          <cell r="C108">
            <v>158.68</v>
          </cell>
          <cell r="D108">
            <v>19.84</v>
          </cell>
          <cell r="E108">
            <v>0</v>
          </cell>
          <cell r="F108">
            <v>0</v>
          </cell>
          <cell r="G108">
            <v>19.3</v>
          </cell>
          <cell r="H108">
            <v>139.38</v>
          </cell>
          <cell r="I108">
            <v>100.02</v>
          </cell>
          <cell r="J108">
            <v>11.18</v>
          </cell>
          <cell r="K108">
            <v>50.54</v>
          </cell>
          <cell r="L108">
            <v>34.26</v>
          </cell>
          <cell r="M108">
            <v>0.01</v>
          </cell>
        </row>
        <row r="109">
          <cell r="A109" t="str">
            <v>OVERTIME</v>
          </cell>
          <cell r="B109">
            <v>3</v>
          </cell>
          <cell r="C109">
            <v>151.38999999999999</v>
          </cell>
          <cell r="D109">
            <v>21.63</v>
          </cell>
          <cell r="E109">
            <v>0</v>
          </cell>
          <cell r="F109">
            <v>0</v>
          </cell>
          <cell r="G109">
            <v>10.9</v>
          </cell>
          <cell r="H109">
            <v>140.49</v>
          </cell>
          <cell r="I109">
            <v>90.57</v>
          </cell>
          <cell r="J109">
            <v>6.45</v>
          </cell>
          <cell r="K109">
            <v>56.37</v>
          </cell>
          <cell r="L109">
            <v>38.89</v>
          </cell>
          <cell r="M109">
            <v>0.01</v>
          </cell>
        </row>
        <row r="110">
          <cell r="A110" t="str">
            <v>TRAMONTINA ELETRIK S.A.</v>
          </cell>
          <cell r="B110">
            <v>3</v>
          </cell>
          <cell r="C110">
            <v>116.46</v>
          </cell>
          <cell r="D110">
            <v>14.56</v>
          </cell>
          <cell r="E110">
            <v>0</v>
          </cell>
          <cell r="F110">
            <v>0</v>
          </cell>
          <cell r="G110">
            <v>0</v>
          </cell>
          <cell r="H110">
            <v>116.46</v>
          </cell>
          <cell r="I110">
            <v>73.95</v>
          </cell>
          <cell r="J110">
            <v>0</v>
          </cell>
          <cell r="K110">
            <v>42.51</v>
          </cell>
          <cell r="L110">
            <v>36.5</v>
          </cell>
          <cell r="M110">
            <v>0.01</v>
          </cell>
        </row>
        <row r="111">
          <cell r="A111" t="str">
            <v>EMPLAC</v>
          </cell>
          <cell r="B111">
            <v>3</v>
          </cell>
          <cell r="C111">
            <v>111.2</v>
          </cell>
          <cell r="D111">
            <v>6.95</v>
          </cell>
          <cell r="E111">
            <v>0</v>
          </cell>
          <cell r="F111">
            <v>0</v>
          </cell>
          <cell r="G111">
            <v>0</v>
          </cell>
          <cell r="H111">
            <v>111.2</v>
          </cell>
          <cell r="I111">
            <v>51.75</v>
          </cell>
          <cell r="J111">
            <v>0</v>
          </cell>
          <cell r="K111">
            <v>59.45</v>
          </cell>
          <cell r="L111">
            <v>53.46</v>
          </cell>
          <cell r="M111">
            <v>0.01</v>
          </cell>
        </row>
        <row r="112">
          <cell r="A112" t="str">
            <v>SIGMA</v>
          </cell>
          <cell r="B112">
            <v>1</v>
          </cell>
          <cell r="C112">
            <v>105.9</v>
          </cell>
          <cell r="D112">
            <v>105.9</v>
          </cell>
          <cell r="E112">
            <v>0</v>
          </cell>
          <cell r="F112">
            <v>0</v>
          </cell>
          <cell r="G112">
            <v>0</v>
          </cell>
          <cell r="H112">
            <v>105.9</v>
          </cell>
          <cell r="I112">
            <v>69.180000000000007</v>
          </cell>
          <cell r="J112">
            <v>0</v>
          </cell>
          <cell r="K112">
            <v>36.72</v>
          </cell>
          <cell r="L112">
            <v>34.67</v>
          </cell>
          <cell r="M112">
            <v>0.01</v>
          </cell>
        </row>
        <row r="113">
          <cell r="A113" t="str">
            <v>MASCOTE</v>
          </cell>
          <cell r="B113">
            <v>5</v>
          </cell>
          <cell r="C113">
            <v>81.7</v>
          </cell>
          <cell r="D113">
            <v>6.28</v>
          </cell>
          <cell r="E113">
            <v>0</v>
          </cell>
          <cell r="F113">
            <v>0</v>
          </cell>
          <cell r="G113">
            <v>9.8000000000000007</v>
          </cell>
          <cell r="H113">
            <v>71.900000000000006</v>
          </cell>
          <cell r="I113">
            <v>36.83</v>
          </cell>
          <cell r="J113">
            <v>4.0199999999999996</v>
          </cell>
          <cell r="K113">
            <v>39.090000000000003</v>
          </cell>
          <cell r="L113">
            <v>50.32</v>
          </cell>
          <cell r="M113">
            <v>0.01</v>
          </cell>
        </row>
        <row r="114">
          <cell r="A114" t="str">
            <v>ANJO TINTAS E SOLVENTES</v>
          </cell>
          <cell r="B114">
            <v>1</v>
          </cell>
          <cell r="C114">
            <v>71.599999999999994</v>
          </cell>
          <cell r="D114">
            <v>17.899999999999999</v>
          </cell>
          <cell r="E114">
            <v>0</v>
          </cell>
          <cell r="F114">
            <v>0</v>
          </cell>
          <cell r="G114">
            <v>0</v>
          </cell>
          <cell r="H114">
            <v>71.599999999999994</v>
          </cell>
          <cell r="I114">
            <v>44.64</v>
          </cell>
          <cell r="J114">
            <v>0</v>
          </cell>
          <cell r="K114">
            <v>26.96</v>
          </cell>
          <cell r="L114">
            <v>37.65</v>
          </cell>
          <cell r="M114">
            <v>0</v>
          </cell>
        </row>
        <row r="115">
          <cell r="A115" t="str">
            <v>INCA</v>
          </cell>
          <cell r="B115">
            <v>3</v>
          </cell>
          <cell r="C115">
            <v>63.58</v>
          </cell>
          <cell r="D115">
            <v>2.54</v>
          </cell>
          <cell r="E115">
            <v>0</v>
          </cell>
          <cell r="F115">
            <v>0</v>
          </cell>
          <cell r="G115">
            <v>0</v>
          </cell>
          <cell r="H115">
            <v>63.58</v>
          </cell>
          <cell r="I115">
            <v>33.14</v>
          </cell>
          <cell r="J115">
            <v>0</v>
          </cell>
          <cell r="K115">
            <v>30.44</v>
          </cell>
          <cell r="L115">
            <v>47.88</v>
          </cell>
          <cell r="M115">
            <v>0</v>
          </cell>
        </row>
        <row r="116">
          <cell r="A116" t="str">
            <v>INJEPLAST</v>
          </cell>
          <cell r="B116">
            <v>3</v>
          </cell>
          <cell r="C116">
            <v>59.6</v>
          </cell>
          <cell r="D116">
            <v>0.4</v>
          </cell>
          <cell r="E116">
            <v>0</v>
          </cell>
          <cell r="F116">
            <v>0</v>
          </cell>
          <cell r="G116">
            <v>0</v>
          </cell>
          <cell r="H116">
            <v>59.6</v>
          </cell>
          <cell r="I116">
            <v>26.82</v>
          </cell>
          <cell r="J116">
            <v>0</v>
          </cell>
          <cell r="K116">
            <v>32.78</v>
          </cell>
          <cell r="L116">
            <v>55</v>
          </cell>
          <cell r="M116">
            <v>0</v>
          </cell>
        </row>
        <row r="117">
          <cell r="A117" t="str">
            <v>KAPAZI</v>
          </cell>
          <cell r="B117">
            <v>1</v>
          </cell>
          <cell r="C117">
            <v>57.9</v>
          </cell>
          <cell r="D117">
            <v>57.9</v>
          </cell>
          <cell r="E117">
            <v>0</v>
          </cell>
          <cell r="F117">
            <v>0</v>
          </cell>
          <cell r="G117">
            <v>0</v>
          </cell>
          <cell r="H117">
            <v>57.9</v>
          </cell>
          <cell r="I117">
            <v>37.33</v>
          </cell>
          <cell r="J117">
            <v>0</v>
          </cell>
          <cell r="K117">
            <v>20.57</v>
          </cell>
          <cell r="L117">
            <v>35.53</v>
          </cell>
          <cell r="M117">
            <v>0</v>
          </cell>
        </row>
        <row r="118">
          <cell r="A118" t="str">
            <v xml:space="preserve"> RESISWAL</v>
          </cell>
          <cell r="B118">
            <v>1</v>
          </cell>
          <cell r="C118">
            <v>53.9</v>
          </cell>
          <cell r="D118">
            <v>53.9</v>
          </cell>
          <cell r="E118">
            <v>0</v>
          </cell>
          <cell r="F118">
            <v>0</v>
          </cell>
          <cell r="G118">
            <v>0</v>
          </cell>
          <cell r="H118">
            <v>53.9</v>
          </cell>
          <cell r="I118">
            <v>29.82</v>
          </cell>
          <cell r="J118">
            <v>0</v>
          </cell>
          <cell r="K118">
            <v>24.08</v>
          </cell>
          <cell r="L118">
            <v>44.68</v>
          </cell>
          <cell r="M118">
            <v>0</v>
          </cell>
        </row>
        <row r="119">
          <cell r="A119" t="str">
            <v>COMFORT DOOR</v>
          </cell>
          <cell r="B119">
            <v>1</v>
          </cell>
          <cell r="C119">
            <v>51.3</v>
          </cell>
          <cell r="D119">
            <v>51.3</v>
          </cell>
          <cell r="E119">
            <v>0</v>
          </cell>
          <cell r="F119">
            <v>0</v>
          </cell>
          <cell r="G119">
            <v>0</v>
          </cell>
          <cell r="H119">
            <v>51.3</v>
          </cell>
          <cell r="I119">
            <v>28.49</v>
          </cell>
          <cell r="J119">
            <v>0</v>
          </cell>
          <cell r="K119">
            <v>22.81</v>
          </cell>
          <cell r="L119">
            <v>44.46</v>
          </cell>
          <cell r="M119">
            <v>0</v>
          </cell>
        </row>
        <row r="120">
          <cell r="A120" t="str">
            <v>PADOVA</v>
          </cell>
          <cell r="B120">
            <v>3</v>
          </cell>
          <cell r="C120">
            <v>49.7</v>
          </cell>
          <cell r="D120">
            <v>16.57</v>
          </cell>
          <cell r="E120">
            <v>0</v>
          </cell>
          <cell r="F120">
            <v>0</v>
          </cell>
          <cell r="G120">
            <v>0</v>
          </cell>
          <cell r="H120">
            <v>49.7</v>
          </cell>
          <cell r="I120">
            <v>30.66</v>
          </cell>
          <cell r="J120">
            <v>0</v>
          </cell>
          <cell r="K120">
            <v>19.04</v>
          </cell>
          <cell r="L120">
            <v>38.31</v>
          </cell>
          <cell r="M120">
            <v>0</v>
          </cell>
        </row>
        <row r="121">
          <cell r="A121" t="str">
            <v>ONDULINE</v>
          </cell>
          <cell r="B121">
            <v>1</v>
          </cell>
          <cell r="C121">
            <v>26.9</v>
          </cell>
          <cell r="D121">
            <v>26.9</v>
          </cell>
          <cell r="E121">
            <v>0</v>
          </cell>
          <cell r="F121">
            <v>0</v>
          </cell>
          <cell r="G121">
            <v>0</v>
          </cell>
          <cell r="H121">
            <v>26.9</v>
          </cell>
          <cell r="I121">
            <v>17.350000000000001</v>
          </cell>
          <cell r="J121">
            <v>0</v>
          </cell>
          <cell r="K121">
            <v>9.5500000000000007</v>
          </cell>
          <cell r="L121">
            <v>35.5</v>
          </cell>
          <cell r="M121">
            <v>0</v>
          </cell>
        </row>
        <row r="122">
          <cell r="A122" t="str">
            <v>PHILIPS ILUMINACAO LA</v>
          </cell>
          <cell r="B122">
            <v>1</v>
          </cell>
          <cell r="C122">
            <v>7.9</v>
          </cell>
          <cell r="D122">
            <v>7.9</v>
          </cell>
          <cell r="E122">
            <v>0</v>
          </cell>
          <cell r="F122">
            <v>0</v>
          </cell>
          <cell r="G122">
            <v>0</v>
          </cell>
          <cell r="H122">
            <v>7.9</v>
          </cell>
          <cell r="I122">
            <v>4.8899999999999997</v>
          </cell>
          <cell r="J122">
            <v>0</v>
          </cell>
          <cell r="K122">
            <v>3.01</v>
          </cell>
          <cell r="L122">
            <v>38.1</v>
          </cell>
          <cell r="M122">
            <v>0</v>
          </cell>
        </row>
        <row r="123">
          <cell r="A123" t="str">
            <v>BRASILIT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73.900000000000006</v>
          </cell>
          <cell r="H123">
            <v>-73.900000000000006</v>
          </cell>
          <cell r="I123">
            <v>0</v>
          </cell>
          <cell r="J123">
            <v>64.89</v>
          </cell>
          <cell r="K123">
            <v>-9.01</v>
          </cell>
          <cell r="L123">
            <v>0</v>
          </cell>
          <cell r="M123">
            <v>0</v>
          </cell>
        </row>
        <row r="124">
          <cell r="A124" t="str">
            <v>outros</v>
          </cell>
          <cell r="B124">
            <v>0</v>
          </cell>
          <cell r="C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SET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250</v>
          </cell>
          <cell r="C2">
            <v>222027.8921</v>
          </cell>
          <cell r="D2">
            <v>26.73</v>
          </cell>
          <cell r="E2">
            <v>0</v>
          </cell>
          <cell r="F2">
            <v>0</v>
          </cell>
          <cell r="G2">
            <v>5504.8311000000003</v>
          </cell>
          <cell r="H2">
            <v>216523.06099999999</v>
          </cell>
          <cell r="I2">
            <v>140310.23790000001</v>
          </cell>
          <cell r="J2">
            <v>3154.6423</v>
          </cell>
          <cell r="K2">
            <v>79367.465400000001</v>
          </cell>
          <cell r="L2">
            <v>36.26</v>
          </cell>
          <cell r="M2">
            <v>14.84</v>
          </cell>
        </row>
        <row r="3">
          <cell r="A3" t="str">
            <v>POINTER</v>
          </cell>
          <cell r="B3">
            <v>165</v>
          </cell>
          <cell r="C3">
            <v>195323.9399</v>
          </cell>
          <cell r="D3">
            <v>34.81</v>
          </cell>
          <cell r="E3">
            <v>0</v>
          </cell>
          <cell r="F3">
            <v>0</v>
          </cell>
          <cell r="G3">
            <v>5384.1970000000001</v>
          </cell>
          <cell r="H3">
            <v>189939.74290000001</v>
          </cell>
          <cell r="I3">
            <v>125096.7547</v>
          </cell>
          <cell r="J3">
            <v>3295.0356000000002</v>
          </cell>
          <cell r="K3">
            <v>68138.023799999995</v>
          </cell>
          <cell r="L3">
            <v>35.479999999999997</v>
          </cell>
          <cell r="M3">
            <v>13.06</v>
          </cell>
        </row>
        <row r="4">
          <cell r="A4" t="str">
            <v>INCENOR</v>
          </cell>
          <cell r="B4">
            <v>115</v>
          </cell>
          <cell r="C4">
            <v>118078.9356</v>
          </cell>
          <cell r="D4">
            <v>36.53</v>
          </cell>
          <cell r="E4">
            <v>0</v>
          </cell>
          <cell r="F4">
            <v>0</v>
          </cell>
          <cell r="G4">
            <v>3594.9184</v>
          </cell>
          <cell r="H4">
            <v>114484.0172</v>
          </cell>
          <cell r="I4">
            <v>77608.138600000006</v>
          </cell>
          <cell r="J4">
            <v>2219.5855999999999</v>
          </cell>
          <cell r="K4">
            <v>39095.464200000002</v>
          </cell>
          <cell r="L4">
            <v>33.74</v>
          </cell>
          <cell r="M4">
            <v>7.89</v>
          </cell>
        </row>
        <row r="5">
          <cell r="A5" t="str">
            <v>DO MESTRE</v>
          </cell>
          <cell r="B5">
            <v>328</v>
          </cell>
          <cell r="C5">
            <v>107348.75</v>
          </cell>
          <cell r="D5">
            <v>20.38</v>
          </cell>
          <cell r="E5">
            <v>0</v>
          </cell>
          <cell r="F5">
            <v>0</v>
          </cell>
          <cell r="G5">
            <v>2801.49</v>
          </cell>
          <cell r="H5">
            <v>104547.26</v>
          </cell>
          <cell r="I5">
            <v>66376.09</v>
          </cell>
          <cell r="J5">
            <v>1777.74</v>
          </cell>
          <cell r="K5">
            <v>39948.910000000003</v>
          </cell>
          <cell r="L5">
            <v>37.840000000000003</v>
          </cell>
          <cell r="M5">
            <v>7.18</v>
          </cell>
        </row>
        <row r="6">
          <cell r="A6" t="str">
            <v>IQUINE</v>
          </cell>
          <cell r="B6">
            <v>85</v>
          </cell>
          <cell r="C6">
            <v>87516.786399999997</v>
          </cell>
          <cell r="D6">
            <v>17.77</v>
          </cell>
          <cell r="E6">
            <v>0</v>
          </cell>
          <cell r="F6">
            <v>0</v>
          </cell>
          <cell r="G6">
            <v>2821.9823999999999</v>
          </cell>
          <cell r="H6">
            <v>84694.804000000004</v>
          </cell>
          <cell r="I6">
            <v>52546.443599999999</v>
          </cell>
          <cell r="J6">
            <v>1628.8856000000001</v>
          </cell>
          <cell r="K6">
            <v>33777.245999999999</v>
          </cell>
          <cell r="L6">
            <v>39.33</v>
          </cell>
          <cell r="M6">
            <v>5.85</v>
          </cell>
        </row>
        <row r="7">
          <cell r="A7" t="str">
            <v>MEGAÓ</v>
          </cell>
          <cell r="B7">
            <v>77</v>
          </cell>
          <cell r="C7">
            <v>85595.57</v>
          </cell>
          <cell r="D7">
            <v>56.54</v>
          </cell>
          <cell r="E7">
            <v>0</v>
          </cell>
          <cell r="F7">
            <v>0</v>
          </cell>
          <cell r="G7">
            <v>567.19000000000005</v>
          </cell>
          <cell r="H7">
            <v>85028.38</v>
          </cell>
          <cell r="I7">
            <v>52164.66</v>
          </cell>
          <cell r="J7">
            <v>346.48</v>
          </cell>
          <cell r="K7">
            <v>33210.199999999997</v>
          </cell>
          <cell r="L7">
            <v>38.96</v>
          </cell>
          <cell r="M7">
            <v>5.72</v>
          </cell>
        </row>
        <row r="8">
          <cell r="A8" t="str">
            <v>QUALITY</v>
          </cell>
          <cell r="B8">
            <v>60</v>
          </cell>
          <cell r="C8">
            <v>53919.95</v>
          </cell>
          <cell r="D8">
            <v>219.19</v>
          </cell>
          <cell r="E8">
            <v>0</v>
          </cell>
          <cell r="F8">
            <v>0</v>
          </cell>
          <cell r="G8">
            <v>2043.26</v>
          </cell>
          <cell r="H8">
            <v>51876.69</v>
          </cell>
          <cell r="I8">
            <v>33648.230000000003</v>
          </cell>
          <cell r="J8">
            <v>1327.66</v>
          </cell>
          <cell r="K8">
            <v>19556.12</v>
          </cell>
          <cell r="L8">
            <v>37.18</v>
          </cell>
          <cell r="M8">
            <v>3.6</v>
          </cell>
        </row>
        <row r="9">
          <cell r="A9" t="str">
            <v>ROCA</v>
          </cell>
          <cell r="B9">
            <v>76</v>
          </cell>
          <cell r="C9">
            <v>52084.37</v>
          </cell>
          <cell r="D9">
            <v>158.79</v>
          </cell>
          <cell r="E9">
            <v>0</v>
          </cell>
          <cell r="F9">
            <v>0</v>
          </cell>
          <cell r="G9">
            <v>475.54</v>
          </cell>
          <cell r="H9">
            <v>51608.83</v>
          </cell>
          <cell r="I9">
            <v>34966.769999999997</v>
          </cell>
          <cell r="J9">
            <v>277.23</v>
          </cell>
          <cell r="K9">
            <v>16919.29</v>
          </cell>
          <cell r="L9">
            <v>32.659999999999997</v>
          </cell>
          <cell r="M9">
            <v>3.48</v>
          </cell>
        </row>
        <row r="10">
          <cell r="A10" t="str">
            <v>WEBER QUARTZOLIT</v>
          </cell>
          <cell r="B10">
            <v>146</v>
          </cell>
          <cell r="C10">
            <v>46063.56</v>
          </cell>
          <cell r="D10">
            <v>28.65</v>
          </cell>
          <cell r="E10">
            <v>0</v>
          </cell>
          <cell r="F10">
            <v>0</v>
          </cell>
          <cell r="G10">
            <v>657.55</v>
          </cell>
          <cell r="H10">
            <v>45406.01</v>
          </cell>
          <cell r="I10">
            <v>30043.49</v>
          </cell>
          <cell r="J10">
            <v>427.09</v>
          </cell>
          <cell r="K10">
            <v>15789.61</v>
          </cell>
          <cell r="L10">
            <v>34.6</v>
          </cell>
          <cell r="M10">
            <v>3.08</v>
          </cell>
        </row>
        <row r="11">
          <cell r="A11" t="str">
            <v>CERBRAS</v>
          </cell>
          <cell r="B11">
            <v>47</v>
          </cell>
          <cell r="C11">
            <v>39349.195399999997</v>
          </cell>
          <cell r="D11">
            <v>31.95</v>
          </cell>
          <cell r="E11">
            <v>0</v>
          </cell>
          <cell r="F11">
            <v>0</v>
          </cell>
          <cell r="G11">
            <v>320.39</v>
          </cell>
          <cell r="H11">
            <v>39028.805399999997</v>
          </cell>
          <cell r="I11">
            <v>25889.2683</v>
          </cell>
          <cell r="J11">
            <v>254.05799999999999</v>
          </cell>
          <cell r="K11">
            <v>13393.5951</v>
          </cell>
          <cell r="L11">
            <v>34.26</v>
          </cell>
          <cell r="M11">
            <v>2.63</v>
          </cell>
        </row>
        <row r="12">
          <cell r="A12" t="str">
            <v>TECNOGRES</v>
          </cell>
          <cell r="B12">
            <v>30</v>
          </cell>
          <cell r="C12">
            <v>36961.885399999999</v>
          </cell>
          <cell r="D12">
            <v>60.83</v>
          </cell>
          <cell r="E12">
            <v>0</v>
          </cell>
          <cell r="F12">
            <v>0</v>
          </cell>
          <cell r="G12">
            <v>554.0752</v>
          </cell>
          <cell r="H12">
            <v>36407.8102</v>
          </cell>
          <cell r="I12">
            <v>25733.0913</v>
          </cell>
          <cell r="J12">
            <v>341.47359999999998</v>
          </cell>
          <cell r="K12">
            <v>11016.192499999999</v>
          </cell>
          <cell r="L12">
            <v>30.08</v>
          </cell>
          <cell r="M12">
            <v>2.4700000000000002</v>
          </cell>
        </row>
        <row r="13">
          <cell r="A13" t="str">
            <v>FORTLEV</v>
          </cell>
          <cell r="B13">
            <v>62</v>
          </cell>
          <cell r="C13">
            <v>31113.41</v>
          </cell>
          <cell r="D13">
            <v>11.05</v>
          </cell>
          <cell r="E13">
            <v>0</v>
          </cell>
          <cell r="F13">
            <v>0</v>
          </cell>
          <cell r="G13">
            <v>24.5</v>
          </cell>
          <cell r="H13">
            <v>31088.91</v>
          </cell>
          <cell r="I13">
            <v>21060.639999999999</v>
          </cell>
          <cell r="J13">
            <v>13.54</v>
          </cell>
          <cell r="K13">
            <v>10041.81</v>
          </cell>
          <cell r="L13">
            <v>32.29</v>
          </cell>
          <cell r="M13">
            <v>2.08</v>
          </cell>
        </row>
        <row r="14">
          <cell r="A14" t="str">
            <v>ETERNIT</v>
          </cell>
          <cell r="B14">
            <v>24</v>
          </cell>
          <cell r="C14">
            <v>27103.74</v>
          </cell>
          <cell r="D14">
            <v>52.63</v>
          </cell>
          <cell r="E14">
            <v>0</v>
          </cell>
          <cell r="F14">
            <v>0</v>
          </cell>
          <cell r="G14">
            <v>0</v>
          </cell>
          <cell r="H14">
            <v>27103.74</v>
          </cell>
          <cell r="I14">
            <v>20485.16</v>
          </cell>
          <cell r="J14">
            <v>0</v>
          </cell>
          <cell r="K14">
            <v>6618.58</v>
          </cell>
          <cell r="L14">
            <v>24.42</v>
          </cell>
          <cell r="M14">
            <v>1.81</v>
          </cell>
        </row>
        <row r="15">
          <cell r="A15" t="str">
            <v>PORTO RICO</v>
          </cell>
          <cell r="B15">
            <v>45</v>
          </cell>
          <cell r="C15">
            <v>26352.82</v>
          </cell>
          <cell r="D15">
            <v>28.46</v>
          </cell>
          <cell r="E15">
            <v>0</v>
          </cell>
          <cell r="F15">
            <v>0</v>
          </cell>
          <cell r="G15">
            <v>1341.04</v>
          </cell>
          <cell r="H15">
            <v>25011.78</v>
          </cell>
          <cell r="I15">
            <v>15354.66</v>
          </cell>
          <cell r="J15">
            <v>824.94</v>
          </cell>
          <cell r="K15">
            <v>10482.06</v>
          </cell>
          <cell r="L15">
            <v>41.06</v>
          </cell>
          <cell r="M15">
            <v>1.76</v>
          </cell>
        </row>
        <row r="16">
          <cell r="A16" t="str">
            <v>ATLAS</v>
          </cell>
          <cell r="B16">
            <v>73</v>
          </cell>
          <cell r="C16">
            <v>21770.04</v>
          </cell>
          <cell r="D16">
            <v>16.02</v>
          </cell>
          <cell r="E16">
            <v>0</v>
          </cell>
          <cell r="F16">
            <v>0</v>
          </cell>
          <cell r="G16">
            <v>99.3</v>
          </cell>
          <cell r="H16">
            <v>21670.74</v>
          </cell>
          <cell r="I16">
            <v>11975.41</v>
          </cell>
          <cell r="J16">
            <v>52.11</v>
          </cell>
          <cell r="K16">
            <v>9747.44</v>
          </cell>
          <cell r="L16">
            <v>44.88</v>
          </cell>
          <cell r="M16">
            <v>1.46</v>
          </cell>
        </row>
        <row r="17">
          <cell r="A17" t="str">
            <v>COBRECOM</v>
          </cell>
          <cell r="B17">
            <v>18</v>
          </cell>
          <cell r="C17">
            <v>19648.93</v>
          </cell>
          <cell r="D17">
            <v>177.02</v>
          </cell>
          <cell r="E17">
            <v>0</v>
          </cell>
          <cell r="F17">
            <v>0</v>
          </cell>
          <cell r="G17">
            <v>453.76</v>
          </cell>
          <cell r="H17">
            <v>19195.169999999998</v>
          </cell>
          <cell r="I17">
            <v>12228.93</v>
          </cell>
          <cell r="J17">
            <v>299.19</v>
          </cell>
          <cell r="K17">
            <v>7265.43</v>
          </cell>
          <cell r="L17">
            <v>37.549999999999997</v>
          </cell>
          <cell r="M17">
            <v>1.31</v>
          </cell>
        </row>
        <row r="18">
          <cell r="A18" t="str">
            <v>BLACK DECKER</v>
          </cell>
          <cell r="B18">
            <v>24</v>
          </cell>
          <cell r="C18">
            <v>17599.72</v>
          </cell>
          <cell r="D18">
            <v>46.32</v>
          </cell>
          <cell r="E18">
            <v>0</v>
          </cell>
          <cell r="F18">
            <v>0</v>
          </cell>
          <cell r="G18">
            <v>378.8</v>
          </cell>
          <cell r="H18">
            <v>17220.919999999998</v>
          </cell>
          <cell r="I18">
            <v>10754.45</v>
          </cell>
          <cell r="J18">
            <v>228.38</v>
          </cell>
          <cell r="K18">
            <v>6694.85</v>
          </cell>
          <cell r="L18">
            <v>38.54</v>
          </cell>
          <cell r="M18">
            <v>1.18</v>
          </cell>
        </row>
        <row r="19">
          <cell r="A19" t="str">
            <v>LORENZETTI</v>
          </cell>
          <cell r="B19">
            <v>23</v>
          </cell>
          <cell r="C19">
            <v>12962.11</v>
          </cell>
          <cell r="D19">
            <v>79.040000000000006</v>
          </cell>
          <cell r="E19">
            <v>0</v>
          </cell>
          <cell r="F19">
            <v>0</v>
          </cell>
          <cell r="G19">
            <v>378.11</v>
          </cell>
          <cell r="H19">
            <v>12584</v>
          </cell>
          <cell r="I19">
            <v>8244.8799999999992</v>
          </cell>
          <cell r="J19">
            <v>237.56</v>
          </cell>
          <cell r="K19">
            <v>4576.68</v>
          </cell>
          <cell r="L19">
            <v>35.97</v>
          </cell>
          <cell r="M19">
            <v>0.87</v>
          </cell>
        </row>
        <row r="20">
          <cell r="A20" t="str">
            <v>GHEL'PLUS</v>
          </cell>
          <cell r="B20">
            <v>24</v>
          </cell>
          <cell r="C20">
            <v>11581.06</v>
          </cell>
          <cell r="D20">
            <v>112.44</v>
          </cell>
          <cell r="E20">
            <v>0</v>
          </cell>
          <cell r="F20">
            <v>0</v>
          </cell>
          <cell r="G20">
            <v>282.01</v>
          </cell>
          <cell r="H20">
            <v>11299.05</v>
          </cell>
          <cell r="I20">
            <v>7379.36</v>
          </cell>
          <cell r="J20">
            <v>183.17</v>
          </cell>
          <cell r="K20">
            <v>4102.8599999999997</v>
          </cell>
          <cell r="L20">
            <v>36</v>
          </cell>
          <cell r="M20">
            <v>0.77</v>
          </cell>
        </row>
        <row r="21">
          <cell r="A21" t="str">
            <v>AVANT</v>
          </cell>
          <cell r="B21">
            <v>38</v>
          </cell>
          <cell r="C21">
            <v>11519.37</v>
          </cell>
          <cell r="D21">
            <v>16.27</v>
          </cell>
          <cell r="E21">
            <v>0</v>
          </cell>
          <cell r="F21">
            <v>0</v>
          </cell>
          <cell r="G21">
            <v>193.2</v>
          </cell>
          <cell r="H21">
            <v>11326.17</v>
          </cell>
          <cell r="I21">
            <v>6285.32</v>
          </cell>
          <cell r="J21">
            <v>106.62</v>
          </cell>
          <cell r="K21">
            <v>5147.47</v>
          </cell>
          <cell r="L21">
            <v>45.1</v>
          </cell>
          <cell r="M21">
            <v>0.77</v>
          </cell>
        </row>
        <row r="22">
          <cell r="A22" t="str">
            <v>METAIS LEAO</v>
          </cell>
          <cell r="B22">
            <v>33</v>
          </cell>
          <cell r="C22">
            <v>11061.6</v>
          </cell>
          <cell r="D22">
            <v>60.45</v>
          </cell>
          <cell r="E22">
            <v>0</v>
          </cell>
          <cell r="F22">
            <v>0</v>
          </cell>
          <cell r="G22">
            <v>518.20000000000005</v>
          </cell>
          <cell r="H22">
            <v>10543.4</v>
          </cell>
          <cell r="I22">
            <v>6518.54</v>
          </cell>
          <cell r="J22">
            <v>303.3</v>
          </cell>
          <cell r="K22">
            <v>4328.16</v>
          </cell>
          <cell r="L22">
            <v>40.229999999999997</v>
          </cell>
          <cell r="M22">
            <v>0.74</v>
          </cell>
        </row>
        <row r="23">
          <cell r="A23" t="str">
            <v>INTECH MACHINE</v>
          </cell>
          <cell r="B23">
            <v>13</v>
          </cell>
          <cell r="C23">
            <v>10464.06</v>
          </cell>
          <cell r="D23">
            <v>227.48</v>
          </cell>
          <cell r="E23">
            <v>0</v>
          </cell>
          <cell r="F23">
            <v>0</v>
          </cell>
          <cell r="G23">
            <v>169</v>
          </cell>
          <cell r="H23">
            <v>10295.06</v>
          </cell>
          <cell r="I23">
            <v>6597.41</v>
          </cell>
          <cell r="J23">
            <v>111.09</v>
          </cell>
          <cell r="K23">
            <v>3808.74</v>
          </cell>
          <cell r="L23">
            <v>36.79</v>
          </cell>
          <cell r="M23">
            <v>0.7</v>
          </cell>
        </row>
        <row r="24">
          <cell r="A24" t="str">
            <v>ELIZABETH PORC.</v>
          </cell>
          <cell r="B24">
            <v>8</v>
          </cell>
          <cell r="C24">
            <v>10412.414000000001</v>
          </cell>
          <cell r="D24">
            <v>57.12</v>
          </cell>
          <cell r="E24">
            <v>0</v>
          </cell>
          <cell r="F24">
            <v>0</v>
          </cell>
          <cell r="G24">
            <v>1117.152</v>
          </cell>
          <cell r="H24">
            <v>9295.2620000000006</v>
          </cell>
          <cell r="I24">
            <v>6166.7668000000003</v>
          </cell>
          <cell r="J24">
            <v>582.39</v>
          </cell>
          <cell r="K24">
            <v>3710.8852000000002</v>
          </cell>
          <cell r="L24">
            <v>37.75</v>
          </cell>
          <cell r="M24">
            <v>0.7</v>
          </cell>
        </row>
        <row r="25">
          <cell r="A25" t="str">
            <v>MULT MIX IMPORTADORA</v>
          </cell>
          <cell r="B25">
            <v>47</v>
          </cell>
          <cell r="C25">
            <v>10095.299999999999</v>
          </cell>
          <cell r="D25">
            <v>15.2</v>
          </cell>
          <cell r="E25">
            <v>0</v>
          </cell>
          <cell r="F25">
            <v>0</v>
          </cell>
          <cell r="G25">
            <v>8.4</v>
          </cell>
          <cell r="H25">
            <v>10086.9</v>
          </cell>
          <cell r="I25">
            <v>5421.93</v>
          </cell>
          <cell r="J25">
            <v>4.42</v>
          </cell>
          <cell r="K25">
            <v>4669.3900000000003</v>
          </cell>
          <cell r="L25">
            <v>46.27</v>
          </cell>
          <cell r="M25">
            <v>0.67</v>
          </cell>
        </row>
        <row r="26">
          <cell r="A26" t="str">
            <v>MEC-TRONIC</v>
          </cell>
          <cell r="B26">
            <v>39</v>
          </cell>
          <cell r="C26">
            <v>9534.44</v>
          </cell>
          <cell r="D26">
            <v>10.83</v>
          </cell>
          <cell r="E26">
            <v>0</v>
          </cell>
          <cell r="F26">
            <v>0</v>
          </cell>
          <cell r="G26">
            <v>226.83</v>
          </cell>
          <cell r="H26">
            <v>9307.61</v>
          </cell>
          <cell r="I26">
            <v>4674.1000000000004</v>
          </cell>
          <cell r="J26">
            <v>108.46</v>
          </cell>
          <cell r="K26">
            <v>4741.97</v>
          </cell>
          <cell r="L26">
            <v>50.31</v>
          </cell>
          <cell r="M26">
            <v>0.64</v>
          </cell>
        </row>
        <row r="27">
          <cell r="A27" t="str">
            <v>MGM</v>
          </cell>
          <cell r="B27">
            <v>15</v>
          </cell>
          <cell r="C27">
            <v>9379.25</v>
          </cell>
          <cell r="D27">
            <v>407.79</v>
          </cell>
          <cell r="E27">
            <v>0</v>
          </cell>
          <cell r="F27">
            <v>0</v>
          </cell>
          <cell r="G27">
            <v>0</v>
          </cell>
          <cell r="H27">
            <v>9379.25</v>
          </cell>
          <cell r="I27">
            <v>5721.07</v>
          </cell>
          <cell r="J27">
            <v>0</v>
          </cell>
          <cell r="K27">
            <v>3658.18</v>
          </cell>
          <cell r="L27">
            <v>39</v>
          </cell>
          <cell r="M27">
            <v>0.63</v>
          </cell>
        </row>
        <row r="28">
          <cell r="A28" t="str">
            <v>PAMESA</v>
          </cell>
          <cell r="B28">
            <v>17</v>
          </cell>
          <cell r="C28">
            <v>9337.2180000000008</v>
          </cell>
          <cell r="D28">
            <v>30.07</v>
          </cell>
          <cell r="E28">
            <v>0</v>
          </cell>
          <cell r="F28">
            <v>0</v>
          </cell>
          <cell r="G28">
            <v>158.83799999999999</v>
          </cell>
          <cell r="H28">
            <v>9178.3799999999992</v>
          </cell>
          <cell r="I28">
            <v>6364.5792000000001</v>
          </cell>
          <cell r="J28">
            <v>140.69640000000001</v>
          </cell>
          <cell r="K28">
            <v>2954.4971999999998</v>
          </cell>
          <cell r="L28">
            <v>32.130000000000003</v>
          </cell>
          <cell r="M28">
            <v>0.62</v>
          </cell>
        </row>
        <row r="29">
          <cell r="A29" t="str">
            <v>GRANPLAST</v>
          </cell>
          <cell r="B29">
            <v>33</v>
          </cell>
          <cell r="C29">
            <v>9075.7099999999991</v>
          </cell>
          <cell r="D29">
            <v>11.25</v>
          </cell>
          <cell r="E29">
            <v>0</v>
          </cell>
          <cell r="F29">
            <v>0</v>
          </cell>
          <cell r="G29">
            <v>0</v>
          </cell>
          <cell r="H29">
            <v>9075.7099999999991</v>
          </cell>
          <cell r="I29">
            <v>5031.46</v>
          </cell>
          <cell r="J29">
            <v>0</v>
          </cell>
          <cell r="K29">
            <v>4044.25</v>
          </cell>
          <cell r="L29">
            <v>44.56</v>
          </cell>
          <cell r="M29">
            <v>0.61</v>
          </cell>
        </row>
        <row r="30">
          <cell r="A30" t="str">
            <v>KDK PORTAS</v>
          </cell>
          <cell r="B30">
            <v>21</v>
          </cell>
          <cell r="C30">
            <v>8899.7199999999993</v>
          </cell>
          <cell r="D30">
            <v>167.92</v>
          </cell>
          <cell r="E30">
            <v>0</v>
          </cell>
          <cell r="F30">
            <v>0</v>
          </cell>
          <cell r="G30">
            <v>908.5</v>
          </cell>
          <cell r="H30">
            <v>7991.22</v>
          </cell>
          <cell r="I30">
            <v>5243.11</v>
          </cell>
          <cell r="J30">
            <v>493.72</v>
          </cell>
          <cell r="K30">
            <v>3241.83</v>
          </cell>
          <cell r="L30">
            <v>38.57</v>
          </cell>
          <cell r="M30">
            <v>0.59</v>
          </cell>
        </row>
        <row r="31">
          <cell r="A31" t="str">
            <v>Perfilplast Industria e Comerc</v>
          </cell>
          <cell r="B31">
            <v>19</v>
          </cell>
          <cell r="C31">
            <v>7818.17</v>
          </cell>
          <cell r="D31">
            <v>69.069999999999993</v>
          </cell>
          <cell r="E31">
            <v>0</v>
          </cell>
          <cell r="F31">
            <v>0</v>
          </cell>
          <cell r="G31">
            <v>116.9</v>
          </cell>
          <cell r="H31">
            <v>7701.27</v>
          </cell>
          <cell r="I31">
            <v>4996.0140000000001</v>
          </cell>
          <cell r="J31">
            <v>73.83</v>
          </cell>
          <cell r="K31">
            <v>2779.0859999999998</v>
          </cell>
          <cell r="L31">
            <v>35.89</v>
          </cell>
          <cell r="M31">
            <v>0.52</v>
          </cell>
        </row>
        <row r="32">
          <cell r="A32" t="str">
            <v>NITROLUX</v>
          </cell>
          <cell r="B32">
            <v>19</v>
          </cell>
          <cell r="C32">
            <v>7611.38</v>
          </cell>
          <cell r="D32">
            <v>34.76</v>
          </cell>
          <cell r="E32">
            <v>0</v>
          </cell>
          <cell r="F32">
            <v>0</v>
          </cell>
          <cell r="G32">
            <v>242.68</v>
          </cell>
          <cell r="H32">
            <v>7368.7</v>
          </cell>
          <cell r="I32">
            <v>4440.4399999999996</v>
          </cell>
          <cell r="J32">
            <v>181.54</v>
          </cell>
          <cell r="K32">
            <v>3109.8</v>
          </cell>
          <cell r="L32">
            <v>41.86</v>
          </cell>
          <cell r="M32">
            <v>0.51</v>
          </cell>
        </row>
        <row r="33">
          <cell r="A33" t="str">
            <v>ANAUGER</v>
          </cell>
          <cell r="B33">
            <v>11</v>
          </cell>
          <cell r="C33">
            <v>7484.82</v>
          </cell>
          <cell r="D33">
            <v>340.22</v>
          </cell>
          <cell r="E33">
            <v>0</v>
          </cell>
          <cell r="F33">
            <v>0</v>
          </cell>
          <cell r="G33">
            <v>0</v>
          </cell>
          <cell r="H33">
            <v>7484.82</v>
          </cell>
          <cell r="I33">
            <v>5107.79</v>
          </cell>
          <cell r="J33">
            <v>0</v>
          </cell>
          <cell r="K33">
            <v>2377.0300000000002</v>
          </cell>
          <cell r="L33">
            <v>31.76</v>
          </cell>
          <cell r="M33">
            <v>0.5</v>
          </cell>
        </row>
        <row r="34">
          <cell r="A34" t="str">
            <v>VIQUA</v>
          </cell>
          <cell r="B34">
            <v>38</v>
          </cell>
          <cell r="C34">
            <v>7194.34</v>
          </cell>
          <cell r="D34">
            <v>33.619999999999997</v>
          </cell>
          <cell r="E34">
            <v>0</v>
          </cell>
          <cell r="F34">
            <v>0</v>
          </cell>
          <cell r="G34">
            <v>89.7</v>
          </cell>
          <cell r="H34">
            <v>7104.64</v>
          </cell>
          <cell r="I34">
            <v>4528.37</v>
          </cell>
          <cell r="J34">
            <v>56.96</v>
          </cell>
          <cell r="K34">
            <v>2633.23</v>
          </cell>
          <cell r="L34">
            <v>36.89</v>
          </cell>
          <cell r="M34">
            <v>0.48</v>
          </cell>
        </row>
        <row r="35">
          <cell r="A35" t="str">
            <v>REALLE</v>
          </cell>
          <cell r="B35">
            <v>12</v>
          </cell>
          <cell r="C35">
            <v>7074.6372000000001</v>
          </cell>
          <cell r="D35">
            <v>32.43</v>
          </cell>
          <cell r="E35">
            <v>0</v>
          </cell>
          <cell r="F35">
            <v>0</v>
          </cell>
          <cell r="G35">
            <v>0</v>
          </cell>
          <cell r="H35">
            <v>7074.6372000000001</v>
          </cell>
          <cell r="I35">
            <v>4503.4164000000001</v>
          </cell>
          <cell r="J35">
            <v>0</v>
          </cell>
          <cell r="K35">
            <v>2571.2208000000001</v>
          </cell>
          <cell r="L35">
            <v>36.340000000000003</v>
          </cell>
          <cell r="M35">
            <v>0.47</v>
          </cell>
        </row>
        <row r="36">
          <cell r="A36" t="str">
            <v>BLUKIT</v>
          </cell>
          <cell r="B36">
            <v>48</v>
          </cell>
          <cell r="C36">
            <v>7042.59</v>
          </cell>
          <cell r="D36">
            <v>22.64</v>
          </cell>
          <cell r="E36">
            <v>0</v>
          </cell>
          <cell r="F36">
            <v>0</v>
          </cell>
          <cell r="G36">
            <v>112.97</v>
          </cell>
          <cell r="H36">
            <v>6929.62</v>
          </cell>
          <cell r="I36">
            <v>4568.5600000000004</v>
          </cell>
          <cell r="J36">
            <v>69.64</v>
          </cell>
          <cell r="K36">
            <v>2430.6999999999998</v>
          </cell>
          <cell r="L36">
            <v>34.86</v>
          </cell>
          <cell r="M36">
            <v>0.47</v>
          </cell>
        </row>
        <row r="37">
          <cell r="A37" t="str">
            <v>DOCOL METAIS</v>
          </cell>
          <cell r="B37">
            <v>24</v>
          </cell>
          <cell r="C37">
            <v>6649.44</v>
          </cell>
          <cell r="D37">
            <v>83.12</v>
          </cell>
          <cell r="E37">
            <v>0</v>
          </cell>
          <cell r="F37">
            <v>0</v>
          </cell>
          <cell r="G37">
            <v>163.80000000000001</v>
          </cell>
          <cell r="H37">
            <v>6485.64</v>
          </cell>
          <cell r="I37">
            <v>3990.5</v>
          </cell>
          <cell r="J37">
            <v>102.2</v>
          </cell>
          <cell r="K37">
            <v>2597.34</v>
          </cell>
          <cell r="L37">
            <v>39.67</v>
          </cell>
          <cell r="M37">
            <v>0.44</v>
          </cell>
        </row>
        <row r="38">
          <cell r="A38" t="str">
            <v>LEGRAND</v>
          </cell>
          <cell r="B38">
            <v>19</v>
          </cell>
          <cell r="C38">
            <v>5933.93</v>
          </cell>
          <cell r="D38">
            <v>14.62</v>
          </cell>
          <cell r="E38">
            <v>0</v>
          </cell>
          <cell r="F38">
            <v>0</v>
          </cell>
          <cell r="G38">
            <v>85.64</v>
          </cell>
          <cell r="H38">
            <v>5848.29</v>
          </cell>
          <cell r="I38">
            <v>3593.11</v>
          </cell>
          <cell r="J38">
            <v>53.11</v>
          </cell>
          <cell r="K38">
            <v>2308.29</v>
          </cell>
          <cell r="L38">
            <v>39.25</v>
          </cell>
          <cell r="M38">
            <v>0.4</v>
          </cell>
        </row>
        <row r="39">
          <cell r="A39" t="str">
            <v>LEDVANCE</v>
          </cell>
          <cell r="B39">
            <v>23</v>
          </cell>
          <cell r="C39">
            <v>5695.05</v>
          </cell>
          <cell r="D39">
            <v>8.2799999999999994</v>
          </cell>
          <cell r="E39">
            <v>0</v>
          </cell>
          <cell r="F39">
            <v>0</v>
          </cell>
          <cell r="G39">
            <v>30.4</v>
          </cell>
          <cell r="H39">
            <v>5664.65</v>
          </cell>
          <cell r="I39">
            <v>3044.07</v>
          </cell>
          <cell r="J39">
            <v>14.96</v>
          </cell>
          <cell r="K39">
            <v>2635.54</v>
          </cell>
          <cell r="L39">
            <v>46.4</v>
          </cell>
          <cell r="M39">
            <v>0.38</v>
          </cell>
        </row>
        <row r="40">
          <cell r="A40" t="str">
            <v>TOP MIX</v>
          </cell>
          <cell r="B40">
            <v>3</v>
          </cell>
          <cell r="C40">
            <v>5662</v>
          </cell>
          <cell r="D40">
            <v>566.20000000000005</v>
          </cell>
          <cell r="E40">
            <v>0</v>
          </cell>
          <cell r="F40">
            <v>0</v>
          </cell>
          <cell r="G40">
            <v>0</v>
          </cell>
          <cell r="H40">
            <v>5662</v>
          </cell>
          <cell r="I40">
            <v>2694.86</v>
          </cell>
          <cell r="J40">
            <v>0</v>
          </cell>
          <cell r="K40">
            <v>2967.14</v>
          </cell>
          <cell r="L40">
            <v>52.4</v>
          </cell>
          <cell r="M40">
            <v>0.38</v>
          </cell>
        </row>
        <row r="41">
          <cell r="A41" t="str">
            <v>PADO</v>
          </cell>
          <cell r="B41">
            <v>14</v>
          </cell>
          <cell r="C41">
            <v>5374.14</v>
          </cell>
          <cell r="D41">
            <v>41.99</v>
          </cell>
          <cell r="E41">
            <v>0</v>
          </cell>
          <cell r="F41">
            <v>0</v>
          </cell>
          <cell r="G41">
            <v>0</v>
          </cell>
          <cell r="H41">
            <v>5374.14</v>
          </cell>
          <cell r="I41">
            <v>2974.66</v>
          </cell>
          <cell r="J41">
            <v>0</v>
          </cell>
          <cell r="K41">
            <v>2399.48</v>
          </cell>
          <cell r="L41">
            <v>44.65</v>
          </cell>
          <cell r="M41">
            <v>0.36</v>
          </cell>
        </row>
        <row r="42">
          <cell r="A42" t="str">
            <v>KRONA</v>
          </cell>
          <cell r="B42">
            <v>37</v>
          </cell>
          <cell r="C42">
            <v>5152.55</v>
          </cell>
          <cell r="D42">
            <v>4.75</v>
          </cell>
          <cell r="E42">
            <v>0</v>
          </cell>
          <cell r="F42">
            <v>0</v>
          </cell>
          <cell r="G42">
            <v>18.899999999999999</v>
          </cell>
          <cell r="H42">
            <v>5133.6499999999996</v>
          </cell>
          <cell r="I42">
            <v>2906.18</v>
          </cell>
          <cell r="J42">
            <v>11.61</v>
          </cell>
          <cell r="K42">
            <v>2239.08</v>
          </cell>
          <cell r="L42">
            <v>43.55</v>
          </cell>
          <cell r="M42">
            <v>0.34</v>
          </cell>
        </row>
        <row r="43">
          <cell r="A43" t="str">
            <v>SILVANA</v>
          </cell>
          <cell r="B43">
            <v>16</v>
          </cell>
          <cell r="C43">
            <v>4762.3599999999997</v>
          </cell>
          <cell r="D43">
            <v>28.35</v>
          </cell>
          <cell r="E43">
            <v>0</v>
          </cell>
          <cell r="F43">
            <v>0</v>
          </cell>
          <cell r="G43">
            <v>48.9</v>
          </cell>
          <cell r="H43">
            <v>4713.46</v>
          </cell>
          <cell r="I43">
            <v>2704.11</v>
          </cell>
          <cell r="J43">
            <v>25.63</v>
          </cell>
          <cell r="K43">
            <v>2034.98</v>
          </cell>
          <cell r="L43">
            <v>42.96</v>
          </cell>
          <cell r="M43">
            <v>0.32</v>
          </cell>
        </row>
        <row r="44">
          <cell r="A44" t="str">
            <v>PULVITEC</v>
          </cell>
          <cell r="B44">
            <v>32</v>
          </cell>
          <cell r="C44">
            <v>4352.28</v>
          </cell>
          <cell r="D44">
            <v>8.18</v>
          </cell>
          <cell r="E44">
            <v>0</v>
          </cell>
          <cell r="F44">
            <v>0</v>
          </cell>
          <cell r="G44">
            <v>0</v>
          </cell>
          <cell r="H44">
            <v>4352.28</v>
          </cell>
          <cell r="I44">
            <v>2079.4699999999998</v>
          </cell>
          <cell r="J44">
            <v>0</v>
          </cell>
          <cell r="K44">
            <v>2272.81</v>
          </cell>
          <cell r="L44">
            <v>52.22</v>
          </cell>
          <cell r="M44">
            <v>0.28999999999999998</v>
          </cell>
        </row>
        <row r="45">
          <cell r="A45" t="str">
            <v>MYPA</v>
          </cell>
          <cell r="B45">
            <v>30</v>
          </cell>
          <cell r="C45">
            <v>4334.5</v>
          </cell>
          <cell r="D45">
            <v>16.23</v>
          </cell>
          <cell r="E45">
            <v>0</v>
          </cell>
          <cell r="F45">
            <v>0</v>
          </cell>
          <cell r="G45">
            <v>0</v>
          </cell>
          <cell r="H45">
            <v>4334.5</v>
          </cell>
          <cell r="I45">
            <v>2366.16</v>
          </cell>
          <cell r="J45">
            <v>0</v>
          </cell>
          <cell r="K45">
            <v>1968.34</v>
          </cell>
          <cell r="L45">
            <v>45.41</v>
          </cell>
          <cell r="M45">
            <v>0.28999999999999998</v>
          </cell>
        </row>
        <row r="46">
          <cell r="A46" t="str">
            <v>LUCONI</v>
          </cell>
          <cell r="B46">
            <v>43</v>
          </cell>
          <cell r="C46">
            <v>4301.7299999999996</v>
          </cell>
          <cell r="D46">
            <v>11.92</v>
          </cell>
          <cell r="E46">
            <v>0</v>
          </cell>
          <cell r="F46">
            <v>0</v>
          </cell>
          <cell r="G46">
            <v>34.69</v>
          </cell>
          <cell r="H46">
            <v>4267.04</v>
          </cell>
          <cell r="I46">
            <v>2072.64</v>
          </cell>
          <cell r="J46">
            <v>17.03</v>
          </cell>
          <cell r="K46">
            <v>2211.4299999999998</v>
          </cell>
          <cell r="L46">
            <v>51.61</v>
          </cell>
          <cell r="M46">
            <v>0.28999999999999998</v>
          </cell>
        </row>
        <row r="47">
          <cell r="A47" t="str">
            <v>PLASTMAR IND E COM</v>
          </cell>
          <cell r="B47">
            <v>7</v>
          </cell>
          <cell r="C47">
            <v>4130.8999999999996</v>
          </cell>
          <cell r="D47">
            <v>61.66</v>
          </cell>
          <cell r="E47">
            <v>0</v>
          </cell>
          <cell r="F47">
            <v>0</v>
          </cell>
          <cell r="G47">
            <v>69.900000000000006</v>
          </cell>
          <cell r="H47">
            <v>4061</v>
          </cell>
          <cell r="I47">
            <v>2454.25</v>
          </cell>
          <cell r="J47">
            <v>37.49</v>
          </cell>
          <cell r="K47">
            <v>1644.24</v>
          </cell>
          <cell r="L47">
            <v>40.17</v>
          </cell>
          <cell r="M47">
            <v>0.28000000000000003</v>
          </cell>
        </row>
        <row r="48">
          <cell r="A48" t="str">
            <v>ADERE</v>
          </cell>
          <cell r="B48">
            <v>32</v>
          </cell>
          <cell r="C48">
            <v>4116.38</v>
          </cell>
          <cell r="D48">
            <v>10.8</v>
          </cell>
          <cell r="E48">
            <v>0</v>
          </cell>
          <cell r="F48">
            <v>0</v>
          </cell>
          <cell r="G48">
            <v>29.6</v>
          </cell>
          <cell r="H48">
            <v>4086.78</v>
          </cell>
          <cell r="I48">
            <v>2499.21</v>
          </cell>
          <cell r="J48">
            <v>17.87</v>
          </cell>
          <cell r="K48">
            <v>1605.44</v>
          </cell>
          <cell r="L48">
            <v>39.17</v>
          </cell>
          <cell r="M48">
            <v>0.28000000000000003</v>
          </cell>
        </row>
        <row r="49">
          <cell r="A49" t="str">
            <v>BELLA PIA</v>
          </cell>
          <cell r="B49">
            <v>10</v>
          </cell>
          <cell r="C49">
            <v>4092.73</v>
          </cell>
          <cell r="D49">
            <v>215.41</v>
          </cell>
          <cell r="E49">
            <v>0</v>
          </cell>
          <cell r="F49">
            <v>0</v>
          </cell>
          <cell r="G49">
            <v>177.9</v>
          </cell>
          <cell r="H49">
            <v>3914.83</v>
          </cell>
          <cell r="I49">
            <v>2230.44</v>
          </cell>
          <cell r="J49">
            <v>90.66</v>
          </cell>
          <cell r="K49">
            <v>1775.05</v>
          </cell>
          <cell r="L49">
            <v>44.35</v>
          </cell>
          <cell r="M49">
            <v>0.27</v>
          </cell>
        </row>
        <row r="50">
          <cell r="A50" t="str">
            <v>NORTON</v>
          </cell>
          <cell r="B50">
            <v>37</v>
          </cell>
          <cell r="C50">
            <v>3614.77</v>
          </cell>
          <cell r="D50">
            <v>3.02</v>
          </cell>
          <cell r="E50">
            <v>0</v>
          </cell>
          <cell r="F50">
            <v>0</v>
          </cell>
          <cell r="G50">
            <v>13.77</v>
          </cell>
          <cell r="H50">
            <v>3601</v>
          </cell>
          <cell r="I50">
            <v>1799.06</v>
          </cell>
          <cell r="J50">
            <v>6.47</v>
          </cell>
          <cell r="K50">
            <v>1808.41</v>
          </cell>
          <cell r="L50">
            <v>50.12</v>
          </cell>
          <cell r="M50">
            <v>0.24</v>
          </cell>
        </row>
        <row r="51">
          <cell r="A51" t="str">
            <v>BOGNAR</v>
          </cell>
          <cell r="B51">
            <v>14</v>
          </cell>
          <cell r="C51">
            <v>3358.32</v>
          </cell>
          <cell r="D51">
            <v>54.17</v>
          </cell>
          <cell r="E51">
            <v>0</v>
          </cell>
          <cell r="F51">
            <v>0</v>
          </cell>
          <cell r="G51">
            <v>92.8</v>
          </cell>
          <cell r="H51">
            <v>3265.52</v>
          </cell>
          <cell r="I51">
            <v>2388.12</v>
          </cell>
          <cell r="J51">
            <v>59.9</v>
          </cell>
          <cell r="K51">
            <v>937.3</v>
          </cell>
          <cell r="L51">
            <v>28.42</v>
          </cell>
          <cell r="M51">
            <v>0.22</v>
          </cell>
        </row>
        <row r="52">
          <cell r="A52" t="str">
            <v>PRATEFIX</v>
          </cell>
          <cell r="B52">
            <v>8</v>
          </cell>
          <cell r="C52">
            <v>3297.16</v>
          </cell>
          <cell r="D52">
            <v>37.9</v>
          </cell>
          <cell r="E52">
            <v>0</v>
          </cell>
          <cell r="F52">
            <v>0</v>
          </cell>
          <cell r="G52">
            <v>43.6</v>
          </cell>
          <cell r="H52">
            <v>3253.56</v>
          </cell>
          <cell r="I52">
            <v>1721.42</v>
          </cell>
          <cell r="J52">
            <v>20.170000000000002</v>
          </cell>
          <cell r="K52">
            <v>1552.31</v>
          </cell>
          <cell r="L52">
            <v>47.37</v>
          </cell>
          <cell r="M52">
            <v>0.22</v>
          </cell>
        </row>
        <row r="53">
          <cell r="A53" t="str">
            <v>HERC</v>
          </cell>
          <cell r="B53">
            <v>16</v>
          </cell>
          <cell r="C53">
            <v>3166.62</v>
          </cell>
          <cell r="D53">
            <v>27.3</v>
          </cell>
          <cell r="E53">
            <v>0</v>
          </cell>
          <cell r="F53">
            <v>0</v>
          </cell>
          <cell r="G53">
            <v>14.9</v>
          </cell>
          <cell r="H53">
            <v>3151.72</v>
          </cell>
          <cell r="I53">
            <v>1727.79</v>
          </cell>
          <cell r="J53">
            <v>7.49</v>
          </cell>
          <cell r="K53">
            <v>1431.42</v>
          </cell>
          <cell r="L53">
            <v>45.31</v>
          </cell>
          <cell r="M53">
            <v>0.21</v>
          </cell>
        </row>
        <row r="54">
          <cell r="A54" t="str">
            <v>ASTRA</v>
          </cell>
          <cell r="B54">
            <v>17</v>
          </cell>
          <cell r="C54">
            <v>2837.99</v>
          </cell>
          <cell r="D54">
            <v>21.5</v>
          </cell>
          <cell r="E54">
            <v>0</v>
          </cell>
          <cell r="F54">
            <v>0</v>
          </cell>
          <cell r="G54">
            <v>47.5</v>
          </cell>
          <cell r="H54">
            <v>2790.49</v>
          </cell>
          <cell r="I54">
            <v>1593.24</v>
          </cell>
          <cell r="J54">
            <v>29.79</v>
          </cell>
          <cell r="K54">
            <v>1227.04</v>
          </cell>
          <cell r="L54">
            <v>43.69</v>
          </cell>
          <cell r="M54">
            <v>0.19</v>
          </cell>
        </row>
        <row r="55">
          <cell r="A55" t="str">
            <v>BRASFORMA</v>
          </cell>
          <cell r="B55">
            <v>13</v>
          </cell>
          <cell r="C55">
            <v>2835.92</v>
          </cell>
          <cell r="D55">
            <v>48.07</v>
          </cell>
          <cell r="E55">
            <v>0</v>
          </cell>
          <cell r="F55">
            <v>0</v>
          </cell>
          <cell r="G55">
            <v>73.8</v>
          </cell>
          <cell r="H55">
            <v>2762.12</v>
          </cell>
          <cell r="I55">
            <v>1648.24</v>
          </cell>
          <cell r="J55">
            <v>43.1</v>
          </cell>
          <cell r="K55">
            <v>1156.98</v>
          </cell>
          <cell r="L55">
            <v>41.43</v>
          </cell>
          <cell r="M55">
            <v>0.19</v>
          </cell>
        </row>
        <row r="56">
          <cell r="A56" t="str">
            <v>CORTAG</v>
          </cell>
          <cell r="B56">
            <v>18</v>
          </cell>
          <cell r="C56">
            <v>2597.34</v>
          </cell>
          <cell r="D56">
            <v>24.5</v>
          </cell>
          <cell r="E56">
            <v>0</v>
          </cell>
          <cell r="F56">
            <v>0</v>
          </cell>
          <cell r="G56">
            <v>0</v>
          </cell>
          <cell r="H56">
            <v>2597.34</v>
          </cell>
          <cell r="I56">
            <v>1512.95</v>
          </cell>
          <cell r="J56">
            <v>0</v>
          </cell>
          <cell r="K56">
            <v>1084.3900000000001</v>
          </cell>
          <cell r="L56">
            <v>41.75</v>
          </cell>
          <cell r="M56">
            <v>0.17</v>
          </cell>
        </row>
        <row r="57">
          <cell r="A57" t="str">
            <v>Momfort</v>
          </cell>
          <cell r="B57">
            <v>6</v>
          </cell>
          <cell r="C57">
            <v>2402.0500000000002</v>
          </cell>
          <cell r="D57">
            <v>29.65</v>
          </cell>
          <cell r="E57">
            <v>0</v>
          </cell>
          <cell r="F57">
            <v>0</v>
          </cell>
          <cell r="G57">
            <v>44.9</v>
          </cell>
          <cell r="H57">
            <v>2357.15</v>
          </cell>
          <cell r="I57">
            <v>1309.04</v>
          </cell>
          <cell r="J57">
            <v>28.98</v>
          </cell>
          <cell r="K57">
            <v>1077.0899999999999</v>
          </cell>
          <cell r="L57">
            <v>45.39</v>
          </cell>
          <cell r="M57">
            <v>0.16</v>
          </cell>
        </row>
        <row r="58">
          <cell r="A58" t="str">
            <v>MARLUVAS</v>
          </cell>
          <cell r="B58">
            <v>4</v>
          </cell>
          <cell r="C58">
            <v>2330.73</v>
          </cell>
          <cell r="D58">
            <v>89.64</v>
          </cell>
          <cell r="E58">
            <v>0</v>
          </cell>
          <cell r="F58">
            <v>0</v>
          </cell>
          <cell r="G58">
            <v>0</v>
          </cell>
          <cell r="H58">
            <v>2330.73</v>
          </cell>
          <cell r="I58">
            <v>1427.61</v>
          </cell>
          <cell r="J58">
            <v>0</v>
          </cell>
          <cell r="K58">
            <v>903.12</v>
          </cell>
          <cell r="L58">
            <v>38.75</v>
          </cell>
          <cell r="M58">
            <v>0.16</v>
          </cell>
        </row>
        <row r="59">
          <cell r="A59" t="str">
            <v>FRANKLIN</v>
          </cell>
          <cell r="B59">
            <v>3</v>
          </cell>
          <cell r="C59">
            <v>2280.8000000000002</v>
          </cell>
          <cell r="D59">
            <v>570.20000000000005</v>
          </cell>
          <cell r="E59">
            <v>0</v>
          </cell>
          <cell r="F59">
            <v>0</v>
          </cell>
          <cell r="G59">
            <v>0</v>
          </cell>
          <cell r="H59">
            <v>2280.8000000000002</v>
          </cell>
          <cell r="I59">
            <v>1361.91</v>
          </cell>
          <cell r="J59">
            <v>0</v>
          </cell>
          <cell r="K59">
            <v>918.89</v>
          </cell>
          <cell r="L59">
            <v>40.29</v>
          </cell>
          <cell r="M59">
            <v>0.15</v>
          </cell>
        </row>
        <row r="60">
          <cell r="A60" t="str">
            <v>VEDACIT</v>
          </cell>
          <cell r="B60">
            <v>7</v>
          </cell>
          <cell r="C60">
            <v>2012.7</v>
          </cell>
          <cell r="D60">
            <v>43.75</v>
          </cell>
          <cell r="E60">
            <v>0</v>
          </cell>
          <cell r="F60">
            <v>0</v>
          </cell>
          <cell r="G60">
            <v>43.8</v>
          </cell>
          <cell r="H60">
            <v>1968.9</v>
          </cell>
          <cell r="I60">
            <v>1138.51</v>
          </cell>
          <cell r="J60">
            <v>25.38</v>
          </cell>
          <cell r="K60">
            <v>855.77</v>
          </cell>
          <cell r="L60">
            <v>43.06</v>
          </cell>
          <cell r="M60">
            <v>0.13</v>
          </cell>
        </row>
        <row r="61">
          <cell r="A61" t="str">
            <v>VONDER</v>
          </cell>
          <cell r="B61">
            <v>6</v>
          </cell>
          <cell r="C61">
            <v>1986.14</v>
          </cell>
          <cell r="D61">
            <v>25.14</v>
          </cell>
          <cell r="E61">
            <v>0</v>
          </cell>
          <cell r="F61">
            <v>0</v>
          </cell>
          <cell r="G61">
            <v>13.8</v>
          </cell>
          <cell r="H61">
            <v>1972.34</v>
          </cell>
          <cell r="I61">
            <v>1130.43</v>
          </cell>
          <cell r="J61">
            <v>6.54</v>
          </cell>
          <cell r="K61">
            <v>848.45</v>
          </cell>
          <cell r="L61">
            <v>42.86</v>
          </cell>
          <cell r="M61">
            <v>0.13</v>
          </cell>
        </row>
        <row r="62">
          <cell r="A62" t="str">
            <v>BEMFIXA</v>
          </cell>
          <cell r="B62">
            <v>13</v>
          </cell>
          <cell r="C62">
            <v>1965.77</v>
          </cell>
          <cell r="D62">
            <v>11.23</v>
          </cell>
          <cell r="E62">
            <v>0</v>
          </cell>
          <cell r="F62">
            <v>0</v>
          </cell>
          <cell r="G62">
            <v>0</v>
          </cell>
          <cell r="H62">
            <v>1965.77</v>
          </cell>
          <cell r="I62">
            <v>1156.4100000000001</v>
          </cell>
          <cell r="J62">
            <v>0</v>
          </cell>
          <cell r="K62">
            <v>809.36</v>
          </cell>
          <cell r="L62">
            <v>41.17</v>
          </cell>
          <cell r="M62">
            <v>0.13</v>
          </cell>
        </row>
        <row r="63">
          <cell r="A63" t="str">
            <v>ALIANÇA</v>
          </cell>
          <cell r="B63">
            <v>4</v>
          </cell>
          <cell r="C63">
            <v>1944.1</v>
          </cell>
          <cell r="D63">
            <v>62.71</v>
          </cell>
          <cell r="E63">
            <v>0</v>
          </cell>
          <cell r="F63">
            <v>0</v>
          </cell>
          <cell r="G63">
            <v>0</v>
          </cell>
          <cell r="H63">
            <v>1944.1</v>
          </cell>
          <cell r="I63">
            <v>1223.82</v>
          </cell>
          <cell r="J63">
            <v>0</v>
          </cell>
          <cell r="K63">
            <v>720.28</v>
          </cell>
          <cell r="L63">
            <v>37.049999999999997</v>
          </cell>
          <cell r="M63">
            <v>0.13</v>
          </cell>
        </row>
        <row r="64">
          <cell r="A64" t="str">
            <v>METALOSA</v>
          </cell>
          <cell r="B64">
            <v>6</v>
          </cell>
          <cell r="C64">
            <v>1865.75</v>
          </cell>
          <cell r="D64">
            <v>186.58</v>
          </cell>
          <cell r="E64">
            <v>0</v>
          </cell>
          <cell r="F64">
            <v>0</v>
          </cell>
          <cell r="G64">
            <v>0</v>
          </cell>
          <cell r="H64">
            <v>1865.75</v>
          </cell>
          <cell r="I64">
            <v>1069.3399999999999</v>
          </cell>
          <cell r="J64">
            <v>0</v>
          </cell>
          <cell r="K64">
            <v>796.41</v>
          </cell>
          <cell r="L64">
            <v>42.69</v>
          </cell>
          <cell r="M64">
            <v>0.12</v>
          </cell>
        </row>
        <row r="65">
          <cell r="A65" t="str">
            <v>PRATIMIX</v>
          </cell>
          <cell r="B65">
            <v>19</v>
          </cell>
          <cell r="C65">
            <v>1772.44</v>
          </cell>
          <cell r="D65">
            <v>10.68</v>
          </cell>
          <cell r="E65">
            <v>0</v>
          </cell>
          <cell r="F65">
            <v>0</v>
          </cell>
          <cell r="G65">
            <v>5.04</v>
          </cell>
          <cell r="H65">
            <v>1767.4</v>
          </cell>
          <cell r="I65">
            <v>1022.87</v>
          </cell>
          <cell r="J65">
            <v>2.76</v>
          </cell>
          <cell r="K65">
            <v>747.29</v>
          </cell>
          <cell r="L65">
            <v>42.23</v>
          </cell>
          <cell r="M65">
            <v>0.12</v>
          </cell>
        </row>
        <row r="66">
          <cell r="A66" t="str">
            <v>TAF</v>
          </cell>
          <cell r="B66">
            <v>13</v>
          </cell>
          <cell r="C66">
            <v>1599.12</v>
          </cell>
          <cell r="D66">
            <v>16.489999999999998</v>
          </cell>
          <cell r="E66">
            <v>0</v>
          </cell>
          <cell r="F66">
            <v>0</v>
          </cell>
          <cell r="G66">
            <v>8.9</v>
          </cell>
          <cell r="H66">
            <v>1590.22</v>
          </cell>
          <cell r="I66">
            <v>926.21</v>
          </cell>
          <cell r="J66">
            <v>4.95</v>
          </cell>
          <cell r="K66">
            <v>668.96</v>
          </cell>
          <cell r="L66">
            <v>41.96</v>
          </cell>
          <cell r="M66">
            <v>0.11</v>
          </cell>
        </row>
        <row r="67">
          <cell r="A67" t="str">
            <v>DUDA</v>
          </cell>
          <cell r="B67">
            <v>5</v>
          </cell>
          <cell r="C67">
            <v>1507.96</v>
          </cell>
          <cell r="D67">
            <v>29.92</v>
          </cell>
          <cell r="E67">
            <v>0</v>
          </cell>
          <cell r="F67">
            <v>0</v>
          </cell>
          <cell r="G67">
            <v>0</v>
          </cell>
          <cell r="H67">
            <v>1507.96</v>
          </cell>
          <cell r="I67">
            <v>998.14800000000002</v>
          </cell>
          <cell r="J67">
            <v>0</v>
          </cell>
          <cell r="K67">
            <v>509.81200000000001</v>
          </cell>
          <cell r="L67">
            <v>33.81</v>
          </cell>
          <cell r="M67">
            <v>0.1</v>
          </cell>
        </row>
        <row r="68">
          <cell r="A68" t="str">
            <v>NAWA COM ATAC VAR PROD LAR E L</v>
          </cell>
          <cell r="B68">
            <v>3</v>
          </cell>
          <cell r="C68">
            <v>1463.8</v>
          </cell>
          <cell r="D68">
            <v>292.76</v>
          </cell>
          <cell r="E68">
            <v>0</v>
          </cell>
          <cell r="F68">
            <v>0</v>
          </cell>
          <cell r="G68">
            <v>0</v>
          </cell>
          <cell r="H68">
            <v>1463.8</v>
          </cell>
          <cell r="I68">
            <v>853.11</v>
          </cell>
          <cell r="J68">
            <v>0</v>
          </cell>
          <cell r="K68">
            <v>610.69000000000005</v>
          </cell>
          <cell r="L68">
            <v>41.72</v>
          </cell>
          <cell r="M68">
            <v>0.1</v>
          </cell>
        </row>
        <row r="69">
          <cell r="A69" t="str">
            <v>STARRETT INDUSTRIA E COMERCIO</v>
          </cell>
          <cell r="B69">
            <v>7</v>
          </cell>
          <cell r="C69">
            <v>1366.07</v>
          </cell>
          <cell r="D69">
            <v>18.71</v>
          </cell>
          <cell r="E69">
            <v>0</v>
          </cell>
          <cell r="F69">
            <v>0</v>
          </cell>
          <cell r="G69">
            <v>0</v>
          </cell>
          <cell r="H69">
            <v>1366.07</v>
          </cell>
          <cell r="I69">
            <v>785.78</v>
          </cell>
          <cell r="J69">
            <v>0</v>
          </cell>
          <cell r="K69">
            <v>580.29</v>
          </cell>
          <cell r="L69">
            <v>42.48</v>
          </cell>
          <cell r="M69">
            <v>0.09</v>
          </cell>
        </row>
        <row r="70">
          <cell r="A70" t="str">
            <v>ILUMI</v>
          </cell>
          <cell r="B70">
            <v>6</v>
          </cell>
          <cell r="C70">
            <v>1309.1600000000001</v>
          </cell>
          <cell r="D70">
            <v>11.69</v>
          </cell>
          <cell r="E70">
            <v>0</v>
          </cell>
          <cell r="F70">
            <v>0</v>
          </cell>
          <cell r="G70">
            <v>0</v>
          </cell>
          <cell r="H70">
            <v>1309.1600000000001</v>
          </cell>
          <cell r="I70">
            <v>722.81</v>
          </cell>
          <cell r="J70">
            <v>0</v>
          </cell>
          <cell r="K70">
            <v>586.35</v>
          </cell>
          <cell r="L70">
            <v>44.79</v>
          </cell>
          <cell r="M70">
            <v>0.09</v>
          </cell>
        </row>
        <row r="71">
          <cell r="A71" t="str">
            <v>CENSI</v>
          </cell>
          <cell r="B71">
            <v>9</v>
          </cell>
          <cell r="C71">
            <v>1304.05</v>
          </cell>
          <cell r="D71">
            <v>22.1</v>
          </cell>
          <cell r="E71">
            <v>0</v>
          </cell>
          <cell r="F71">
            <v>0</v>
          </cell>
          <cell r="G71">
            <v>12.3</v>
          </cell>
          <cell r="H71">
            <v>1291.75</v>
          </cell>
          <cell r="I71">
            <v>776.21</v>
          </cell>
          <cell r="J71">
            <v>7.57</v>
          </cell>
          <cell r="K71">
            <v>523.11</v>
          </cell>
          <cell r="L71">
            <v>40.35</v>
          </cell>
          <cell r="M71">
            <v>0.09</v>
          </cell>
        </row>
        <row r="72">
          <cell r="A72" t="str">
            <v>BOSCH</v>
          </cell>
          <cell r="B72">
            <v>3</v>
          </cell>
          <cell r="C72">
            <v>1296.27</v>
          </cell>
          <cell r="D72">
            <v>129.63</v>
          </cell>
          <cell r="E72">
            <v>0</v>
          </cell>
          <cell r="F72">
            <v>0</v>
          </cell>
          <cell r="G72">
            <v>0</v>
          </cell>
          <cell r="H72">
            <v>1296.27</v>
          </cell>
          <cell r="I72">
            <v>841.41</v>
          </cell>
          <cell r="J72">
            <v>0</v>
          </cell>
          <cell r="K72">
            <v>454.86</v>
          </cell>
          <cell r="L72">
            <v>35.090000000000003</v>
          </cell>
          <cell r="M72">
            <v>0.09</v>
          </cell>
        </row>
        <row r="73">
          <cell r="A73" t="str">
            <v>FORTLINE</v>
          </cell>
          <cell r="B73">
            <v>5</v>
          </cell>
          <cell r="C73">
            <v>1250.9000000000001</v>
          </cell>
          <cell r="D73">
            <v>113.72</v>
          </cell>
          <cell r="E73">
            <v>0</v>
          </cell>
          <cell r="F73">
            <v>0</v>
          </cell>
          <cell r="G73">
            <v>0</v>
          </cell>
          <cell r="H73">
            <v>1250.9000000000001</v>
          </cell>
          <cell r="I73">
            <v>760.93</v>
          </cell>
          <cell r="J73">
            <v>0</v>
          </cell>
          <cell r="K73">
            <v>489.97</v>
          </cell>
          <cell r="L73">
            <v>39.17</v>
          </cell>
          <cell r="M73">
            <v>0.08</v>
          </cell>
        </row>
        <row r="74">
          <cell r="A74" t="str">
            <v>TRAMONTINA</v>
          </cell>
          <cell r="B74">
            <v>4</v>
          </cell>
          <cell r="C74">
            <v>1223.8900000000001</v>
          </cell>
          <cell r="D74">
            <v>53.21</v>
          </cell>
          <cell r="E74">
            <v>0</v>
          </cell>
          <cell r="F74">
            <v>0</v>
          </cell>
          <cell r="G74">
            <v>0</v>
          </cell>
          <cell r="H74">
            <v>1223.8900000000001</v>
          </cell>
          <cell r="I74">
            <v>728.6</v>
          </cell>
          <cell r="J74">
            <v>0</v>
          </cell>
          <cell r="K74">
            <v>495.29</v>
          </cell>
          <cell r="L74">
            <v>40.47</v>
          </cell>
          <cell r="M74">
            <v>0.08</v>
          </cell>
        </row>
        <row r="75">
          <cell r="A75" t="str">
            <v>BOTAFOGO</v>
          </cell>
          <cell r="B75">
            <v>2</v>
          </cell>
          <cell r="C75">
            <v>1213.5999999999999</v>
          </cell>
          <cell r="D75">
            <v>606.79999999999995</v>
          </cell>
          <cell r="E75">
            <v>0</v>
          </cell>
          <cell r="F75">
            <v>0</v>
          </cell>
          <cell r="G75">
            <v>0</v>
          </cell>
          <cell r="H75">
            <v>1213.5999999999999</v>
          </cell>
          <cell r="I75">
            <v>764.27</v>
          </cell>
          <cell r="J75">
            <v>0</v>
          </cell>
          <cell r="K75">
            <v>449.33</v>
          </cell>
          <cell r="L75">
            <v>37.020000000000003</v>
          </cell>
          <cell r="M75">
            <v>0.08</v>
          </cell>
        </row>
        <row r="76">
          <cell r="A76" t="str">
            <v>PADRAO FORTE</v>
          </cell>
          <cell r="B76">
            <v>4</v>
          </cell>
          <cell r="C76">
            <v>1108.06</v>
          </cell>
          <cell r="D76">
            <v>73.87</v>
          </cell>
          <cell r="E76">
            <v>0</v>
          </cell>
          <cell r="F76">
            <v>0</v>
          </cell>
          <cell r="G76">
            <v>0</v>
          </cell>
          <cell r="H76">
            <v>1108.06</v>
          </cell>
          <cell r="I76">
            <v>658.21</v>
          </cell>
          <cell r="J76">
            <v>0</v>
          </cell>
          <cell r="K76">
            <v>449.85</v>
          </cell>
          <cell r="L76">
            <v>40.6</v>
          </cell>
          <cell r="M76">
            <v>7.0000000000000007E-2</v>
          </cell>
        </row>
        <row r="77">
          <cell r="A77" t="str">
            <v>GARDENLIFE</v>
          </cell>
          <cell r="B77">
            <v>4</v>
          </cell>
          <cell r="C77">
            <v>1097.0899999999999</v>
          </cell>
          <cell r="D77">
            <v>52.24</v>
          </cell>
          <cell r="E77">
            <v>0</v>
          </cell>
          <cell r="F77">
            <v>0</v>
          </cell>
          <cell r="G77">
            <v>0</v>
          </cell>
          <cell r="H77">
            <v>1097.0899999999999</v>
          </cell>
          <cell r="I77">
            <v>712.56</v>
          </cell>
          <cell r="J77">
            <v>0</v>
          </cell>
          <cell r="K77">
            <v>384.53</v>
          </cell>
          <cell r="L77">
            <v>35.049999999999997</v>
          </cell>
          <cell r="M77">
            <v>7.0000000000000007E-2</v>
          </cell>
        </row>
        <row r="78">
          <cell r="A78" t="str">
            <v>EXATRON</v>
          </cell>
          <cell r="B78">
            <v>3</v>
          </cell>
          <cell r="C78">
            <v>1071.3499999999999</v>
          </cell>
          <cell r="D78">
            <v>59.52</v>
          </cell>
          <cell r="E78">
            <v>0</v>
          </cell>
          <cell r="F78">
            <v>0</v>
          </cell>
          <cell r="G78">
            <v>69.900000000000006</v>
          </cell>
          <cell r="H78">
            <v>1001.45</v>
          </cell>
          <cell r="I78">
            <v>625</v>
          </cell>
          <cell r="J78">
            <v>42.19</v>
          </cell>
          <cell r="K78">
            <v>418.64</v>
          </cell>
          <cell r="L78">
            <v>40.68</v>
          </cell>
          <cell r="M78">
            <v>7.0000000000000007E-2</v>
          </cell>
        </row>
        <row r="79">
          <cell r="A79" t="str">
            <v>SECALUX</v>
          </cell>
          <cell r="B79">
            <v>3</v>
          </cell>
          <cell r="C79">
            <v>1031.0999999999999</v>
          </cell>
          <cell r="D79">
            <v>114.57</v>
          </cell>
          <cell r="E79">
            <v>0</v>
          </cell>
          <cell r="F79">
            <v>0</v>
          </cell>
          <cell r="G79">
            <v>82.9</v>
          </cell>
          <cell r="H79">
            <v>948.2</v>
          </cell>
          <cell r="I79">
            <v>657.9</v>
          </cell>
          <cell r="J79">
            <v>51.91</v>
          </cell>
          <cell r="K79">
            <v>342.21</v>
          </cell>
          <cell r="L79">
            <v>34.950000000000003</v>
          </cell>
          <cell r="M79">
            <v>7.0000000000000007E-2</v>
          </cell>
        </row>
        <row r="80">
          <cell r="A80" t="str">
            <v>J LOBATO</v>
          </cell>
          <cell r="B80">
            <v>6</v>
          </cell>
          <cell r="C80">
            <v>1008.61</v>
          </cell>
          <cell r="D80">
            <v>25.22</v>
          </cell>
          <cell r="E80">
            <v>0</v>
          </cell>
          <cell r="F80">
            <v>0</v>
          </cell>
          <cell r="G80">
            <v>0</v>
          </cell>
          <cell r="H80">
            <v>1008.61</v>
          </cell>
          <cell r="I80">
            <v>466.79</v>
          </cell>
          <cell r="J80">
            <v>0</v>
          </cell>
          <cell r="K80">
            <v>541.82000000000005</v>
          </cell>
          <cell r="L80">
            <v>53.72</v>
          </cell>
          <cell r="M80">
            <v>7.0000000000000007E-2</v>
          </cell>
        </row>
        <row r="81">
          <cell r="A81" t="str">
            <v>GERDAU</v>
          </cell>
          <cell r="B81">
            <v>8</v>
          </cell>
          <cell r="C81">
            <v>972.66</v>
          </cell>
          <cell r="D81">
            <v>40.53</v>
          </cell>
          <cell r="E81">
            <v>0</v>
          </cell>
          <cell r="F81">
            <v>0</v>
          </cell>
          <cell r="G81">
            <v>0</v>
          </cell>
          <cell r="H81">
            <v>972.66</v>
          </cell>
          <cell r="I81">
            <v>548.41999999999996</v>
          </cell>
          <cell r="J81">
            <v>0</v>
          </cell>
          <cell r="K81">
            <v>424.24</v>
          </cell>
          <cell r="L81">
            <v>43.62</v>
          </cell>
          <cell r="M81">
            <v>7.0000000000000007E-2</v>
          </cell>
        </row>
        <row r="82">
          <cell r="A82" t="str">
            <v>HIDRACOR</v>
          </cell>
          <cell r="B82">
            <v>8</v>
          </cell>
          <cell r="C82">
            <v>964.08</v>
          </cell>
          <cell r="D82">
            <v>2.9</v>
          </cell>
          <cell r="E82">
            <v>0</v>
          </cell>
          <cell r="F82">
            <v>0</v>
          </cell>
          <cell r="G82">
            <v>14.5</v>
          </cell>
          <cell r="H82">
            <v>949.58</v>
          </cell>
          <cell r="I82">
            <v>474.25</v>
          </cell>
          <cell r="J82">
            <v>7.15</v>
          </cell>
          <cell r="K82">
            <v>482.48</v>
          </cell>
          <cell r="L82">
            <v>50.42</v>
          </cell>
          <cell r="M82">
            <v>0.06</v>
          </cell>
        </row>
        <row r="83">
          <cell r="A83" t="str">
            <v>KALIPSO</v>
          </cell>
          <cell r="B83">
            <v>6</v>
          </cell>
          <cell r="C83">
            <v>944.15</v>
          </cell>
          <cell r="D83">
            <v>8.2799999999999994</v>
          </cell>
          <cell r="E83">
            <v>0</v>
          </cell>
          <cell r="F83">
            <v>0</v>
          </cell>
          <cell r="G83">
            <v>0</v>
          </cell>
          <cell r="H83">
            <v>944.15</v>
          </cell>
          <cell r="I83">
            <v>447.58</v>
          </cell>
          <cell r="J83">
            <v>0</v>
          </cell>
          <cell r="K83">
            <v>496.57</v>
          </cell>
          <cell r="L83">
            <v>52.59</v>
          </cell>
          <cell r="M83">
            <v>0.06</v>
          </cell>
        </row>
        <row r="84">
          <cell r="A84" t="str">
            <v>TRAMONTINA NORDESTE</v>
          </cell>
          <cell r="B84">
            <v>5</v>
          </cell>
          <cell r="C84">
            <v>896.26</v>
          </cell>
          <cell r="D84">
            <v>44.81</v>
          </cell>
          <cell r="E84">
            <v>0</v>
          </cell>
          <cell r="F84">
            <v>0</v>
          </cell>
          <cell r="G84">
            <v>0</v>
          </cell>
          <cell r="H84">
            <v>896.26</v>
          </cell>
          <cell r="I84">
            <v>587.71</v>
          </cell>
          <cell r="J84">
            <v>0</v>
          </cell>
          <cell r="K84">
            <v>308.55</v>
          </cell>
          <cell r="L84">
            <v>34.43</v>
          </cell>
          <cell r="M84">
            <v>0.06</v>
          </cell>
        </row>
        <row r="85">
          <cell r="A85" t="str">
            <v>METALURGICA MOR S/A</v>
          </cell>
          <cell r="B85">
            <v>5</v>
          </cell>
          <cell r="C85">
            <v>876.4</v>
          </cell>
          <cell r="D85">
            <v>73.03</v>
          </cell>
          <cell r="E85">
            <v>0</v>
          </cell>
          <cell r="F85">
            <v>0</v>
          </cell>
          <cell r="G85">
            <v>0</v>
          </cell>
          <cell r="H85">
            <v>876.4</v>
          </cell>
          <cell r="I85">
            <v>517.54999999999995</v>
          </cell>
          <cell r="J85">
            <v>0</v>
          </cell>
          <cell r="K85">
            <v>358.85</v>
          </cell>
          <cell r="L85">
            <v>40.950000000000003</v>
          </cell>
          <cell r="M85">
            <v>0.06</v>
          </cell>
        </row>
        <row r="86">
          <cell r="A86" t="str">
            <v>COZIMAX</v>
          </cell>
          <cell r="B86">
            <v>4</v>
          </cell>
          <cell r="C86">
            <v>867.4</v>
          </cell>
          <cell r="D86">
            <v>144.57</v>
          </cell>
          <cell r="E86">
            <v>0</v>
          </cell>
          <cell r="F86">
            <v>0</v>
          </cell>
          <cell r="G86">
            <v>149.9</v>
          </cell>
          <cell r="H86">
            <v>717.5</v>
          </cell>
          <cell r="I86">
            <v>520.29999999999995</v>
          </cell>
          <cell r="J86">
            <v>87.21</v>
          </cell>
          <cell r="K86">
            <v>284.41000000000003</v>
          </cell>
          <cell r="L86">
            <v>36.450000000000003</v>
          </cell>
          <cell r="M86">
            <v>0.06</v>
          </cell>
        </row>
        <row r="87">
          <cell r="A87" t="str">
            <v>Max-Giro</v>
          </cell>
          <cell r="B87">
            <v>9</v>
          </cell>
          <cell r="C87">
            <v>837.49</v>
          </cell>
          <cell r="D87">
            <v>12.69</v>
          </cell>
          <cell r="E87">
            <v>0</v>
          </cell>
          <cell r="F87">
            <v>0</v>
          </cell>
          <cell r="G87">
            <v>0</v>
          </cell>
          <cell r="H87">
            <v>837.49</v>
          </cell>
          <cell r="I87">
            <v>478.24</v>
          </cell>
          <cell r="J87">
            <v>0</v>
          </cell>
          <cell r="K87">
            <v>359.25</v>
          </cell>
          <cell r="L87">
            <v>42.9</v>
          </cell>
          <cell r="M87">
            <v>0.06</v>
          </cell>
        </row>
        <row r="88">
          <cell r="A88" t="str">
            <v>ULTRA CLEAN</v>
          </cell>
          <cell r="B88">
            <v>4</v>
          </cell>
          <cell r="C88">
            <v>772.8</v>
          </cell>
          <cell r="D88">
            <v>22.73</v>
          </cell>
          <cell r="E88">
            <v>0</v>
          </cell>
          <cell r="F88">
            <v>0</v>
          </cell>
          <cell r="G88">
            <v>0</v>
          </cell>
          <cell r="H88">
            <v>772.8</v>
          </cell>
          <cell r="I88">
            <v>481.76</v>
          </cell>
          <cell r="J88">
            <v>0</v>
          </cell>
          <cell r="K88">
            <v>291.04000000000002</v>
          </cell>
          <cell r="L88">
            <v>37.659999999999997</v>
          </cell>
          <cell r="M88">
            <v>0.05</v>
          </cell>
        </row>
        <row r="89">
          <cell r="A89" t="str">
            <v>PRECON</v>
          </cell>
          <cell r="B89">
            <v>2</v>
          </cell>
          <cell r="C89">
            <v>745</v>
          </cell>
          <cell r="D89">
            <v>149</v>
          </cell>
          <cell r="E89">
            <v>0</v>
          </cell>
          <cell r="F89">
            <v>0</v>
          </cell>
          <cell r="G89">
            <v>0</v>
          </cell>
          <cell r="H89">
            <v>745</v>
          </cell>
          <cell r="I89">
            <v>483.14</v>
          </cell>
          <cell r="J89">
            <v>0</v>
          </cell>
          <cell r="K89">
            <v>261.86</v>
          </cell>
          <cell r="L89">
            <v>35.15</v>
          </cell>
          <cell r="M89">
            <v>0.05</v>
          </cell>
        </row>
        <row r="90">
          <cell r="A90" t="str">
            <v>STAM</v>
          </cell>
          <cell r="B90">
            <v>4</v>
          </cell>
          <cell r="C90">
            <v>697.2</v>
          </cell>
          <cell r="D90">
            <v>87.15</v>
          </cell>
          <cell r="E90">
            <v>0</v>
          </cell>
          <cell r="F90">
            <v>0</v>
          </cell>
          <cell r="G90">
            <v>0</v>
          </cell>
          <cell r="H90">
            <v>697.2</v>
          </cell>
          <cell r="I90">
            <v>390.85</v>
          </cell>
          <cell r="J90">
            <v>0</v>
          </cell>
          <cell r="K90">
            <v>306.35000000000002</v>
          </cell>
          <cell r="L90">
            <v>43.94</v>
          </cell>
          <cell r="M90">
            <v>0.05</v>
          </cell>
        </row>
        <row r="91">
          <cell r="A91" t="str">
            <v>PINTSILK</v>
          </cell>
          <cell r="B91">
            <v>4</v>
          </cell>
          <cell r="C91">
            <v>620.70000000000005</v>
          </cell>
          <cell r="D91">
            <v>103.45</v>
          </cell>
          <cell r="E91">
            <v>0</v>
          </cell>
          <cell r="F91">
            <v>0</v>
          </cell>
          <cell r="G91">
            <v>0</v>
          </cell>
          <cell r="H91">
            <v>620.70000000000005</v>
          </cell>
          <cell r="I91">
            <v>341.21</v>
          </cell>
          <cell r="J91">
            <v>0</v>
          </cell>
          <cell r="K91">
            <v>279.49</v>
          </cell>
          <cell r="L91">
            <v>45.03</v>
          </cell>
          <cell r="M91">
            <v>0.04</v>
          </cell>
        </row>
        <row r="92">
          <cell r="A92" t="str">
            <v>ARAFORROS</v>
          </cell>
          <cell r="B92">
            <v>3</v>
          </cell>
          <cell r="C92">
            <v>593.1</v>
          </cell>
          <cell r="D92">
            <v>197.7</v>
          </cell>
          <cell r="E92">
            <v>0</v>
          </cell>
          <cell r="F92">
            <v>0</v>
          </cell>
          <cell r="G92">
            <v>213.3</v>
          </cell>
          <cell r="H92">
            <v>379.8</v>
          </cell>
          <cell r="I92">
            <v>362.94</v>
          </cell>
          <cell r="J92">
            <v>125.91</v>
          </cell>
          <cell r="K92">
            <v>142.77000000000001</v>
          </cell>
          <cell r="L92">
            <v>30.56</v>
          </cell>
          <cell r="M92">
            <v>0.04</v>
          </cell>
        </row>
        <row r="93">
          <cell r="A93" t="str">
            <v>BRASFORT</v>
          </cell>
          <cell r="B93">
            <v>5</v>
          </cell>
          <cell r="C93">
            <v>592.85</v>
          </cell>
          <cell r="D93">
            <v>16.02</v>
          </cell>
          <cell r="E93">
            <v>0</v>
          </cell>
          <cell r="F93">
            <v>0</v>
          </cell>
          <cell r="G93">
            <v>0</v>
          </cell>
          <cell r="H93">
            <v>592.85</v>
          </cell>
          <cell r="I93">
            <v>348.2</v>
          </cell>
          <cell r="J93">
            <v>0</v>
          </cell>
          <cell r="K93">
            <v>244.65</v>
          </cell>
          <cell r="L93">
            <v>41.27</v>
          </cell>
          <cell r="M93">
            <v>0.04</v>
          </cell>
        </row>
        <row r="94">
          <cell r="A94" t="str">
            <v>ARCELORMITTAL</v>
          </cell>
          <cell r="B94">
            <v>4</v>
          </cell>
          <cell r="C94">
            <v>457.49</v>
          </cell>
          <cell r="D94">
            <v>26.91</v>
          </cell>
          <cell r="E94">
            <v>0</v>
          </cell>
          <cell r="F94">
            <v>0</v>
          </cell>
          <cell r="G94">
            <v>49.8</v>
          </cell>
          <cell r="H94">
            <v>407.69</v>
          </cell>
          <cell r="I94">
            <v>257.19</v>
          </cell>
          <cell r="J94">
            <v>27.98</v>
          </cell>
          <cell r="K94">
            <v>178.48</v>
          </cell>
          <cell r="L94">
            <v>41.55</v>
          </cell>
          <cell r="M94">
            <v>0.03</v>
          </cell>
        </row>
        <row r="95">
          <cell r="A95" t="str">
            <v>TRAMONTINA ELETRIK S.A.</v>
          </cell>
          <cell r="B95">
            <v>3</v>
          </cell>
          <cell r="C95">
            <v>456.87</v>
          </cell>
          <cell r="D95">
            <v>16.920000000000002</v>
          </cell>
          <cell r="E95">
            <v>0</v>
          </cell>
          <cell r="F95">
            <v>0</v>
          </cell>
          <cell r="G95">
            <v>0</v>
          </cell>
          <cell r="H95">
            <v>456.87</v>
          </cell>
          <cell r="I95">
            <v>288.95</v>
          </cell>
          <cell r="J95">
            <v>0</v>
          </cell>
          <cell r="K95">
            <v>167.92</v>
          </cell>
          <cell r="L95">
            <v>36.75</v>
          </cell>
          <cell r="M95">
            <v>0.03</v>
          </cell>
        </row>
        <row r="96">
          <cell r="A96" t="str">
            <v>LEDAN</v>
          </cell>
          <cell r="B96">
            <v>5</v>
          </cell>
          <cell r="C96">
            <v>411.01</v>
          </cell>
          <cell r="D96">
            <v>5.79</v>
          </cell>
          <cell r="E96">
            <v>0</v>
          </cell>
          <cell r="F96">
            <v>0</v>
          </cell>
          <cell r="G96">
            <v>0</v>
          </cell>
          <cell r="H96">
            <v>411.01</v>
          </cell>
          <cell r="I96">
            <v>259.04000000000002</v>
          </cell>
          <cell r="J96">
            <v>0</v>
          </cell>
          <cell r="K96">
            <v>151.97</v>
          </cell>
          <cell r="L96">
            <v>36.97</v>
          </cell>
          <cell r="M96">
            <v>0.03</v>
          </cell>
        </row>
        <row r="97">
          <cell r="A97" t="str">
            <v>ULTRACLEAN</v>
          </cell>
          <cell r="B97">
            <v>5</v>
          </cell>
          <cell r="C97">
            <v>409.9</v>
          </cell>
          <cell r="D97">
            <v>19.52</v>
          </cell>
          <cell r="E97">
            <v>0</v>
          </cell>
          <cell r="F97">
            <v>0</v>
          </cell>
          <cell r="G97">
            <v>0</v>
          </cell>
          <cell r="H97">
            <v>409.9</v>
          </cell>
          <cell r="I97">
            <v>247.65</v>
          </cell>
          <cell r="J97">
            <v>0</v>
          </cell>
          <cell r="K97">
            <v>162.25</v>
          </cell>
          <cell r="L97">
            <v>39.58</v>
          </cell>
          <cell r="M97">
            <v>0.03</v>
          </cell>
        </row>
        <row r="98">
          <cell r="A98" t="str">
            <v>INCESA</v>
          </cell>
          <cell r="B98">
            <v>2</v>
          </cell>
          <cell r="C98">
            <v>392.875</v>
          </cell>
          <cell r="D98">
            <v>31.43</v>
          </cell>
          <cell r="E98">
            <v>0</v>
          </cell>
          <cell r="F98">
            <v>0</v>
          </cell>
          <cell r="G98">
            <v>0</v>
          </cell>
          <cell r="H98">
            <v>392.875</v>
          </cell>
          <cell r="I98">
            <v>311.07499999999999</v>
          </cell>
          <cell r="J98">
            <v>0</v>
          </cell>
          <cell r="K98">
            <v>81.8</v>
          </cell>
          <cell r="L98">
            <v>20.82</v>
          </cell>
          <cell r="M98">
            <v>0.03</v>
          </cell>
        </row>
        <row r="99">
          <cell r="A99" t="str">
            <v>BRASILIT</v>
          </cell>
          <cell r="B99">
            <v>2</v>
          </cell>
          <cell r="C99">
            <v>372.66</v>
          </cell>
          <cell r="D99">
            <v>74.53</v>
          </cell>
          <cell r="E99">
            <v>0</v>
          </cell>
          <cell r="F99">
            <v>0</v>
          </cell>
          <cell r="G99">
            <v>0</v>
          </cell>
          <cell r="H99">
            <v>372.66</v>
          </cell>
          <cell r="I99">
            <v>239.69</v>
          </cell>
          <cell r="J99">
            <v>0</v>
          </cell>
          <cell r="K99">
            <v>132.97</v>
          </cell>
          <cell r="L99">
            <v>35.68</v>
          </cell>
          <cell r="M99">
            <v>0.02</v>
          </cell>
        </row>
        <row r="100">
          <cell r="A100" t="str">
            <v>CHEMONE</v>
          </cell>
          <cell r="B100">
            <v>5</v>
          </cell>
          <cell r="C100">
            <v>346.93</v>
          </cell>
          <cell r="D100">
            <v>19.27</v>
          </cell>
          <cell r="E100">
            <v>0</v>
          </cell>
          <cell r="F100">
            <v>0</v>
          </cell>
          <cell r="G100">
            <v>0</v>
          </cell>
          <cell r="H100">
            <v>346.93</v>
          </cell>
          <cell r="I100">
            <v>202.29</v>
          </cell>
          <cell r="J100">
            <v>0</v>
          </cell>
          <cell r="K100">
            <v>144.63999999999999</v>
          </cell>
          <cell r="L100">
            <v>41.69</v>
          </cell>
          <cell r="M100">
            <v>0.02</v>
          </cell>
        </row>
        <row r="101">
          <cell r="A101" t="str">
            <v>EPLAST</v>
          </cell>
          <cell r="B101">
            <v>1</v>
          </cell>
          <cell r="C101">
            <v>341.9</v>
          </cell>
          <cell r="D101">
            <v>37.99</v>
          </cell>
          <cell r="E101">
            <v>0</v>
          </cell>
          <cell r="F101">
            <v>0</v>
          </cell>
          <cell r="G101">
            <v>0</v>
          </cell>
          <cell r="H101">
            <v>341.9</v>
          </cell>
          <cell r="I101">
            <v>224.54</v>
          </cell>
          <cell r="J101">
            <v>0</v>
          </cell>
          <cell r="K101">
            <v>117.36</v>
          </cell>
          <cell r="L101">
            <v>34.33</v>
          </cell>
          <cell r="M101">
            <v>0.02</v>
          </cell>
        </row>
        <row r="102">
          <cell r="A102" t="str">
            <v>ORBI QUIMICA LTDA</v>
          </cell>
          <cell r="B102">
            <v>4</v>
          </cell>
          <cell r="C102">
            <v>309.92</v>
          </cell>
          <cell r="D102">
            <v>11.07</v>
          </cell>
          <cell r="E102">
            <v>0</v>
          </cell>
          <cell r="F102">
            <v>0</v>
          </cell>
          <cell r="G102">
            <v>0</v>
          </cell>
          <cell r="H102">
            <v>309.92</v>
          </cell>
          <cell r="I102">
            <v>176.74</v>
          </cell>
          <cell r="J102">
            <v>0</v>
          </cell>
          <cell r="K102">
            <v>133.18</v>
          </cell>
          <cell r="L102">
            <v>42.97</v>
          </cell>
          <cell r="M102">
            <v>0.02</v>
          </cell>
        </row>
        <row r="103">
          <cell r="A103" t="str">
            <v>EXTRALUZ</v>
          </cell>
          <cell r="B103">
            <v>4</v>
          </cell>
          <cell r="C103">
            <v>305.5</v>
          </cell>
          <cell r="D103">
            <v>20.37</v>
          </cell>
          <cell r="E103">
            <v>0</v>
          </cell>
          <cell r="F103">
            <v>0</v>
          </cell>
          <cell r="G103">
            <v>0</v>
          </cell>
          <cell r="H103">
            <v>305.5</v>
          </cell>
          <cell r="I103">
            <v>182.31</v>
          </cell>
          <cell r="J103">
            <v>0</v>
          </cell>
          <cell r="K103">
            <v>123.19</v>
          </cell>
          <cell r="L103">
            <v>40.32</v>
          </cell>
          <cell r="M103">
            <v>0.02</v>
          </cell>
        </row>
        <row r="104">
          <cell r="A104" t="str">
            <v>OVERTIME</v>
          </cell>
          <cell r="B104">
            <v>3</v>
          </cell>
          <cell r="C104">
            <v>265.17</v>
          </cell>
          <cell r="D104">
            <v>44.2</v>
          </cell>
          <cell r="E104">
            <v>0</v>
          </cell>
          <cell r="F104">
            <v>0</v>
          </cell>
          <cell r="G104">
            <v>0</v>
          </cell>
          <cell r="H104">
            <v>265.17</v>
          </cell>
          <cell r="I104">
            <v>160.75</v>
          </cell>
          <cell r="J104">
            <v>0</v>
          </cell>
          <cell r="K104">
            <v>104.42</v>
          </cell>
          <cell r="L104">
            <v>39.380000000000003</v>
          </cell>
          <cell r="M104">
            <v>0.02</v>
          </cell>
        </row>
        <row r="105">
          <cell r="A105" t="str">
            <v>RANCAN</v>
          </cell>
          <cell r="B105">
            <v>2</v>
          </cell>
          <cell r="C105">
            <v>239.6</v>
          </cell>
          <cell r="D105">
            <v>59.9</v>
          </cell>
          <cell r="E105">
            <v>0</v>
          </cell>
          <cell r="F105">
            <v>0</v>
          </cell>
          <cell r="G105">
            <v>0</v>
          </cell>
          <cell r="H105">
            <v>239.6</v>
          </cell>
          <cell r="I105">
            <v>130.26</v>
          </cell>
          <cell r="J105">
            <v>0</v>
          </cell>
          <cell r="K105">
            <v>109.34</v>
          </cell>
          <cell r="L105">
            <v>45.63</v>
          </cell>
          <cell r="M105">
            <v>0.02</v>
          </cell>
        </row>
        <row r="106">
          <cell r="A106" t="str">
            <v>RHPE</v>
          </cell>
          <cell r="B106">
            <v>1</v>
          </cell>
          <cell r="C106">
            <v>171.8</v>
          </cell>
          <cell r="D106">
            <v>85.9</v>
          </cell>
          <cell r="E106">
            <v>0</v>
          </cell>
          <cell r="F106">
            <v>0</v>
          </cell>
          <cell r="G106">
            <v>0</v>
          </cell>
          <cell r="H106">
            <v>171.8</v>
          </cell>
          <cell r="I106">
            <v>106.68</v>
          </cell>
          <cell r="J106">
            <v>0</v>
          </cell>
          <cell r="K106">
            <v>65.12</v>
          </cell>
          <cell r="L106">
            <v>37.9</v>
          </cell>
          <cell r="M106">
            <v>0.01</v>
          </cell>
        </row>
        <row r="107">
          <cell r="A107" t="str">
            <v>EXTRALUX</v>
          </cell>
          <cell r="B107">
            <v>2</v>
          </cell>
          <cell r="C107">
            <v>158.5</v>
          </cell>
          <cell r="D107">
            <v>22.64</v>
          </cell>
          <cell r="E107">
            <v>0</v>
          </cell>
          <cell r="F107">
            <v>0</v>
          </cell>
          <cell r="G107">
            <v>0</v>
          </cell>
          <cell r="H107">
            <v>158.5</v>
          </cell>
          <cell r="I107">
            <v>94.44</v>
          </cell>
          <cell r="J107">
            <v>0</v>
          </cell>
          <cell r="K107">
            <v>64.06</v>
          </cell>
          <cell r="L107">
            <v>40.42</v>
          </cell>
          <cell r="M107">
            <v>0.01</v>
          </cell>
        </row>
        <row r="108">
          <cell r="A108" t="str">
            <v>ATTENA</v>
          </cell>
          <cell r="B108">
            <v>3</v>
          </cell>
          <cell r="C108">
            <v>146.22999999999999</v>
          </cell>
          <cell r="D108">
            <v>48.74</v>
          </cell>
          <cell r="E108">
            <v>0</v>
          </cell>
          <cell r="F108">
            <v>0</v>
          </cell>
          <cell r="G108">
            <v>0</v>
          </cell>
          <cell r="H108">
            <v>146.22999999999999</v>
          </cell>
          <cell r="I108">
            <v>131.72</v>
          </cell>
          <cell r="J108">
            <v>0</v>
          </cell>
          <cell r="K108">
            <v>14.51</v>
          </cell>
          <cell r="L108">
            <v>9.92</v>
          </cell>
          <cell r="M108">
            <v>0.01</v>
          </cell>
        </row>
        <row r="109">
          <cell r="A109" t="str">
            <v>NOVA FIXACAO</v>
          </cell>
          <cell r="B109">
            <v>3</v>
          </cell>
          <cell r="C109">
            <v>142.5</v>
          </cell>
          <cell r="D109">
            <v>2.04</v>
          </cell>
          <cell r="E109">
            <v>0</v>
          </cell>
          <cell r="F109">
            <v>0</v>
          </cell>
          <cell r="G109">
            <v>0</v>
          </cell>
          <cell r="H109">
            <v>142.5</v>
          </cell>
          <cell r="I109">
            <v>84.6</v>
          </cell>
          <cell r="J109">
            <v>0</v>
          </cell>
          <cell r="K109">
            <v>57.9</v>
          </cell>
          <cell r="L109">
            <v>40.630000000000003</v>
          </cell>
          <cell r="M109">
            <v>0.01</v>
          </cell>
        </row>
        <row r="110">
          <cell r="A110" t="str">
            <v>CRIVAL</v>
          </cell>
          <cell r="B110">
            <v>1</v>
          </cell>
          <cell r="C110">
            <v>137.80000000000001</v>
          </cell>
          <cell r="D110">
            <v>68.900000000000006</v>
          </cell>
          <cell r="E110">
            <v>0</v>
          </cell>
          <cell r="F110">
            <v>0</v>
          </cell>
          <cell r="G110">
            <v>0</v>
          </cell>
          <cell r="H110">
            <v>137.80000000000001</v>
          </cell>
          <cell r="I110">
            <v>81.02</v>
          </cell>
          <cell r="J110">
            <v>0</v>
          </cell>
          <cell r="K110">
            <v>56.78</v>
          </cell>
          <cell r="L110">
            <v>41.2</v>
          </cell>
          <cell r="M110">
            <v>0.01</v>
          </cell>
        </row>
        <row r="111">
          <cell r="A111" t="str">
            <v>NORCOLA</v>
          </cell>
          <cell r="B111">
            <v>1</v>
          </cell>
          <cell r="C111">
            <v>105.9</v>
          </cell>
          <cell r="D111">
            <v>105.9</v>
          </cell>
          <cell r="E111">
            <v>0</v>
          </cell>
          <cell r="F111">
            <v>0</v>
          </cell>
          <cell r="G111">
            <v>0</v>
          </cell>
          <cell r="H111">
            <v>105.9</v>
          </cell>
          <cell r="I111">
            <v>63.33</v>
          </cell>
          <cell r="J111">
            <v>0</v>
          </cell>
          <cell r="K111">
            <v>42.57</v>
          </cell>
          <cell r="L111">
            <v>40.200000000000003</v>
          </cell>
          <cell r="M111">
            <v>0.01</v>
          </cell>
        </row>
        <row r="112">
          <cell r="A112" t="str">
            <v>COMFORT DOOR</v>
          </cell>
          <cell r="B112">
            <v>3</v>
          </cell>
          <cell r="C112">
            <v>85.45</v>
          </cell>
          <cell r="D112">
            <v>21.36</v>
          </cell>
          <cell r="E112">
            <v>0</v>
          </cell>
          <cell r="F112">
            <v>0</v>
          </cell>
          <cell r="G112">
            <v>0</v>
          </cell>
          <cell r="H112">
            <v>85.45</v>
          </cell>
          <cell r="I112">
            <v>46.49</v>
          </cell>
          <cell r="J112">
            <v>0</v>
          </cell>
          <cell r="K112">
            <v>38.96</v>
          </cell>
          <cell r="L112">
            <v>45.59</v>
          </cell>
          <cell r="M112">
            <v>0.01</v>
          </cell>
        </row>
        <row r="113">
          <cell r="A113" t="str">
            <v xml:space="preserve"> RESISWAL</v>
          </cell>
          <cell r="B113">
            <v>2</v>
          </cell>
          <cell r="C113">
            <v>77.8</v>
          </cell>
          <cell r="D113">
            <v>38.9</v>
          </cell>
          <cell r="E113">
            <v>0</v>
          </cell>
          <cell r="F113">
            <v>0</v>
          </cell>
          <cell r="G113">
            <v>0</v>
          </cell>
          <cell r="H113">
            <v>77.8</v>
          </cell>
          <cell r="I113">
            <v>43.08</v>
          </cell>
          <cell r="J113">
            <v>0</v>
          </cell>
          <cell r="K113">
            <v>34.72</v>
          </cell>
          <cell r="L113">
            <v>44.63</v>
          </cell>
          <cell r="M113">
            <v>0.01</v>
          </cell>
        </row>
        <row r="114">
          <cell r="A114" t="str">
            <v>PADOVA</v>
          </cell>
          <cell r="B114">
            <v>1</v>
          </cell>
          <cell r="C114">
            <v>71.7</v>
          </cell>
          <cell r="D114">
            <v>23.9</v>
          </cell>
          <cell r="E114">
            <v>0</v>
          </cell>
          <cell r="F114">
            <v>0</v>
          </cell>
          <cell r="G114">
            <v>0</v>
          </cell>
          <cell r="H114">
            <v>71.7</v>
          </cell>
          <cell r="I114">
            <v>43.98</v>
          </cell>
          <cell r="J114">
            <v>0</v>
          </cell>
          <cell r="K114">
            <v>27.72</v>
          </cell>
          <cell r="L114">
            <v>38.659999999999997</v>
          </cell>
          <cell r="M114">
            <v>0</v>
          </cell>
        </row>
        <row r="115">
          <cell r="A115" t="str">
            <v>PHILIPS ILUMINACAO LA</v>
          </cell>
          <cell r="B115">
            <v>3</v>
          </cell>
          <cell r="C115">
            <v>51.88</v>
          </cell>
          <cell r="D115">
            <v>8.65</v>
          </cell>
          <cell r="E115">
            <v>0</v>
          </cell>
          <cell r="F115">
            <v>0</v>
          </cell>
          <cell r="G115">
            <v>0</v>
          </cell>
          <cell r="H115">
            <v>51.88</v>
          </cell>
          <cell r="I115">
            <v>31.23</v>
          </cell>
          <cell r="J115">
            <v>0</v>
          </cell>
          <cell r="K115">
            <v>20.65</v>
          </cell>
          <cell r="L115">
            <v>39.799999999999997</v>
          </cell>
          <cell r="M115">
            <v>0</v>
          </cell>
        </row>
        <row r="116">
          <cell r="A116" t="str">
            <v>EMPLAC</v>
          </cell>
          <cell r="B116">
            <v>3</v>
          </cell>
          <cell r="C116">
            <v>49.3</v>
          </cell>
          <cell r="D116">
            <v>9.86</v>
          </cell>
          <cell r="E116">
            <v>0</v>
          </cell>
          <cell r="F116">
            <v>0</v>
          </cell>
          <cell r="G116">
            <v>0</v>
          </cell>
          <cell r="H116">
            <v>49.3</v>
          </cell>
          <cell r="I116">
            <v>23.16</v>
          </cell>
          <cell r="J116">
            <v>0</v>
          </cell>
          <cell r="K116">
            <v>26.14</v>
          </cell>
          <cell r="L116">
            <v>53.02</v>
          </cell>
          <cell r="M116">
            <v>0</v>
          </cell>
        </row>
        <row r="117">
          <cell r="A117" t="str">
            <v>INCA</v>
          </cell>
          <cell r="B117">
            <v>3</v>
          </cell>
          <cell r="C117">
            <v>47.3</v>
          </cell>
          <cell r="D117">
            <v>1.58</v>
          </cell>
          <cell r="E117">
            <v>0</v>
          </cell>
          <cell r="F117">
            <v>0</v>
          </cell>
          <cell r="G117">
            <v>0</v>
          </cell>
          <cell r="H117">
            <v>47.3</v>
          </cell>
          <cell r="I117">
            <v>23.51</v>
          </cell>
          <cell r="J117">
            <v>0</v>
          </cell>
          <cell r="K117">
            <v>23.79</v>
          </cell>
          <cell r="L117">
            <v>50.3</v>
          </cell>
          <cell r="M117">
            <v>0</v>
          </cell>
        </row>
        <row r="118">
          <cell r="A118" t="str">
            <v>GABRIELLA</v>
          </cell>
          <cell r="B118">
            <v>1</v>
          </cell>
          <cell r="C118">
            <v>19.899999999999999</v>
          </cell>
          <cell r="D118">
            <v>19.899999999999999</v>
          </cell>
          <cell r="E118">
            <v>0</v>
          </cell>
          <cell r="F118">
            <v>0</v>
          </cell>
          <cell r="G118">
            <v>0</v>
          </cell>
          <cell r="H118">
            <v>19.899999999999999</v>
          </cell>
          <cell r="I118">
            <v>11.18</v>
          </cell>
          <cell r="J118">
            <v>0</v>
          </cell>
          <cell r="K118">
            <v>8.7200000000000006</v>
          </cell>
          <cell r="L118">
            <v>43.82</v>
          </cell>
          <cell r="M118">
            <v>0</v>
          </cell>
        </row>
        <row r="119">
          <cell r="A119" t="str">
            <v>MASCOTE</v>
          </cell>
          <cell r="B119">
            <v>1</v>
          </cell>
          <cell r="C119">
            <v>18.899999999999999</v>
          </cell>
          <cell r="D119">
            <v>18.899999999999999</v>
          </cell>
          <cell r="E119">
            <v>0</v>
          </cell>
          <cell r="F119">
            <v>0</v>
          </cell>
          <cell r="G119">
            <v>0</v>
          </cell>
          <cell r="H119">
            <v>18.899999999999999</v>
          </cell>
          <cell r="I119">
            <v>10.050000000000001</v>
          </cell>
          <cell r="J119">
            <v>0</v>
          </cell>
          <cell r="K119">
            <v>8.85</v>
          </cell>
          <cell r="L119">
            <v>46.83</v>
          </cell>
          <cell r="M119">
            <v>0</v>
          </cell>
        </row>
        <row r="120">
          <cell r="A120" t="str">
            <v>ANJO TINTAS E SOLVENTES</v>
          </cell>
          <cell r="B120">
            <v>1</v>
          </cell>
          <cell r="C120">
            <v>12.53</v>
          </cell>
          <cell r="D120">
            <v>12.53</v>
          </cell>
          <cell r="E120">
            <v>0</v>
          </cell>
          <cell r="F120">
            <v>0</v>
          </cell>
          <cell r="G120">
            <v>0</v>
          </cell>
          <cell r="H120">
            <v>12.53</v>
          </cell>
          <cell r="I120">
            <v>10.61</v>
          </cell>
          <cell r="J120">
            <v>0</v>
          </cell>
          <cell r="K120">
            <v>1.92</v>
          </cell>
          <cell r="L120">
            <v>15.32</v>
          </cell>
          <cell r="M120">
            <v>0</v>
          </cell>
        </row>
        <row r="121">
          <cell r="A121" t="str">
            <v>INJEPLAST</v>
          </cell>
          <cell r="B121">
            <v>1</v>
          </cell>
          <cell r="C121">
            <v>4</v>
          </cell>
          <cell r="D121">
            <v>0.4</v>
          </cell>
          <cell r="E121">
            <v>0</v>
          </cell>
          <cell r="F121">
            <v>0</v>
          </cell>
          <cell r="G121">
            <v>0</v>
          </cell>
          <cell r="H121">
            <v>4</v>
          </cell>
          <cell r="I121">
            <v>1.8</v>
          </cell>
          <cell r="J121">
            <v>0</v>
          </cell>
          <cell r="K121">
            <v>2.2000000000000002</v>
          </cell>
          <cell r="L121">
            <v>55</v>
          </cell>
          <cell r="M121">
            <v>0</v>
          </cell>
        </row>
        <row r="122">
          <cell r="A122" t="str">
            <v>outros</v>
          </cell>
          <cell r="B122">
            <v>0</v>
          </cell>
          <cell r="C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OUT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219</v>
          </cell>
          <cell r="C2">
            <v>218755.23180000001</v>
          </cell>
          <cell r="D2">
            <v>29.7</v>
          </cell>
          <cell r="E2">
            <v>0</v>
          </cell>
          <cell r="F2">
            <v>0</v>
          </cell>
          <cell r="G2">
            <v>8223.0493999999999</v>
          </cell>
          <cell r="H2">
            <v>210532.18239999999</v>
          </cell>
          <cell r="I2">
            <v>137099.46460000001</v>
          </cell>
          <cell r="J2">
            <v>5301.1922999999997</v>
          </cell>
          <cell r="K2">
            <v>78733.910099999994</v>
          </cell>
          <cell r="L2">
            <v>36.89</v>
          </cell>
          <cell r="M2">
            <v>13.97</v>
          </cell>
        </row>
        <row r="3">
          <cell r="A3" t="str">
            <v>POINTER</v>
          </cell>
          <cell r="B3">
            <v>159</v>
          </cell>
          <cell r="C3">
            <v>159685.245</v>
          </cell>
          <cell r="D3">
            <v>35.200000000000003</v>
          </cell>
          <cell r="E3">
            <v>0</v>
          </cell>
          <cell r="F3">
            <v>0</v>
          </cell>
          <cell r="G3">
            <v>2774.8191999999999</v>
          </cell>
          <cell r="H3">
            <v>156910.4258</v>
          </cell>
          <cell r="I3">
            <v>103040.54919999999</v>
          </cell>
          <cell r="J3">
            <v>1680.3807999999999</v>
          </cell>
          <cell r="K3">
            <v>55550.257400000002</v>
          </cell>
          <cell r="L3">
            <v>35.159999999999997</v>
          </cell>
          <cell r="M3">
            <v>10.199999999999999</v>
          </cell>
        </row>
        <row r="4">
          <cell r="A4" t="str">
            <v>IQUINE</v>
          </cell>
          <cell r="B4">
            <v>96</v>
          </cell>
          <cell r="C4">
            <v>135432.44440000001</v>
          </cell>
          <cell r="D4">
            <v>20.52</v>
          </cell>
          <cell r="E4">
            <v>0</v>
          </cell>
          <cell r="F4">
            <v>0</v>
          </cell>
          <cell r="G4">
            <v>1636.4708000000001</v>
          </cell>
          <cell r="H4">
            <v>133795.9736</v>
          </cell>
          <cell r="I4">
            <v>84026.283200000005</v>
          </cell>
          <cell r="J4">
            <v>981.5136</v>
          </cell>
          <cell r="K4">
            <v>50751.203999999998</v>
          </cell>
          <cell r="L4">
            <v>37.75</v>
          </cell>
          <cell r="M4">
            <v>8.65</v>
          </cell>
        </row>
        <row r="5">
          <cell r="A5" t="str">
            <v>INCENOR</v>
          </cell>
          <cell r="B5">
            <v>104</v>
          </cell>
          <cell r="C5">
            <v>121650.3437</v>
          </cell>
          <cell r="D5">
            <v>36.54</v>
          </cell>
          <cell r="E5">
            <v>0</v>
          </cell>
          <cell r="F5">
            <v>0</v>
          </cell>
          <cell r="G5">
            <v>10835.39</v>
          </cell>
          <cell r="H5">
            <v>110814.9537</v>
          </cell>
          <cell r="I5">
            <v>77963.329199999993</v>
          </cell>
          <cell r="J5">
            <v>7163.9013999999997</v>
          </cell>
          <cell r="K5">
            <v>40015.525900000001</v>
          </cell>
          <cell r="L5">
            <v>34.950000000000003</v>
          </cell>
          <cell r="M5">
            <v>7.77</v>
          </cell>
        </row>
        <row r="6">
          <cell r="A6" t="str">
            <v>DO MESTRE</v>
          </cell>
          <cell r="B6">
            <v>323</v>
          </cell>
          <cell r="C6">
            <v>112400.35</v>
          </cell>
          <cell r="D6">
            <v>21.48</v>
          </cell>
          <cell r="E6">
            <v>0</v>
          </cell>
          <cell r="F6">
            <v>0</v>
          </cell>
          <cell r="G6">
            <v>1991.43</v>
          </cell>
          <cell r="H6">
            <v>110408.92</v>
          </cell>
          <cell r="I6">
            <v>69509.3</v>
          </cell>
          <cell r="J6">
            <v>1277.46</v>
          </cell>
          <cell r="K6">
            <v>42177.08</v>
          </cell>
          <cell r="L6">
            <v>37.96</v>
          </cell>
          <cell r="M6">
            <v>7.18</v>
          </cell>
        </row>
        <row r="7">
          <cell r="A7" t="str">
            <v>MEGAÓ</v>
          </cell>
          <cell r="B7">
            <v>91</v>
          </cell>
          <cell r="C7">
            <v>108751.63</v>
          </cell>
          <cell r="D7">
            <v>59.07</v>
          </cell>
          <cell r="E7">
            <v>0</v>
          </cell>
          <cell r="F7">
            <v>0</v>
          </cell>
          <cell r="G7">
            <v>2196.8000000000002</v>
          </cell>
          <cell r="H7">
            <v>106554.83</v>
          </cell>
          <cell r="I7">
            <v>66122.350000000006</v>
          </cell>
          <cell r="J7">
            <v>1331.53</v>
          </cell>
          <cell r="K7">
            <v>41764.01</v>
          </cell>
          <cell r="L7">
            <v>38.880000000000003</v>
          </cell>
          <cell r="M7">
            <v>6.95</v>
          </cell>
        </row>
        <row r="8">
          <cell r="A8" t="str">
            <v>TECNOGRES</v>
          </cell>
          <cell r="B8">
            <v>38</v>
          </cell>
          <cell r="C8">
            <v>49987.528599999998</v>
          </cell>
          <cell r="D8">
            <v>64.39</v>
          </cell>
          <cell r="E8">
            <v>0</v>
          </cell>
          <cell r="F8">
            <v>0</v>
          </cell>
          <cell r="G8">
            <v>1954.9680000000001</v>
          </cell>
          <cell r="H8">
            <v>48032.560599999997</v>
          </cell>
          <cell r="I8">
            <v>32952.003900000003</v>
          </cell>
          <cell r="J8">
            <v>1264.5216</v>
          </cell>
          <cell r="K8">
            <v>16345.078299999999</v>
          </cell>
          <cell r="L8">
            <v>33.549999999999997</v>
          </cell>
          <cell r="M8">
            <v>3.19</v>
          </cell>
        </row>
        <row r="9">
          <cell r="A9" t="str">
            <v>ROCA</v>
          </cell>
          <cell r="B9">
            <v>60</v>
          </cell>
          <cell r="C9">
            <v>48203.05</v>
          </cell>
          <cell r="D9">
            <v>163.4</v>
          </cell>
          <cell r="E9">
            <v>0</v>
          </cell>
          <cell r="F9">
            <v>0</v>
          </cell>
          <cell r="G9">
            <v>2168.42</v>
          </cell>
          <cell r="H9">
            <v>46034.63</v>
          </cell>
          <cell r="I9">
            <v>32917.269999999997</v>
          </cell>
          <cell r="J9">
            <v>1541.41</v>
          </cell>
          <cell r="K9">
            <v>14658.77</v>
          </cell>
          <cell r="L9">
            <v>31.42</v>
          </cell>
          <cell r="M9">
            <v>3.08</v>
          </cell>
        </row>
        <row r="10">
          <cell r="A10" t="str">
            <v>QUALITY</v>
          </cell>
          <cell r="B10">
            <v>51</v>
          </cell>
          <cell r="C10">
            <v>44268.56</v>
          </cell>
          <cell r="D10">
            <v>205.9</v>
          </cell>
          <cell r="E10">
            <v>0</v>
          </cell>
          <cell r="F10">
            <v>0</v>
          </cell>
          <cell r="G10">
            <v>3064.88</v>
          </cell>
          <cell r="H10">
            <v>41203.68</v>
          </cell>
          <cell r="I10">
            <v>27506.240000000002</v>
          </cell>
          <cell r="J10">
            <v>1920.46</v>
          </cell>
          <cell r="K10">
            <v>15617.9</v>
          </cell>
          <cell r="L10">
            <v>36.880000000000003</v>
          </cell>
          <cell r="M10">
            <v>2.83</v>
          </cell>
        </row>
        <row r="11">
          <cell r="A11" t="str">
            <v>WEBER QUARTZOLIT</v>
          </cell>
          <cell r="B11">
            <v>122</v>
          </cell>
          <cell r="C11">
            <v>43226.99</v>
          </cell>
          <cell r="D11">
            <v>29.45</v>
          </cell>
          <cell r="E11">
            <v>0</v>
          </cell>
          <cell r="F11">
            <v>0</v>
          </cell>
          <cell r="G11">
            <v>235.84</v>
          </cell>
          <cell r="H11">
            <v>42991.15</v>
          </cell>
          <cell r="I11">
            <v>28073.97</v>
          </cell>
          <cell r="J11">
            <v>150.94999999999999</v>
          </cell>
          <cell r="K11">
            <v>15068.13</v>
          </cell>
          <cell r="L11">
            <v>34.979999999999997</v>
          </cell>
          <cell r="M11">
            <v>2.76</v>
          </cell>
        </row>
        <row r="12">
          <cell r="A12" t="str">
            <v>CERBRAS</v>
          </cell>
          <cell r="B12">
            <v>33</v>
          </cell>
          <cell r="C12">
            <v>42420.241399999999</v>
          </cell>
          <cell r="D12">
            <v>37.28</v>
          </cell>
          <cell r="E12">
            <v>0</v>
          </cell>
          <cell r="F12">
            <v>0</v>
          </cell>
          <cell r="G12">
            <v>164.91</v>
          </cell>
          <cell r="H12">
            <v>42255.331400000003</v>
          </cell>
          <cell r="I12">
            <v>28208.191699999999</v>
          </cell>
          <cell r="J12">
            <v>108.88200000000001</v>
          </cell>
          <cell r="K12">
            <v>14156.021699999999</v>
          </cell>
          <cell r="L12">
            <v>33.46</v>
          </cell>
          <cell r="M12">
            <v>2.71</v>
          </cell>
        </row>
        <row r="13">
          <cell r="A13" t="str">
            <v>FORTLEV</v>
          </cell>
          <cell r="B13">
            <v>78</v>
          </cell>
          <cell r="C13">
            <v>35268.75</v>
          </cell>
          <cell r="D13">
            <v>11.22</v>
          </cell>
          <cell r="E13">
            <v>0</v>
          </cell>
          <cell r="F13">
            <v>0</v>
          </cell>
          <cell r="G13">
            <v>1945.95</v>
          </cell>
          <cell r="H13">
            <v>33322.800000000003</v>
          </cell>
          <cell r="I13">
            <v>23956.33</v>
          </cell>
          <cell r="J13">
            <v>1397.14</v>
          </cell>
          <cell r="K13">
            <v>10763.61</v>
          </cell>
          <cell r="L13">
            <v>31.78</v>
          </cell>
          <cell r="M13">
            <v>2.25</v>
          </cell>
        </row>
        <row r="14">
          <cell r="A14" t="str">
            <v>PAMESA</v>
          </cell>
          <cell r="B14">
            <v>32</v>
          </cell>
          <cell r="C14">
            <v>35146.330399999999</v>
          </cell>
          <cell r="D14">
            <v>31.38</v>
          </cell>
          <cell r="E14">
            <v>0</v>
          </cell>
          <cell r="F14">
            <v>0</v>
          </cell>
          <cell r="G14">
            <v>70.563999999999993</v>
          </cell>
          <cell r="H14">
            <v>35075.7664</v>
          </cell>
          <cell r="I14">
            <v>23459.786800000002</v>
          </cell>
          <cell r="J14">
            <v>43.754399999999997</v>
          </cell>
          <cell r="K14">
            <v>11659.734</v>
          </cell>
          <cell r="L14">
            <v>33.22</v>
          </cell>
          <cell r="M14">
            <v>2.2400000000000002</v>
          </cell>
        </row>
        <row r="15">
          <cell r="A15" t="str">
            <v>ETERNIT</v>
          </cell>
          <cell r="B15">
            <v>32</v>
          </cell>
          <cell r="C15">
            <v>29999.82</v>
          </cell>
          <cell r="D15">
            <v>58.94</v>
          </cell>
          <cell r="E15">
            <v>0</v>
          </cell>
          <cell r="F15">
            <v>0</v>
          </cell>
          <cell r="G15">
            <v>856.18</v>
          </cell>
          <cell r="H15">
            <v>29143.64</v>
          </cell>
          <cell r="I15">
            <v>22845.439999999999</v>
          </cell>
          <cell r="J15">
            <v>662.74</v>
          </cell>
          <cell r="K15">
            <v>6960.94</v>
          </cell>
          <cell r="L15">
            <v>23.73</v>
          </cell>
          <cell r="M15">
            <v>1.92</v>
          </cell>
        </row>
        <row r="16">
          <cell r="A16" t="str">
            <v>ATLAS</v>
          </cell>
          <cell r="B16">
            <v>98</v>
          </cell>
          <cell r="C16">
            <v>27816.26</v>
          </cell>
          <cell r="D16">
            <v>16.36</v>
          </cell>
          <cell r="E16">
            <v>0</v>
          </cell>
          <cell r="F16">
            <v>0</v>
          </cell>
          <cell r="G16">
            <v>182.19</v>
          </cell>
          <cell r="H16">
            <v>27634.07</v>
          </cell>
          <cell r="I16">
            <v>15421.83</v>
          </cell>
          <cell r="J16">
            <v>100.79</v>
          </cell>
          <cell r="K16">
            <v>12313.03</v>
          </cell>
          <cell r="L16">
            <v>44.43</v>
          </cell>
          <cell r="M16">
            <v>1.78</v>
          </cell>
        </row>
        <row r="17">
          <cell r="A17" t="str">
            <v>PORTO RICO</v>
          </cell>
          <cell r="B17">
            <v>30</v>
          </cell>
          <cell r="C17">
            <v>22587.16</v>
          </cell>
          <cell r="D17">
            <v>28.09</v>
          </cell>
          <cell r="E17">
            <v>0</v>
          </cell>
          <cell r="F17">
            <v>0</v>
          </cell>
          <cell r="G17">
            <v>598</v>
          </cell>
          <cell r="H17">
            <v>21989.16</v>
          </cell>
          <cell r="I17">
            <v>13414.28</v>
          </cell>
          <cell r="J17">
            <v>343.94</v>
          </cell>
          <cell r="K17">
            <v>8918.82</v>
          </cell>
          <cell r="L17">
            <v>40.1</v>
          </cell>
          <cell r="M17">
            <v>1.44</v>
          </cell>
        </row>
        <row r="18">
          <cell r="A18" t="str">
            <v>GHEL'PLUS</v>
          </cell>
          <cell r="B18">
            <v>26</v>
          </cell>
          <cell r="C18">
            <v>16279</v>
          </cell>
          <cell r="D18">
            <v>119.7</v>
          </cell>
          <cell r="E18">
            <v>0</v>
          </cell>
          <cell r="F18">
            <v>0</v>
          </cell>
          <cell r="G18">
            <v>600.70000000000005</v>
          </cell>
          <cell r="H18">
            <v>15678.3</v>
          </cell>
          <cell r="I18">
            <v>10516.36</v>
          </cell>
          <cell r="J18">
            <v>409.55</v>
          </cell>
          <cell r="K18">
            <v>5571.49</v>
          </cell>
          <cell r="L18">
            <v>35.11</v>
          </cell>
          <cell r="M18">
            <v>1.04</v>
          </cell>
        </row>
        <row r="19">
          <cell r="A19" t="str">
            <v>BLACK DECKER</v>
          </cell>
          <cell r="B19">
            <v>28</v>
          </cell>
          <cell r="C19">
            <v>15238.88</v>
          </cell>
          <cell r="D19">
            <v>57.29</v>
          </cell>
          <cell r="E19">
            <v>0</v>
          </cell>
          <cell r="F19">
            <v>0</v>
          </cell>
          <cell r="G19">
            <v>239.9</v>
          </cell>
          <cell r="H19">
            <v>14998.98</v>
          </cell>
          <cell r="I19">
            <v>9391.17</v>
          </cell>
          <cell r="J19">
            <v>157.82</v>
          </cell>
          <cell r="K19">
            <v>5765.63</v>
          </cell>
          <cell r="L19">
            <v>38.229999999999997</v>
          </cell>
          <cell r="M19">
            <v>0.97</v>
          </cell>
        </row>
        <row r="20">
          <cell r="A20" t="str">
            <v>COBRECOM</v>
          </cell>
          <cell r="B20">
            <v>15</v>
          </cell>
          <cell r="C20">
            <v>13839.78</v>
          </cell>
          <cell r="D20">
            <v>155.5</v>
          </cell>
          <cell r="E20">
            <v>0</v>
          </cell>
          <cell r="F20">
            <v>0</v>
          </cell>
          <cell r="G20">
            <v>0</v>
          </cell>
          <cell r="H20">
            <v>13839.78</v>
          </cell>
          <cell r="I20">
            <v>9008.83</v>
          </cell>
          <cell r="J20">
            <v>0</v>
          </cell>
          <cell r="K20">
            <v>4830.95</v>
          </cell>
          <cell r="L20">
            <v>34.909999999999997</v>
          </cell>
          <cell r="M20">
            <v>0.88</v>
          </cell>
        </row>
        <row r="21">
          <cell r="A21" t="str">
            <v>LORENZETTI</v>
          </cell>
          <cell r="B21">
            <v>27</v>
          </cell>
          <cell r="C21">
            <v>12674.53</v>
          </cell>
          <cell r="D21">
            <v>75</v>
          </cell>
          <cell r="E21">
            <v>0</v>
          </cell>
          <cell r="F21">
            <v>0</v>
          </cell>
          <cell r="G21">
            <v>298.77999999999997</v>
          </cell>
          <cell r="H21">
            <v>12375.75</v>
          </cell>
          <cell r="I21">
            <v>8067.35</v>
          </cell>
          <cell r="J21">
            <v>194.19</v>
          </cell>
          <cell r="K21">
            <v>4502.59</v>
          </cell>
          <cell r="L21">
            <v>36.08</v>
          </cell>
          <cell r="M21">
            <v>0.81</v>
          </cell>
        </row>
        <row r="22">
          <cell r="A22" t="str">
            <v>INTECH MACHINE</v>
          </cell>
          <cell r="B22">
            <v>20</v>
          </cell>
          <cell r="C22">
            <v>12198.92</v>
          </cell>
          <cell r="D22">
            <v>187.68</v>
          </cell>
          <cell r="E22">
            <v>0</v>
          </cell>
          <cell r="F22">
            <v>0</v>
          </cell>
          <cell r="G22">
            <v>338.9</v>
          </cell>
          <cell r="H22">
            <v>11860.02</v>
          </cell>
          <cell r="I22">
            <v>7867.94</v>
          </cell>
          <cell r="J22">
            <v>223.03</v>
          </cell>
          <cell r="K22">
            <v>4215.1099999999997</v>
          </cell>
          <cell r="L22">
            <v>35.200000000000003</v>
          </cell>
          <cell r="M22">
            <v>0.78</v>
          </cell>
        </row>
        <row r="23">
          <cell r="A23" t="str">
            <v>AVANT</v>
          </cell>
          <cell r="B23">
            <v>25</v>
          </cell>
          <cell r="C23">
            <v>11139.47</v>
          </cell>
          <cell r="D23">
            <v>19.010000000000002</v>
          </cell>
          <cell r="E23">
            <v>0</v>
          </cell>
          <cell r="F23">
            <v>0</v>
          </cell>
          <cell r="G23">
            <v>603.9</v>
          </cell>
          <cell r="H23">
            <v>10535.57</v>
          </cell>
          <cell r="I23">
            <v>5911.16</v>
          </cell>
          <cell r="J23">
            <v>303.60000000000002</v>
          </cell>
          <cell r="K23">
            <v>4928.01</v>
          </cell>
          <cell r="L23">
            <v>45.48</v>
          </cell>
          <cell r="M23">
            <v>0.71</v>
          </cell>
        </row>
        <row r="24">
          <cell r="A24" t="str">
            <v>GRANPLAST</v>
          </cell>
          <cell r="B24">
            <v>38</v>
          </cell>
          <cell r="C24">
            <v>10205.76</v>
          </cell>
          <cell r="D24">
            <v>14.12</v>
          </cell>
          <cell r="E24">
            <v>0</v>
          </cell>
          <cell r="F24">
            <v>0</v>
          </cell>
          <cell r="G24">
            <v>75.8</v>
          </cell>
          <cell r="H24">
            <v>10129.959999999999</v>
          </cell>
          <cell r="I24">
            <v>5687.11</v>
          </cell>
          <cell r="J24">
            <v>44.56</v>
          </cell>
          <cell r="K24">
            <v>4487.41</v>
          </cell>
          <cell r="L24">
            <v>44.16</v>
          </cell>
          <cell r="M24">
            <v>0.65</v>
          </cell>
        </row>
        <row r="25">
          <cell r="A25" t="str">
            <v>METAIS LEAO</v>
          </cell>
          <cell r="B25">
            <v>39</v>
          </cell>
          <cell r="C25">
            <v>10149.75</v>
          </cell>
          <cell r="D25">
            <v>70.98</v>
          </cell>
          <cell r="E25">
            <v>0</v>
          </cell>
          <cell r="F25">
            <v>0</v>
          </cell>
          <cell r="G25">
            <v>254.8</v>
          </cell>
          <cell r="H25">
            <v>9894.9500000000007</v>
          </cell>
          <cell r="I25">
            <v>5958.84</v>
          </cell>
          <cell r="J25">
            <v>158.32</v>
          </cell>
          <cell r="K25">
            <v>4094.43</v>
          </cell>
          <cell r="L25">
            <v>40.98</v>
          </cell>
          <cell r="M25">
            <v>0.65</v>
          </cell>
        </row>
        <row r="26">
          <cell r="A26" t="str">
            <v>MULT MIX IMPORTADORA</v>
          </cell>
          <cell r="B26">
            <v>40</v>
          </cell>
          <cell r="C26">
            <v>10102.459999999999</v>
          </cell>
          <cell r="D26">
            <v>17.82</v>
          </cell>
          <cell r="E26">
            <v>0</v>
          </cell>
          <cell r="F26">
            <v>0</v>
          </cell>
          <cell r="G26">
            <v>63.6</v>
          </cell>
          <cell r="H26">
            <v>10038.86</v>
          </cell>
          <cell r="I26">
            <v>5403.41</v>
          </cell>
          <cell r="J26">
            <v>33.520000000000003</v>
          </cell>
          <cell r="K26">
            <v>4668.97</v>
          </cell>
          <cell r="L26">
            <v>46.37</v>
          </cell>
          <cell r="M26">
            <v>0.65</v>
          </cell>
        </row>
        <row r="27">
          <cell r="A27" t="str">
            <v>MEC-TRONIC</v>
          </cell>
          <cell r="B27">
            <v>32</v>
          </cell>
          <cell r="C27">
            <v>9722.39</v>
          </cell>
          <cell r="D27">
            <v>11.99</v>
          </cell>
          <cell r="E27">
            <v>0</v>
          </cell>
          <cell r="F27">
            <v>0</v>
          </cell>
          <cell r="G27">
            <v>281.7</v>
          </cell>
          <cell r="H27">
            <v>9440.69</v>
          </cell>
          <cell r="I27">
            <v>4818.7</v>
          </cell>
          <cell r="J27">
            <v>131.52000000000001</v>
          </cell>
          <cell r="K27">
            <v>4753.51</v>
          </cell>
          <cell r="L27">
            <v>49.56</v>
          </cell>
          <cell r="M27">
            <v>0.62</v>
          </cell>
        </row>
        <row r="28">
          <cell r="A28" t="str">
            <v>ANAUGER</v>
          </cell>
          <cell r="B28">
            <v>9</v>
          </cell>
          <cell r="C28">
            <v>9405.9599999999991</v>
          </cell>
          <cell r="D28">
            <v>313.52999999999997</v>
          </cell>
          <cell r="E28">
            <v>0</v>
          </cell>
          <cell r="F28">
            <v>0</v>
          </cell>
          <cell r="G28">
            <v>0</v>
          </cell>
          <cell r="H28">
            <v>9405.9599999999991</v>
          </cell>
          <cell r="I28">
            <v>6381</v>
          </cell>
          <cell r="J28">
            <v>0</v>
          </cell>
          <cell r="K28">
            <v>3024.96</v>
          </cell>
          <cell r="L28">
            <v>32.159999999999997</v>
          </cell>
          <cell r="M28">
            <v>0.6</v>
          </cell>
        </row>
        <row r="29">
          <cell r="A29" t="str">
            <v>Perfilplast Industria e Comerc</v>
          </cell>
          <cell r="B29">
            <v>20</v>
          </cell>
          <cell r="C29">
            <v>9282.8119999999999</v>
          </cell>
          <cell r="D29">
            <v>76.09</v>
          </cell>
          <cell r="E29">
            <v>0</v>
          </cell>
          <cell r="F29">
            <v>0</v>
          </cell>
          <cell r="G29">
            <v>292.02999999999997</v>
          </cell>
          <cell r="H29">
            <v>8990.7819999999992</v>
          </cell>
          <cell r="I29">
            <v>5944.21</v>
          </cell>
          <cell r="J29">
            <v>186.89</v>
          </cell>
          <cell r="K29">
            <v>3233.462</v>
          </cell>
          <cell r="L29">
            <v>35.549999999999997</v>
          </cell>
          <cell r="M29">
            <v>0.59</v>
          </cell>
        </row>
        <row r="30">
          <cell r="A30" t="str">
            <v>MGM</v>
          </cell>
          <cell r="B30">
            <v>14</v>
          </cell>
          <cell r="C30">
            <v>8790.24</v>
          </cell>
          <cell r="D30">
            <v>418.58</v>
          </cell>
          <cell r="E30">
            <v>0</v>
          </cell>
          <cell r="F30">
            <v>0</v>
          </cell>
          <cell r="G30">
            <v>621.57000000000005</v>
          </cell>
          <cell r="H30">
            <v>8168.67</v>
          </cell>
          <cell r="I30">
            <v>5361.96</v>
          </cell>
          <cell r="J30">
            <v>390.58</v>
          </cell>
          <cell r="K30">
            <v>3197.29</v>
          </cell>
          <cell r="L30">
            <v>38.06</v>
          </cell>
          <cell r="M30">
            <v>0.56000000000000005</v>
          </cell>
        </row>
        <row r="31">
          <cell r="A31" t="str">
            <v>VIQUA</v>
          </cell>
          <cell r="B31">
            <v>39</v>
          </cell>
          <cell r="C31">
            <v>8500.6200000000008</v>
          </cell>
          <cell r="D31">
            <v>37.61</v>
          </cell>
          <cell r="E31">
            <v>0</v>
          </cell>
          <cell r="F31">
            <v>0</v>
          </cell>
          <cell r="G31">
            <v>291.24</v>
          </cell>
          <cell r="H31">
            <v>8209.3799999999992</v>
          </cell>
          <cell r="I31">
            <v>5420.38</v>
          </cell>
          <cell r="J31">
            <v>186.96</v>
          </cell>
          <cell r="K31">
            <v>2975.96</v>
          </cell>
          <cell r="L31">
            <v>35.799999999999997</v>
          </cell>
          <cell r="M31">
            <v>0.54</v>
          </cell>
        </row>
        <row r="32">
          <cell r="A32" t="str">
            <v>NITROLUX</v>
          </cell>
          <cell r="B32">
            <v>21</v>
          </cell>
          <cell r="C32">
            <v>8392.4599999999991</v>
          </cell>
          <cell r="D32">
            <v>30.85</v>
          </cell>
          <cell r="E32">
            <v>0</v>
          </cell>
          <cell r="F32">
            <v>0</v>
          </cell>
          <cell r="G32">
            <v>334.5</v>
          </cell>
          <cell r="H32">
            <v>8057.96</v>
          </cell>
          <cell r="I32">
            <v>4959.83</v>
          </cell>
          <cell r="J32">
            <v>204.06</v>
          </cell>
          <cell r="K32">
            <v>3302.19</v>
          </cell>
          <cell r="L32">
            <v>40.33</v>
          </cell>
          <cell r="M32">
            <v>0.54</v>
          </cell>
        </row>
        <row r="33">
          <cell r="A33" t="str">
            <v>ELIZABETH PORC.</v>
          </cell>
          <cell r="B33">
            <v>5</v>
          </cell>
          <cell r="C33">
            <v>7487.3361999999997</v>
          </cell>
          <cell r="D33">
            <v>52.45</v>
          </cell>
          <cell r="E33">
            <v>0</v>
          </cell>
          <cell r="F33">
            <v>0</v>
          </cell>
          <cell r="G33">
            <v>970.05600000000004</v>
          </cell>
          <cell r="H33">
            <v>6517.2802000000001</v>
          </cell>
          <cell r="I33">
            <v>4224.7439000000004</v>
          </cell>
          <cell r="J33">
            <v>516.13199999999995</v>
          </cell>
          <cell r="K33">
            <v>2808.6682999999998</v>
          </cell>
          <cell r="L33">
            <v>40.29</v>
          </cell>
          <cell r="M33">
            <v>0.48</v>
          </cell>
        </row>
        <row r="34">
          <cell r="A34" t="str">
            <v>KRONA</v>
          </cell>
          <cell r="B34">
            <v>40</v>
          </cell>
          <cell r="C34">
            <v>7208.63</v>
          </cell>
          <cell r="D34">
            <v>6.74</v>
          </cell>
          <cell r="E34">
            <v>0</v>
          </cell>
          <cell r="F34">
            <v>0</v>
          </cell>
          <cell r="G34">
            <v>91.51</v>
          </cell>
          <cell r="H34">
            <v>7117.12</v>
          </cell>
          <cell r="I34">
            <v>4182.25</v>
          </cell>
          <cell r="J34">
            <v>50.41</v>
          </cell>
          <cell r="K34">
            <v>2985.28</v>
          </cell>
          <cell r="L34">
            <v>41.7</v>
          </cell>
          <cell r="M34">
            <v>0.46</v>
          </cell>
        </row>
        <row r="35">
          <cell r="A35" t="str">
            <v>LEGRAND</v>
          </cell>
          <cell r="B35">
            <v>19</v>
          </cell>
          <cell r="C35">
            <v>7114.83</v>
          </cell>
          <cell r="D35">
            <v>15.24</v>
          </cell>
          <cell r="E35">
            <v>0</v>
          </cell>
          <cell r="F35">
            <v>0</v>
          </cell>
          <cell r="G35">
            <v>123.38</v>
          </cell>
          <cell r="H35">
            <v>6991.45</v>
          </cell>
          <cell r="I35">
            <v>4256.16</v>
          </cell>
          <cell r="J35">
            <v>74.45</v>
          </cell>
          <cell r="K35">
            <v>2809.74</v>
          </cell>
          <cell r="L35">
            <v>39.909999999999997</v>
          </cell>
          <cell r="M35">
            <v>0.45</v>
          </cell>
        </row>
        <row r="36">
          <cell r="A36" t="str">
            <v>METALURGICA MOR S/A</v>
          </cell>
          <cell r="B36">
            <v>16</v>
          </cell>
          <cell r="C36">
            <v>6674.83</v>
          </cell>
          <cell r="D36">
            <v>84.49</v>
          </cell>
          <cell r="E36">
            <v>0</v>
          </cell>
          <cell r="F36">
            <v>0</v>
          </cell>
          <cell r="G36">
            <v>79.900000000000006</v>
          </cell>
          <cell r="H36">
            <v>6594.93</v>
          </cell>
          <cell r="I36">
            <v>3994.45</v>
          </cell>
          <cell r="J36">
            <v>48.04</v>
          </cell>
          <cell r="K36">
            <v>2648.52</v>
          </cell>
          <cell r="L36">
            <v>39.97</v>
          </cell>
          <cell r="M36">
            <v>0.43</v>
          </cell>
        </row>
        <row r="37">
          <cell r="A37" t="str">
            <v>VEDACIT</v>
          </cell>
          <cell r="B37">
            <v>10</v>
          </cell>
          <cell r="C37">
            <v>6569.94</v>
          </cell>
          <cell r="D37">
            <v>90</v>
          </cell>
          <cell r="E37">
            <v>0</v>
          </cell>
          <cell r="F37">
            <v>0</v>
          </cell>
          <cell r="G37">
            <v>16.899999999999999</v>
          </cell>
          <cell r="H37">
            <v>6553.04</v>
          </cell>
          <cell r="I37">
            <v>3769.5</v>
          </cell>
          <cell r="J37">
            <v>9.3000000000000007</v>
          </cell>
          <cell r="K37">
            <v>2792.84</v>
          </cell>
          <cell r="L37">
            <v>42.57</v>
          </cell>
          <cell r="M37">
            <v>0.42</v>
          </cell>
        </row>
        <row r="38">
          <cell r="A38" t="str">
            <v>BLUKIT</v>
          </cell>
          <cell r="B38">
            <v>54</v>
          </cell>
          <cell r="C38">
            <v>6013.36</v>
          </cell>
          <cell r="D38">
            <v>19.52</v>
          </cell>
          <cell r="E38">
            <v>0</v>
          </cell>
          <cell r="F38">
            <v>0</v>
          </cell>
          <cell r="G38">
            <v>171.7</v>
          </cell>
          <cell r="H38">
            <v>5841.66</v>
          </cell>
          <cell r="I38">
            <v>3874.76</v>
          </cell>
          <cell r="J38">
            <v>117.27</v>
          </cell>
          <cell r="K38">
            <v>2084.17</v>
          </cell>
          <cell r="L38">
            <v>35.35</v>
          </cell>
          <cell r="M38">
            <v>0.38</v>
          </cell>
        </row>
        <row r="39">
          <cell r="A39" t="str">
            <v>DOCOL METAIS</v>
          </cell>
          <cell r="B39">
            <v>15</v>
          </cell>
          <cell r="C39">
            <v>5959.5</v>
          </cell>
          <cell r="D39">
            <v>97.7</v>
          </cell>
          <cell r="E39">
            <v>0</v>
          </cell>
          <cell r="F39">
            <v>0</v>
          </cell>
          <cell r="G39">
            <v>405.68</v>
          </cell>
          <cell r="H39">
            <v>5553.82</v>
          </cell>
          <cell r="I39">
            <v>3726.97</v>
          </cell>
          <cell r="J39">
            <v>240.89</v>
          </cell>
          <cell r="K39">
            <v>2067.7399999999998</v>
          </cell>
          <cell r="L39">
            <v>36.159999999999997</v>
          </cell>
          <cell r="M39">
            <v>0.38</v>
          </cell>
        </row>
        <row r="40">
          <cell r="A40" t="str">
            <v>SILVANA</v>
          </cell>
          <cell r="B40">
            <v>17</v>
          </cell>
          <cell r="C40">
            <v>5677.52</v>
          </cell>
          <cell r="D40">
            <v>34.200000000000003</v>
          </cell>
          <cell r="E40">
            <v>0</v>
          </cell>
          <cell r="F40">
            <v>0</v>
          </cell>
          <cell r="G40">
            <v>362</v>
          </cell>
          <cell r="H40">
            <v>5315.52</v>
          </cell>
          <cell r="I40">
            <v>3243.9</v>
          </cell>
          <cell r="J40">
            <v>215.83</v>
          </cell>
          <cell r="K40">
            <v>2287.4499999999998</v>
          </cell>
          <cell r="L40">
            <v>41.88</v>
          </cell>
          <cell r="M40">
            <v>0.36</v>
          </cell>
        </row>
        <row r="41">
          <cell r="A41" t="str">
            <v>KDK PORTAS</v>
          </cell>
          <cell r="B41">
            <v>13</v>
          </cell>
          <cell r="C41">
            <v>5671.56</v>
          </cell>
          <cell r="D41">
            <v>171.87</v>
          </cell>
          <cell r="E41">
            <v>0</v>
          </cell>
          <cell r="F41">
            <v>0</v>
          </cell>
          <cell r="G41">
            <v>552.70000000000005</v>
          </cell>
          <cell r="H41">
            <v>5118.8599999999997</v>
          </cell>
          <cell r="I41">
            <v>3297.08</v>
          </cell>
          <cell r="J41">
            <v>305.17</v>
          </cell>
          <cell r="K41">
            <v>2126.9499999999998</v>
          </cell>
          <cell r="L41">
            <v>39.630000000000003</v>
          </cell>
          <cell r="M41">
            <v>0.36</v>
          </cell>
        </row>
        <row r="42">
          <cell r="A42" t="str">
            <v>NORTON</v>
          </cell>
          <cell r="B42">
            <v>34</v>
          </cell>
          <cell r="C42">
            <v>5668.18</v>
          </cell>
          <cell r="D42">
            <v>2.94</v>
          </cell>
          <cell r="E42">
            <v>0</v>
          </cell>
          <cell r="F42">
            <v>0</v>
          </cell>
          <cell r="G42">
            <v>9.4499999999999993</v>
          </cell>
          <cell r="H42">
            <v>5658.73</v>
          </cell>
          <cell r="I42">
            <v>2949.43</v>
          </cell>
          <cell r="J42">
            <v>5.22</v>
          </cell>
          <cell r="K42">
            <v>2714.52</v>
          </cell>
          <cell r="L42">
            <v>47.93</v>
          </cell>
          <cell r="M42">
            <v>0.36</v>
          </cell>
        </row>
        <row r="43">
          <cell r="A43" t="str">
            <v>PADO</v>
          </cell>
          <cell r="B43">
            <v>12</v>
          </cell>
          <cell r="C43">
            <v>5354.77</v>
          </cell>
          <cell r="D43">
            <v>39.090000000000003</v>
          </cell>
          <cell r="E43">
            <v>0</v>
          </cell>
          <cell r="F43">
            <v>0</v>
          </cell>
          <cell r="G43">
            <v>99.92</v>
          </cell>
          <cell r="H43">
            <v>5254.85</v>
          </cell>
          <cell r="I43">
            <v>3005.48</v>
          </cell>
          <cell r="J43">
            <v>61.02</v>
          </cell>
          <cell r="K43">
            <v>2310.39</v>
          </cell>
          <cell r="L43">
            <v>43.64</v>
          </cell>
          <cell r="M43">
            <v>0.34</v>
          </cell>
        </row>
        <row r="44">
          <cell r="A44" t="str">
            <v>BELLA PIA</v>
          </cell>
          <cell r="B44">
            <v>14</v>
          </cell>
          <cell r="C44">
            <v>5128.54</v>
          </cell>
          <cell r="D44">
            <v>213.69</v>
          </cell>
          <cell r="E44">
            <v>0</v>
          </cell>
          <cell r="F44">
            <v>0</v>
          </cell>
          <cell r="G44">
            <v>631.79999999999995</v>
          </cell>
          <cell r="H44">
            <v>4496.74</v>
          </cell>
          <cell r="I44">
            <v>3008.05</v>
          </cell>
          <cell r="J44">
            <v>381.18</v>
          </cell>
          <cell r="K44">
            <v>1869.87</v>
          </cell>
          <cell r="L44">
            <v>39.39</v>
          </cell>
          <cell r="M44">
            <v>0.33</v>
          </cell>
        </row>
        <row r="45">
          <cell r="A45" t="str">
            <v>LEDVANCE</v>
          </cell>
          <cell r="B45">
            <v>22</v>
          </cell>
          <cell r="C45">
            <v>5068.62</v>
          </cell>
          <cell r="D45">
            <v>6.92</v>
          </cell>
          <cell r="E45">
            <v>0</v>
          </cell>
          <cell r="F45">
            <v>0</v>
          </cell>
          <cell r="G45">
            <v>19</v>
          </cell>
          <cell r="H45">
            <v>5049.62</v>
          </cell>
          <cell r="I45">
            <v>2723.62</v>
          </cell>
          <cell r="J45">
            <v>9.4499999999999993</v>
          </cell>
          <cell r="K45">
            <v>2335.4499999999998</v>
          </cell>
          <cell r="L45">
            <v>46.16</v>
          </cell>
          <cell r="M45">
            <v>0.32</v>
          </cell>
        </row>
        <row r="46">
          <cell r="A46" t="str">
            <v>MYPA</v>
          </cell>
          <cell r="B46">
            <v>19</v>
          </cell>
          <cell r="C46">
            <v>4492.99</v>
          </cell>
          <cell r="D46">
            <v>13.91</v>
          </cell>
          <cell r="E46">
            <v>0</v>
          </cell>
          <cell r="F46">
            <v>0</v>
          </cell>
          <cell r="G46">
            <v>9.9</v>
          </cell>
          <cell r="H46">
            <v>4483.09</v>
          </cell>
          <cell r="I46">
            <v>2443.14</v>
          </cell>
          <cell r="J46">
            <v>5.9</v>
          </cell>
          <cell r="K46">
            <v>2045.85</v>
          </cell>
          <cell r="L46">
            <v>45.59</v>
          </cell>
          <cell r="M46">
            <v>0.28999999999999998</v>
          </cell>
        </row>
        <row r="47">
          <cell r="A47" t="str">
            <v>PLASTMAR IND E COM</v>
          </cell>
          <cell r="B47">
            <v>12</v>
          </cell>
          <cell r="C47">
            <v>4103.68</v>
          </cell>
          <cell r="D47">
            <v>51.3</v>
          </cell>
          <cell r="E47">
            <v>0</v>
          </cell>
          <cell r="F47">
            <v>0</v>
          </cell>
          <cell r="G47">
            <v>0</v>
          </cell>
          <cell r="H47">
            <v>4103.68</v>
          </cell>
          <cell r="I47">
            <v>2326.44</v>
          </cell>
          <cell r="J47">
            <v>0</v>
          </cell>
          <cell r="K47">
            <v>1777.24</v>
          </cell>
          <cell r="L47">
            <v>43.31</v>
          </cell>
          <cell r="M47">
            <v>0.26</v>
          </cell>
        </row>
        <row r="48">
          <cell r="A48" t="str">
            <v>CARMELO FIOR</v>
          </cell>
          <cell r="B48">
            <v>3</v>
          </cell>
          <cell r="C48">
            <v>3778.83</v>
          </cell>
          <cell r="D48">
            <v>63.62</v>
          </cell>
          <cell r="E48">
            <v>0</v>
          </cell>
          <cell r="F48">
            <v>0</v>
          </cell>
          <cell r="G48">
            <v>0</v>
          </cell>
          <cell r="H48">
            <v>3778.83</v>
          </cell>
          <cell r="I48">
            <v>1247.4880000000001</v>
          </cell>
          <cell r="J48">
            <v>0</v>
          </cell>
          <cell r="K48">
            <v>2531.3420000000001</v>
          </cell>
          <cell r="L48">
            <v>66.989999999999995</v>
          </cell>
          <cell r="M48">
            <v>0.24</v>
          </cell>
        </row>
        <row r="49">
          <cell r="A49" t="str">
            <v>ADERE</v>
          </cell>
          <cell r="B49">
            <v>30</v>
          </cell>
          <cell r="C49">
            <v>3687.67</v>
          </cell>
          <cell r="D49">
            <v>10.51</v>
          </cell>
          <cell r="E49">
            <v>0</v>
          </cell>
          <cell r="F49">
            <v>0</v>
          </cell>
          <cell r="G49">
            <v>18</v>
          </cell>
          <cell r="H49">
            <v>3669.67</v>
          </cell>
          <cell r="I49">
            <v>2246.09</v>
          </cell>
          <cell r="J49">
            <v>11.5</v>
          </cell>
          <cell r="K49">
            <v>1435.08</v>
          </cell>
          <cell r="L49">
            <v>39.04</v>
          </cell>
          <cell r="M49">
            <v>0.24</v>
          </cell>
        </row>
        <row r="50">
          <cell r="A50" t="str">
            <v>BRASFORMA</v>
          </cell>
          <cell r="B50">
            <v>8</v>
          </cell>
          <cell r="C50">
            <v>3466.29</v>
          </cell>
          <cell r="D50">
            <v>52.52</v>
          </cell>
          <cell r="E50">
            <v>0</v>
          </cell>
          <cell r="F50">
            <v>0</v>
          </cell>
          <cell r="G50">
            <v>154.9</v>
          </cell>
          <cell r="H50">
            <v>3311.39</v>
          </cell>
          <cell r="I50">
            <v>2018.28</v>
          </cell>
          <cell r="J50">
            <v>94.3</v>
          </cell>
          <cell r="K50">
            <v>1387.41</v>
          </cell>
          <cell r="L50">
            <v>41.15</v>
          </cell>
          <cell r="M50">
            <v>0.22</v>
          </cell>
        </row>
        <row r="51">
          <cell r="A51" t="str">
            <v>LUCONI</v>
          </cell>
          <cell r="B51">
            <v>37</v>
          </cell>
          <cell r="C51">
            <v>3282.81</v>
          </cell>
          <cell r="D51">
            <v>11.89</v>
          </cell>
          <cell r="E51">
            <v>0</v>
          </cell>
          <cell r="F51">
            <v>0</v>
          </cell>
          <cell r="G51">
            <v>34.49</v>
          </cell>
          <cell r="H51">
            <v>3248.32</v>
          </cell>
          <cell r="I51">
            <v>1624.64</v>
          </cell>
          <cell r="J51">
            <v>16.579999999999998</v>
          </cell>
          <cell r="K51">
            <v>1640.26</v>
          </cell>
          <cell r="L51">
            <v>50.22</v>
          </cell>
          <cell r="M51">
            <v>0.21</v>
          </cell>
        </row>
        <row r="52">
          <cell r="A52" t="str">
            <v>ASTRA</v>
          </cell>
          <cell r="B52">
            <v>21</v>
          </cell>
          <cell r="C52">
            <v>3225.57</v>
          </cell>
          <cell r="D52">
            <v>23.21</v>
          </cell>
          <cell r="E52">
            <v>0</v>
          </cell>
          <cell r="F52">
            <v>0</v>
          </cell>
          <cell r="G52">
            <v>13.9</v>
          </cell>
          <cell r="H52">
            <v>3211.67</v>
          </cell>
          <cell r="I52">
            <v>1898.74</v>
          </cell>
          <cell r="J52">
            <v>7.18</v>
          </cell>
          <cell r="K52">
            <v>1320.11</v>
          </cell>
          <cell r="L52">
            <v>41.02</v>
          </cell>
          <cell r="M52">
            <v>0.21</v>
          </cell>
        </row>
        <row r="53">
          <cell r="A53" t="str">
            <v>PULVITEC</v>
          </cell>
          <cell r="B53">
            <v>39</v>
          </cell>
          <cell r="C53">
            <v>3151.61</v>
          </cell>
          <cell r="D53">
            <v>7.25</v>
          </cell>
          <cell r="E53">
            <v>0</v>
          </cell>
          <cell r="F53">
            <v>0</v>
          </cell>
          <cell r="G53">
            <v>19.47</v>
          </cell>
          <cell r="H53">
            <v>3132.14</v>
          </cell>
          <cell r="I53">
            <v>1543.9</v>
          </cell>
          <cell r="J53">
            <v>9.2200000000000006</v>
          </cell>
          <cell r="K53">
            <v>1597.46</v>
          </cell>
          <cell r="L53">
            <v>50.84</v>
          </cell>
          <cell r="M53">
            <v>0.2</v>
          </cell>
        </row>
        <row r="54">
          <cell r="A54" t="str">
            <v>PRATEFIX</v>
          </cell>
          <cell r="B54">
            <v>5</v>
          </cell>
          <cell r="C54">
            <v>3008.62</v>
          </cell>
          <cell r="D54">
            <v>35.4</v>
          </cell>
          <cell r="E54">
            <v>0</v>
          </cell>
          <cell r="F54">
            <v>0</v>
          </cell>
          <cell r="G54">
            <v>0</v>
          </cell>
          <cell r="H54">
            <v>3008.62</v>
          </cell>
          <cell r="I54">
            <v>1611.08</v>
          </cell>
          <cell r="J54">
            <v>0</v>
          </cell>
          <cell r="K54">
            <v>1397.54</v>
          </cell>
          <cell r="L54">
            <v>46.45</v>
          </cell>
          <cell r="M54">
            <v>0.19</v>
          </cell>
        </row>
        <row r="55">
          <cell r="A55" t="str">
            <v>REALLE</v>
          </cell>
          <cell r="B55">
            <v>7</v>
          </cell>
          <cell r="C55">
            <v>2895.4636</v>
          </cell>
          <cell r="D55">
            <v>30.63</v>
          </cell>
          <cell r="E55">
            <v>0</v>
          </cell>
          <cell r="F55">
            <v>0</v>
          </cell>
          <cell r="G55">
            <v>0</v>
          </cell>
          <cell r="H55">
            <v>2895.4636</v>
          </cell>
          <cell r="I55">
            <v>1859.9228000000001</v>
          </cell>
          <cell r="J55">
            <v>0</v>
          </cell>
          <cell r="K55">
            <v>1035.5408</v>
          </cell>
          <cell r="L55">
            <v>35.76</v>
          </cell>
          <cell r="M55">
            <v>0.18</v>
          </cell>
        </row>
        <row r="56">
          <cell r="A56" t="str">
            <v>PRATIMIX</v>
          </cell>
          <cell r="B56">
            <v>25</v>
          </cell>
          <cell r="C56">
            <v>2387.89</v>
          </cell>
          <cell r="D56">
            <v>10.61</v>
          </cell>
          <cell r="E56">
            <v>0</v>
          </cell>
          <cell r="F56">
            <v>0</v>
          </cell>
          <cell r="G56">
            <v>41.03</v>
          </cell>
          <cell r="H56">
            <v>2346.86</v>
          </cell>
          <cell r="I56">
            <v>1380.54</v>
          </cell>
          <cell r="J56">
            <v>24.33</v>
          </cell>
          <cell r="K56">
            <v>990.65</v>
          </cell>
          <cell r="L56">
            <v>41.91</v>
          </cell>
          <cell r="M56">
            <v>0.15</v>
          </cell>
        </row>
        <row r="57">
          <cell r="A57" t="str">
            <v>HERC</v>
          </cell>
          <cell r="B57">
            <v>16</v>
          </cell>
          <cell r="C57">
            <v>2340.38</v>
          </cell>
          <cell r="D57">
            <v>19.670000000000002</v>
          </cell>
          <cell r="E57">
            <v>0</v>
          </cell>
          <cell r="F57">
            <v>0</v>
          </cell>
          <cell r="G57">
            <v>3.99</v>
          </cell>
          <cell r="H57">
            <v>2336.39</v>
          </cell>
          <cell r="I57">
            <v>1272.83</v>
          </cell>
          <cell r="J57">
            <v>1.7</v>
          </cell>
          <cell r="K57">
            <v>1065.26</v>
          </cell>
          <cell r="L57">
            <v>45.55</v>
          </cell>
          <cell r="M57">
            <v>0.15</v>
          </cell>
        </row>
        <row r="58">
          <cell r="A58" t="str">
            <v>BOGNAR</v>
          </cell>
          <cell r="B58">
            <v>17</v>
          </cell>
          <cell r="C58">
            <v>2297.8200000000002</v>
          </cell>
          <cell r="D58">
            <v>52.22</v>
          </cell>
          <cell r="E58">
            <v>0</v>
          </cell>
          <cell r="F58">
            <v>0</v>
          </cell>
          <cell r="G58">
            <v>0</v>
          </cell>
          <cell r="H58">
            <v>2297.8200000000002</v>
          </cell>
          <cell r="I58">
            <v>1616.77</v>
          </cell>
          <cell r="J58">
            <v>0</v>
          </cell>
          <cell r="K58">
            <v>681.05</v>
          </cell>
          <cell r="L58">
            <v>29.64</v>
          </cell>
          <cell r="M58">
            <v>0.15</v>
          </cell>
        </row>
        <row r="59">
          <cell r="A59" t="str">
            <v>Momfort</v>
          </cell>
          <cell r="B59">
            <v>12</v>
          </cell>
          <cell r="C59">
            <v>2163.21</v>
          </cell>
          <cell r="D59">
            <v>32.78</v>
          </cell>
          <cell r="E59">
            <v>0</v>
          </cell>
          <cell r="F59">
            <v>0</v>
          </cell>
          <cell r="G59">
            <v>0</v>
          </cell>
          <cell r="H59">
            <v>2163.21</v>
          </cell>
          <cell r="I59">
            <v>1148.3499999999999</v>
          </cell>
          <cell r="J59">
            <v>0</v>
          </cell>
          <cell r="K59">
            <v>1014.86</v>
          </cell>
          <cell r="L59">
            <v>46.91</v>
          </cell>
          <cell r="M59">
            <v>0.14000000000000001</v>
          </cell>
        </row>
        <row r="60">
          <cell r="A60" t="str">
            <v>CORTAG</v>
          </cell>
          <cell r="B60">
            <v>16</v>
          </cell>
          <cell r="C60">
            <v>2070.62</v>
          </cell>
          <cell r="D60">
            <v>16.43</v>
          </cell>
          <cell r="E60">
            <v>0</v>
          </cell>
          <cell r="F60">
            <v>0</v>
          </cell>
          <cell r="G60">
            <v>0</v>
          </cell>
          <cell r="H60">
            <v>2070.62</v>
          </cell>
          <cell r="I60">
            <v>1177.1300000000001</v>
          </cell>
          <cell r="J60">
            <v>0</v>
          </cell>
          <cell r="K60">
            <v>893.49</v>
          </cell>
          <cell r="L60">
            <v>43.15</v>
          </cell>
          <cell r="M60">
            <v>0.13</v>
          </cell>
        </row>
        <row r="61">
          <cell r="A61" t="str">
            <v>TAF</v>
          </cell>
          <cell r="B61">
            <v>13</v>
          </cell>
          <cell r="C61">
            <v>2008.96</v>
          </cell>
          <cell r="D61">
            <v>14.99</v>
          </cell>
          <cell r="E61">
            <v>0</v>
          </cell>
          <cell r="F61">
            <v>0</v>
          </cell>
          <cell r="G61">
            <v>0</v>
          </cell>
          <cell r="H61">
            <v>2008.96</v>
          </cell>
          <cell r="I61">
            <v>1175.55</v>
          </cell>
          <cell r="J61">
            <v>0</v>
          </cell>
          <cell r="K61">
            <v>833.41</v>
          </cell>
          <cell r="L61">
            <v>41.48</v>
          </cell>
          <cell r="M61">
            <v>0.13</v>
          </cell>
        </row>
        <row r="62">
          <cell r="A62" t="str">
            <v>CENSI</v>
          </cell>
          <cell r="B62">
            <v>17</v>
          </cell>
          <cell r="C62">
            <v>1976.16</v>
          </cell>
          <cell r="D62">
            <v>30.4</v>
          </cell>
          <cell r="E62">
            <v>0</v>
          </cell>
          <cell r="F62">
            <v>0</v>
          </cell>
          <cell r="G62">
            <v>36.5</v>
          </cell>
          <cell r="H62">
            <v>1939.66</v>
          </cell>
          <cell r="I62">
            <v>1191.48</v>
          </cell>
          <cell r="J62">
            <v>22.38</v>
          </cell>
          <cell r="K62">
            <v>770.56</v>
          </cell>
          <cell r="L62">
            <v>39.44</v>
          </cell>
          <cell r="M62">
            <v>0.13</v>
          </cell>
        </row>
        <row r="63">
          <cell r="A63" t="str">
            <v>EXATRON</v>
          </cell>
          <cell r="B63">
            <v>2</v>
          </cell>
          <cell r="C63">
            <v>1966.33</v>
          </cell>
          <cell r="D63">
            <v>50.42</v>
          </cell>
          <cell r="E63">
            <v>0</v>
          </cell>
          <cell r="F63">
            <v>0</v>
          </cell>
          <cell r="G63">
            <v>69.900000000000006</v>
          </cell>
          <cell r="H63">
            <v>1896.43</v>
          </cell>
          <cell r="I63">
            <v>1194.0899999999999</v>
          </cell>
          <cell r="J63">
            <v>34.549999999999997</v>
          </cell>
          <cell r="K63">
            <v>736.89</v>
          </cell>
          <cell r="L63">
            <v>38.15</v>
          </cell>
          <cell r="M63">
            <v>0.13</v>
          </cell>
        </row>
        <row r="64">
          <cell r="A64" t="str">
            <v>BEMFIXA</v>
          </cell>
          <cell r="B64">
            <v>8</v>
          </cell>
          <cell r="C64">
            <v>1808.68</v>
          </cell>
          <cell r="D64">
            <v>11.67</v>
          </cell>
          <cell r="E64">
            <v>0</v>
          </cell>
          <cell r="F64">
            <v>0</v>
          </cell>
          <cell r="G64">
            <v>0</v>
          </cell>
          <cell r="H64">
            <v>1808.68</v>
          </cell>
          <cell r="I64">
            <v>1069.8800000000001</v>
          </cell>
          <cell r="J64">
            <v>0</v>
          </cell>
          <cell r="K64">
            <v>738.8</v>
          </cell>
          <cell r="L64">
            <v>40.85</v>
          </cell>
          <cell r="M64">
            <v>0.12</v>
          </cell>
        </row>
        <row r="65">
          <cell r="A65" t="str">
            <v>ALIANÇA</v>
          </cell>
          <cell r="B65">
            <v>3</v>
          </cell>
          <cell r="C65">
            <v>1682.06</v>
          </cell>
          <cell r="D65">
            <v>54.26</v>
          </cell>
          <cell r="E65">
            <v>0</v>
          </cell>
          <cell r="F65">
            <v>0</v>
          </cell>
          <cell r="G65">
            <v>0</v>
          </cell>
          <cell r="H65">
            <v>1682.06</v>
          </cell>
          <cell r="I65">
            <v>1060.94</v>
          </cell>
          <cell r="J65">
            <v>0</v>
          </cell>
          <cell r="K65">
            <v>621.12</v>
          </cell>
          <cell r="L65">
            <v>36.93</v>
          </cell>
          <cell r="M65">
            <v>0.11</v>
          </cell>
        </row>
        <row r="66">
          <cell r="A66" t="str">
            <v>TRAMONTINA</v>
          </cell>
          <cell r="B66">
            <v>4</v>
          </cell>
          <cell r="C66">
            <v>1629.33</v>
          </cell>
          <cell r="D66">
            <v>74.06</v>
          </cell>
          <cell r="E66">
            <v>0</v>
          </cell>
          <cell r="F66">
            <v>0</v>
          </cell>
          <cell r="G66">
            <v>0</v>
          </cell>
          <cell r="H66">
            <v>1629.33</v>
          </cell>
          <cell r="I66">
            <v>977.92</v>
          </cell>
          <cell r="J66">
            <v>0</v>
          </cell>
          <cell r="K66">
            <v>651.41</v>
          </cell>
          <cell r="L66">
            <v>39.979999999999997</v>
          </cell>
          <cell r="M66">
            <v>0.1</v>
          </cell>
        </row>
        <row r="67">
          <cell r="A67" t="str">
            <v>VONDER</v>
          </cell>
          <cell r="B67">
            <v>5</v>
          </cell>
          <cell r="C67">
            <v>1417.4</v>
          </cell>
          <cell r="D67">
            <v>32.21</v>
          </cell>
          <cell r="E67">
            <v>0</v>
          </cell>
          <cell r="F67">
            <v>0</v>
          </cell>
          <cell r="G67">
            <v>0</v>
          </cell>
          <cell r="H67">
            <v>1417.4</v>
          </cell>
          <cell r="I67">
            <v>812.08</v>
          </cell>
          <cell r="J67">
            <v>0</v>
          </cell>
          <cell r="K67">
            <v>605.32000000000005</v>
          </cell>
          <cell r="L67">
            <v>42.71</v>
          </cell>
          <cell r="M67">
            <v>0.09</v>
          </cell>
        </row>
        <row r="68">
          <cell r="A68" t="str">
            <v>NAWA COM ATAC VAR PROD LAR E L</v>
          </cell>
          <cell r="B68">
            <v>4</v>
          </cell>
          <cell r="C68">
            <v>1346.5</v>
          </cell>
          <cell r="D68">
            <v>269.3</v>
          </cell>
          <cell r="E68">
            <v>0</v>
          </cell>
          <cell r="F68">
            <v>0</v>
          </cell>
          <cell r="G68">
            <v>0</v>
          </cell>
          <cell r="H68">
            <v>1346.5</v>
          </cell>
          <cell r="I68">
            <v>791.36</v>
          </cell>
          <cell r="J68">
            <v>0</v>
          </cell>
          <cell r="K68">
            <v>555.14</v>
          </cell>
          <cell r="L68">
            <v>41.23</v>
          </cell>
          <cell r="M68">
            <v>0.09</v>
          </cell>
        </row>
        <row r="69">
          <cell r="A69" t="str">
            <v>STARRETT INDUSTRIA E COMERCIO</v>
          </cell>
          <cell r="B69">
            <v>10</v>
          </cell>
          <cell r="C69">
            <v>1276.8399999999999</v>
          </cell>
          <cell r="D69">
            <v>21.64</v>
          </cell>
          <cell r="E69">
            <v>0</v>
          </cell>
          <cell r="F69">
            <v>0</v>
          </cell>
          <cell r="G69">
            <v>0</v>
          </cell>
          <cell r="H69">
            <v>1276.8399999999999</v>
          </cell>
          <cell r="I69">
            <v>734.61</v>
          </cell>
          <cell r="J69">
            <v>0</v>
          </cell>
          <cell r="K69">
            <v>542.23</v>
          </cell>
          <cell r="L69">
            <v>42.47</v>
          </cell>
          <cell r="M69">
            <v>0.08</v>
          </cell>
        </row>
        <row r="70">
          <cell r="A70" t="str">
            <v>HIDRACOR</v>
          </cell>
          <cell r="B70">
            <v>10</v>
          </cell>
          <cell r="C70">
            <v>1270.8800000000001</v>
          </cell>
          <cell r="D70">
            <v>2.89</v>
          </cell>
          <cell r="E70">
            <v>0</v>
          </cell>
          <cell r="F70">
            <v>0</v>
          </cell>
          <cell r="G70">
            <v>23.2</v>
          </cell>
          <cell r="H70">
            <v>1247.68</v>
          </cell>
          <cell r="I70">
            <v>624.87</v>
          </cell>
          <cell r="J70">
            <v>11.39</v>
          </cell>
          <cell r="K70">
            <v>634.20000000000005</v>
          </cell>
          <cell r="L70">
            <v>50.35</v>
          </cell>
          <cell r="M70">
            <v>0.08</v>
          </cell>
        </row>
        <row r="71">
          <cell r="A71" t="str">
            <v>DUDA</v>
          </cell>
          <cell r="B71">
            <v>3</v>
          </cell>
          <cell r="C71">
            <v>1263.6199999999999</v>
          </cell>
          <cell r="D71">
            <v>29.39</v>
          </cell>
          <cell r="E71">
            <v>0</v>
          </cell>
          <cell r="F71">
            <v>0</v>
          </cell>
          <cell r="G71">
            <v>287.04000000000002</v>
          </cell>
          <cell r="H71">
            <v>976.58</v>
          </cell>
          <cell r="I71">
            <v>841.524</v>
          </cell>
          <cell r="J71">
            <v>184.416</v>
          </cell>
          <cell r="K71">
            <v>319.47199999999998</v>
          </cell>
          <cell r="L71">
            <v>29.6</v>
          </cell>
          <cell r="M71">
            <v>0.08</v>
          </cell>
        </row>
        <row r="72">
          <cell r="A72" t="str">
            <v>ILUMI</v>
          </cell>
          <cell r="B72">
            <v>7</v>
          </cell>
          <cell r="C72">
            <v>1115.54</v>
          </cell>
          <cell r="D72">
            <v>13.77</v>
          </cell>
          <cell r="E72">
            <v>0</v>
          </cell>
          <cell r="F72">
            <v>0</v>
          </cell>
          <cell r="G72">
            <v>2.6</v>
          </cell>
          <cell r="H72">
            <v>1112.94</v>
          </cell>
          <cell r="I72">
            <v>614.78</v>
          </cell>
          <cell r="J72">
            <v>1.45</v>
          </cell>
          <cell r="K72">
            <v>499.61</v>
          </cell>
          <cell r="L72">
            <v>44.84</v>
          </cell>
          <cell r="M72">
            <v>7.0000000000000007E-2</v>
          </cell>
        </row>
        <row r="73">
          <cell r="A73" t="str">
            <v>METALOSA</v>
          </cell>
          <cell r="B73">
            <v>3</v>
          </cell>
          <cell r="C73">
            <v>1043.5</v>
          </cell>
          <cell r="D73">
            <v>208.7</v>
          </cell>
          <cell r="E73">
            <v>0</v>
          </cell>
          <cell r="F73">
            <v>0</v>
          </cell>
          <cell r="G73">
            <v>0</v>
          </cell>
          <cell r="H73">
            <v>1043.5</v>
          </cell>
          <cell r="I73">
            <v>595</v>
          </cell>
          <cell r="J73">
            <v>0</v>
          </cell>
          <cell r="K73">
            <v>448.5</v>
          </cell>
          <cell r="L73">
            <v>42.98</v>
          </cell>
          <cell r="M73">
            <v>7.0000000000000007E-2</v>
          </cell>
        </row>
        <row r="74">
          <cell r="A74" t="str">
            <v>BOTAFOGO</v>
          </cell>
          <cell r="B74">
            <v>1</v>
          </cell>
          <cell r="C74">
            <v>1038.7</v>
          </cell>
          <cell r="D74">
            <v>1038.7</v>
          </cell>
          <cell r="E74">
            <v>0</v>
          </cell>
          <cell r="F74">
            <v>0</v>
          </cell>
          <cell r="G74">
            <v>0</v>
          </cell>
          <cell r="H74">
            <v>1038.7</v>
          </cell>
          <cell r="I74">
            <v>657.64</v>
          </cell>
          <cell r="J74">
            <v>0</v>
          </cell>
          <cell r="K74">
            <v>381.06</v>
          </cell>
          <cell r="L74">
            <v>36.69</v>
          </cell>
          <cell r="M74">
            <v>7.0000000000000007E-2</v>
          </cell>
        </row>
        <row r="75">
          <cell r="A75" t="str">
            <v>LGMAIS</v>
          </cell>
          <cell r="B75">
            <v>3</v>
          </cell>
          <cell r="C75">
            <v>1036.7</v>
          </cell>
          <cell r="D75">
            <v>129.59</v>
          </cell>
          <cell r="E75">
            <v>0</v>
          </cell>
          <cell r="F75">
            <v>0</v>
          </cell>
          <cell r="G75">
            <v>0</v>
          </cell>
          <cell r="H75">
            <v>1036.7</v>
          </cell>
          <cell r="I75">
            <v>646.24</v>
          </cell>
          <cell r="J75">
            <v>0</v>
          </cell>
          <cell r="K75">
            <v>390.46</v>
          </cell>
          <cell r="L75">
            <v>37.659999999999997</v>
          </cell>
          <cell r="M75">
            <v>7.0000000000000007E-2</v>
          </cell>
        </row>
        <row r="76">
          <cell r="A76" t="str">
            <v>ARAFORROS</v>
          </cell>
          <cell r="B76">
            <v>4</v>
          </cell>
          <cell r="C76">
            <v>990.3</v>
          </cell>
          <cell r="D76">
            <v>198.06</v>
          </cell>
          <cell r="E76">
            <v>0</v>
          </cell>
          <cell r="F76">
            <v>0</v>
          </cell>
          <cell r="G76">
            <v>196.9</v>
          </cell>
          <cell r="H76">
            <v>793.4</v>
          </cell>
          <cell r="I76">
            <v>596.32000000000005</v>
          </cell>
          <cell r="J76">
            <v>116.34</v>
          </cell>
          <cell r="K76">
            <v>313.42</v>
          </cell>
          <cell r="L76">
            <v>35.86</v>
          </cell>
          <cell r="M76">
            <v>0.06</v>
          </cell>
        </row>
        <row r="77">
          <cell r="A77" t="str">
            <v>BOSCH</v>
          </cell>
          <cell r="B77">
            <v>4</v>
          </cell>
          <cell r="C77">
            <v>982.3</v>
          </cell>
          <cell r="D77">
            <v>196.46</v>
          </cell>
          <cell r="E77">
            <v>0</v>
          </cell>
          <cell r="F77">
            <v>0</v>
          </cell>
          <cell r="G77">
            <v>0</v>
          </cell>
          <cell r="H77">
            <v>982.3</v>
          </cell>
          <cell r="I77">
            <v>647.39</v>
          </cell>
          <cell r="J77">
            <v>0</v>
          </cell>
          <cell r="K77">
            <v>334.91</v>
          </cell>
          <cell r="L77">
            <v>34.090000000000003</v>
          </cell>
          <cell r="M77">
            <v>0.06</v>
          </cell>
        </row>
        <row r="78">
          <cell r="A78" t="str">
            <v>ULTRACLEAN</v>
          </cell>
          <cell r="B78">
            <v>7</v>
          </cell>
          <cell r="C78">
            <v>925.2</v>
          </cell>
          <cell r="D78">
            <v>24.35</v>
          </cell>
          <cell r="E78">
            <v>0</v>
          </cell>
          <cell r="F78">
            <v>0</v>
          </cell>
          <cell r="G78">
            <v>49.9</v>
          </cell>
          <cell r="H78">
            <v>875.3</v>
          </cell>
          <cell r="I78">
            <v>526.11</v>
          </cell>
          <cell r="J78">
            <v>26.51</v>
          </cell>
          <cell r="K78">
            <v>375.7</v>
          </cell>
          <cell r="L78">
            <v>41.81</v>
          </cell>
          <cell r="M78">
            <v>0.06</v>
          </cell>
        </row>
        <row r="79">
          <cell r="A79" t="str">
            <v>BRASILIT</v>
          </cell>
          <cell r="B79">
            <v>3</v>
          </cell>
          <cell r="C79">
            <v>888</v>
          </cell>
          <cell r="D79">
            <v>74</v>
          </cell>
          <cell r="E79">
            <v>0</v>
          </cell>
          <cell r="F79">
            <v>0</v>
          </cell>
          <cell r="G79">
            <v>0</v>
          </cell>
          <cell r="H79">
            <v>888</v>
          </cell>
          <cell r="I79">
            <v>577.86</v>
          </cell>
          <cell r="J79">
            <v>0</v>
          </cell>
          <cell r="K79">
            <v>310.14</v>
          </cell>
          <cell r="L79">
            <v>34.93</v>
          </cell>
          <cell r="M79">
            <v>0.06</v>
          </cell>
        </row>
        <row r="80">
          <cell r="A80" t="str">
            <v>J LOBATO</v>
          </cell>
          <cell r="B80">
            <v>7</v>
          </cell>
          <cell r="C80">
            <v>808.62</v>
          </cell>
          <cell r="D80">
            <v>17.97</v>
          </cell>
          <cell r="E80">
            <v>0</v>
          </cell>
          <cell r="F80">
            <v>0</v>
          </cell>
          <cell r="G80">
            <v>0</v>
          </cell>
          <cell r="H80">
            <v>808.62</v>
          </cell>
          <cell r="I80">
            <v>369.51</v>
          </cell>
          <cell r="J80">
            <v>0</v>
          </cell>
          <cell r="K80">
            <v>439.11</v>
          </cell>
          <cell r="L80">
            <v>54.3</v>
          </cell>
          <cell r="M80">
            <v>0.05</v>
          </cell>
        </row>
        <row r="81">
          <cell r="A81" t="str">
            <v>GERDAU</v>
          </cell>
          <cell r="B81">
            <v>5</v>
          </cell>
          <cell r="C81">
            <v>742.82</v>
          </cell>
          <cell r="D81">
            <v>29.71</v>
          </cell>
          <cell r="E81">
            <v>0</v>
          </cell>
          <cell r="F81">
            <v>0</v>
          </cell>
          <cell r="G81">
            <v>27.9</v>
          </cell>
          <cell r="H81">
            <v>714.92</v>
          </cell>
          <cell r="I81">
            <v>410.23</v>
          </cell>
          <cell r="J81">
            <v>18</v>
          </cell>
          <cell r="K81">
            <v>322.69</v>
          </cell>
          <cell r="L81">
            <v>44.52</v>
          </cell>
          <cell r="M81">
            <v>0.05</v>
          </cell>
        </row>
        <row r="82">
          <cell r="A82" t="str">
            <v>COZIMAX</v>
          </cell>
          <cell r="B82">
            <v>3</v>
          </cell>
          <cell r="C82">
            <v>704.96</v>
          </cell>
          <cell r="D82">
            <v>140.99</v>
          </cell>
          <cell r="E82">
            <v>0</v>
          </cell>
          <cell r="F82">
            <v>0</v>
          </cell>
          <cell r="G82">
            <v>149.9</v>
          </cell>
          <cell r="H82">
            <v>555.05999999999995</v>
          </cell>
          <cell r="I82">
            <v>423.52</v>
          </cell>
          <cell r="J82">
            <v>88</v>
          </cell>
          <cell r="K82">
            <v>219.54</v>
          </cell>
          <cell r="L82">
            <v>35.58</v>
          </cell>
          <cell r="M82">
            <v>0.05</v>
          </cell>
        </row>
        <row r="83">
          <cell r="A83" t="str">
            <v>ULTRA CLEAN</v>
          </cell>
          <cell r="B83">
            <v>6</v>
          </cell>
          <cell r="C83">
            <v>702.8</v>
          </cell>
          <cell r="D83">
            <v>21.96</v>
          </cell>
          <cell r="E83">
            <v>0</v>
          </cell>
          <cell r="F83">
            <v>0</v>
          </cell>
          <cell r="G83">
            <v>0</v>
          </cell>
          <cell r="H83">
            <v>702.8</v>
          </cell>
          <cell r="I83">
            <v>429.78</v>
          </cell>
          <cell r="J83">
            <v>0</v>
          </cell>
          <cell r="K83">
            <v>273.02</v>
          </cell>
          <cell r="L83">
            <v>38.85</v>
          </cell>
          <cell r="M83">
            <v>0.04</v>
          </cell>
        </row>
        <row r="84">
          <cell r="A84" t="str">
            <v>PINTSILK</v>
          </cell>
          <cell r="B84">
            <v>3</v>
          </cell>
          <cell r="C84">
            <v>654.1</v>
          </cell>
          <cell r="D84">
            <v>65.41</v>
          </cell>
          <cell r="E84">
            <v>0</v>
          </cell>
          <cell r="F84">
            <v>0</v>
          </cell>
          <cell r="G84">
            <v>0</v>
          </cell>
          <cell r="H84">
            <v>654.1</v>
          </cell>
          <cell r="I84">
            <v>372.75</v>
          </cell>
          <cell r="J84">
            <v>0</v>
          </cell>
          <cell r="K84">
            <v>281.35000000000002</v>
          </cell>
          <cell r="L84">
            <v>43.01</v>
          </cell>
          <cell r="M84">
            <v>0.04</v>
          </cell>
        </row>
        <row r="85">
          <cell r="A85" t="str">
            <v>MARLUVAS</v>
          </cell>
          <cell r="B85">
            <v>2</v>
          </cell>
          <cell r="C85">
            <v>617.29999999999995</v>
          </cell>
          <cell r="D85">
            <v>88.19</v>
          </cell>
          <cell r="E85">
            <v>0</v>
          </cell>
          <cell r="F85">
            <v>0</v>
          </cell>
          <cell r="G85">
            <v>0</v>
          </cell>
          <cell r="H85">
            <v>617.29999999999995</v>
          </cell>
          <cell r="I85">
            <v>373.52</v>
          </cell>
          <cell r="J85">
            <v>0</v>
          </cell>
          <cell r="K85">
            <v>243.78</v>
          </cell>
          <cell r="L85">
            <v>39.49</v>
          </cell>
          <cell r="M85">
            <v>0.04</v>
          </cell>
        </row>
        <row r="86">
          <cell r="A86" t="str">
            <v>LEDAN</v>
          </cell>
          <cell r="B86">
            <v>3</v>
          </cell>
          <cell r="C86">
            <v>609.37</v>
          </cell>
          <cell r="D86">
            <v>10.88</v>
          </cell>
          <cell r="E86">
            <v>0</v>
          </cell>
          <cell r="F86">
            <v>0</v>
          </cell>
          <cell r="G86">
            <v>0</v>
          </cell>
          <cell r="H86">
            <v>609.37</v>
          </cell>
          <cell r="I86">
            <v>388.81</v>
          </cell>
          <cell r="J86">
            <v>0</v>
          </cell>
          <cell r="K86">
            <v>220.56</v>
          </cell>
          <cell r="L86">
            <v>36.19</v>
          </cell>
          <cell r="M86">
            <v>0.04</v>
          </cell>
        </row>
        <row r="87">
          <cell r="A87" t="str">
            <v>Max-Giro</v>
          </cell>
          <cell r="B87">
            <v>7</v>
          </cell>
          <cell r="C87">
            <v>601.04</v>
          </cell>
          <cell r="D87">
            <v>12.27</v>
          </cell>
          <cell r="E87">
            <v>0</v>
          </cell>
          <cell r="F87">
            <v>0</v>
          </cell>
          <cell r="G87">
            <v>0</v>
          </cell>
          <cell r="H87">
            <v>601.04</v>
          </cell>
          <cell r="I87">
            <v>335.08</v>
          </cell>
          <cell r="J87">
            <v>0</v>
          </cell>
          <cell r="K87">
            <v>265.95999999999998</v>
          </cell>
          <cell r="L87">
            <v>44.25</v>
          </cell>
          <cell r="M87">
            <v>0.04</v>
          </cell>
        </row>
        <row r="88">
          <cell r="A88" t="str">
            <v>KALIPSO</v>
          </cell>
          <cell r="B88">
            <v>4</v>
          </cell>
          <cell r="C88">
            <v>559.57000000000005</v>
          </cell>
          <cell r="D88">
            <v>8.23</v>
          </cell>
          <cell r="E88">
            <v>0</v>
          </cell>
          <cell r="F88">
            <v>0</v>
          </cell>
          <cell r="G88">
            <v>7.5</v>
          </cell>
          <cell r="H88">
            <v>552.07000000000005</v>
          </cell>
          <cell r="I88">
            <v>263.3</v>
          </cell>
          <cell r="J88">
            <v>4.12</v>
          </cell>
          <cell r="K88">
            <v>292.89</v>
          </cell>
          <cell r="L88">
            <v>52.73</v>
          </cell>
          <cell r="M88">
            <v>0.04</v>
          </cell>
        </row>
        <row r="89">
          <cell r="A89" t="str">
            <v>FORTLINE</v>
          </cell>
          <cell r="B89">
            <v>1</v>
          </cell>
          <cell r="C89">
            <v>551.20000000000005</v>
          </cell>
          <cell r="D89">
            <v>137.80000000000001</v>
          </cell>
          <cell r="E89">
            <v>0</v>
          </cell>
          <cell r="F89">
            <v>0</v>
          </cell>
          <cell r="G89">
            <v>0</v>
          </cell>
          <cell r="H89">
            <v>551.20000000000005</v>
          </cell>
          <cell r="I89">
            <v>350.76</v>
          </cell>
          <cell r="J89">
            <v>0</v>
          </cell>
          <cell r="K89">
            <v>200.44</v>
          </cell>
          <cell r="L89">
            <v>36.36</v>
          </cell>
          <cell r="M89">
            <v>0.04</v>
          </cell>
        </row>
        <row r="90">
          <cell r="A90" t="str">
            <v>PADRAO FORTE</v>
          </cell>
          <cell r="B90">
            <v>4</v>
          </cell>
          <cell r="C90">
            <v>502.38</v>
          </cell>
          <cell r="D90">
            <v>50.24</v>
          </cell>
          <cell r="E90">
            <v>0</v>
          </cell>
          <cell r="F90">
            <v>0</v>
          </cell>
          <cell r="G90">
            <v>43.9</v>
          </cell>
          <cell r="H90">
            <v>458.48</v>
          </cell>
          <cell r="I90">
            <v>296.82</v>
          </cell>
          <cell r="J90">
            <v>25.95</v>
          </cell>
          <cell r="K90">
            <v>187.61</v>
          </cell>
          <cell r="L90">
            <v>39.380000000000003</v>
          </cell>
          <cell r="M90">
            <v>0.03</v>
          </cell>
        </row>
        <row r="91">
          <cell r="A91" t="str">
            <v>TOP MIX</v>
          </cell>
          <cell r="B91">
            <v>1</v>
          </cell>
          <cell r="C91">
            <v>442.22</v>
          </cell>
          <cell r="D91">
            <v>442.22</v>
          </cell>
          <cell r="E91">
            <v>0</v>
          </cell>
          <cell r="F91">
            <v>0</v>
          </cell>
          <cell r="G91">
            <v>0</v>
          </cell>
          <cell r="H91">
            <v>442.22</v>
          </cell>
          <cell r="I91">
            <v>260.52999999999997</v>
          </cell>
          <cell r="J91">
            <v>0</v>
          </cell>
          <cell r="K91">
            <v>181.69</v>
          </cell>
          <cell r="L91">
            <v>41.09</v>
          </cell>
          <cell r="M91">
            <v>0.03</v>
          </cell>
        </row>
        <row r="92">
          <cell r="A92" t="str">
            <v>RHPE</v>
          </cell>
          <cell r="B92">
            <v>2</v>
          </cell>
          <cell r="C92">
            <v>343.6</v>
          </cell>
          <cell r="D92">
            <v>85.9</v>
          </cell>
          <cell r="E92">
            <v>0</v>
          </cell>
          <cell r="F92">
            <v>0</v>
          </cell>
          <cell r="G92">
            <v>171.8</v>
          </cell>
          <cell r="H92">
            <v>171.8</v>
          </cell>
          <cell r="I92">
            <v>213.36</v>
          </cell>
          <cell r="J92">
            <v>106.68</v>
          </cell>
          <cell r="K92">
            <v>65.12</v>
          </cell>
          <cell r="L92">
            <v>27.49</v>
          </cell>
          <cell r="M92">
            <v>0.02</v>
          </cell>
        </row>
        <row r="93">
          <cell r="A93" t="str">
            <v>BRASFORT</v>
          </cell>
          <cell r="B93">
            <v>4</v>
          </cell>
          <cell r="C93">
            <v>299.89999999999998</v>
          </cell>
          <cell r="D93">
            <v>12.5</v>
          </cell>
          <cell r="E93">
            <v>0</v>
          </cell>
          <cell r="F93">
            <v>0</v>
          </cell>
          <cell r="G93">
            <v>0</v>
          </cell>
          <cell r="H93">
            <v>299.89999999999998</v>
          </cell>
          <cell r="I93">
            <v>176.92</v>
          </cell>
          <cell r="J93">
            <v>0</v>
          </cell>
          <cell r="K93">
            <v>122.98</v>
          </cell>
          <cell r="L93">
            <v>41.01</v>
          </cell>
          <cell r="M93">
            <v>0.02</v>
          </cell>
        </row>
        <row r="94">
          <cell r="A94" t="str">
            <v>CHEMONE</v>
          </cell>
          <cell r="B94">
            <v>6</v>
          </cell>
          <cell r="C94">
            <v>284</v>
          </cell>
          <cell r="D94">
            <v>14.2</v>
          </cell>
          <cell r="E94">
            <v>0</v>
          </cell>
          <cell r="F94">
            <v>0</v>
          </cell>
          <cell r="G94">
            <v>0</v>
          </cell>
          <cell r="H94">
            <v>284</v>
          </cell>
          <cell r="I94">
            <v>168.72</v>
          </cell>
          <cell r="J94">
            <v>0</v>
          </cell>
          <cell r="K94">
            <v>115.28</v>
          </cell>
          <cell r="L94">
            <v>40.590000000000003</v>
          </cell>
          <cell r="M94">
            <v>0.02</v>
          </cell>
        </row>
        <row r="95">
          <cell r="A95" t="str">
            <v>TRAMONTINA NORDESTE</v>
          </cell>
          <cell r="B95">
            <v>4</v>
          </cell>
          <cell r="C95">
            <v>283</v>
          </cell>
          <cell r="D95">
            <v>28.3</v>
          </cell>
          <cell r="E95">
            <v>0</v>
          </cell>
          <cell r="F95">
            <v>0</v>
          </cell>
          <cell r="G95">
            <v>0</v>
          </cell>
          <cell r="H95">
            <v>283</v>
          </cell>
          <cell r="I95">
            <v>193.2</v>
          </cell>
          <cell r="J95">
            <v>0</v>
          </cell>
          <cell r="K95">
            <v>89.8</v>
          </cell>
          <cell r="L95">
            <v>31.73</v>
          </cell>
          <cell r="M95">
            <v>0.02</v>
          </cell>
        </row>
        <row r="96">
          <cell r="A96" t="str">
            <v>STAM</v>
          </cell>
          <cell r="B96">
            <v>2</v>
          </cell>
          <cell r="C96">
            <v>264.5</v>
          </cell>
          <cell r="D96">
            <v>52.9</v>
          </cell>
          <cell r="E96">
            <v>0</v>
          </cell>
          <cell r="F96">
            <v>0</v>
          </cell>
          <cell r="G96">
            <v>49.9</v>
          </cell>
          <cell r="H96">
            <v>214.6</v>
          </cell>
          <cell r="I96">
            <v>153.94999999999999</v>
          </cell>
          <cell r="J96">
            <v>29.02</v>
          </cell>
          <cell r="K96">
            <v>89.67</v>
          </cell>
          <cell r="L96">
            <v>38.08</v>
          </cell>
          <cell r="M96">
            <v>0.02</v>
          </cell>
        </row>
        <row r="97">
          <cell r="A97" t="str">
            <v>ORBI QUIMICA LTDA</v>
          </cell>
          <cell r="B97">
            <v>4</v>
          </cell>
          <cell r="C97">
            <v>261.32</v>
          </cell>
          <cell r="D97">
            <v>10.89</v>
          </cell>
          <cell r="E97">
            <v>0</v>
          </cell>
          <cell r="F97">
            <v>0</v>
          </cell>
          <cell r="G97">
            <v>0</v>
          </cell>
          <cell r="H97">
            <v>261.32</v>
          </cell>
          <cell r="I97">
            <v>150.31</v>
          </cell>
          <cell r="J97">
            <v>0</v>
          </cell>
          <cell r="K97">
            <v>111.01</v>
          </cell>
          <cell r="L97">
            <v>42.48</v>
          </cell>
          <cell r="M97">
            <v>0.02</v>
          </cell>
        </row>
        <row r="98">
          <cell r="A98" t="str">
            <v>EXTRALUX</v>
          </cell>
          <cell r="B98">
            <v>3</v>
          </cell>
          <cell r="C98">
            <v>254.1</v>
          </cell>
          <cell r="D98">
            <v>28.23</v>
          </cell>
          <cell r="E98">
            <v>0</v>
          </cell>
          <cell r="F98">
            <v>0</v>
          </cell>
          <cell r="G98">
            <v>0</v>
          </cell>
          <cell r="H98">
            <v>254.1</v>
          </cell>
          <cell r="I98">
            <v>153.41999999999999</v>
          </cell>
          <cell r="J98">
            <v>0</v>
          </cell>
          <cell r="K98">
            <v>100.68</v>
          </cell>
          <cell r="L98">
            <v>39.619999999999997</v>
          </cell>
          <cell r="M98">
            <v>0.02</v>
          </cell>
        </row>
        <row r="99">
          <cell r="A99" t="str">
            <v>SECALUX</v>
          </cell>
          <cell r="B99">
            <v>2</v>
          </cell>
          <cell r="C99">
            <v>231.3</v>
          </cell>
          <cell r="D99">
            <v>46.26</v>
          </cell>
          <cell r="E99">
            <v>0</v>
          </cell>
          <cell r="F99">
            <v>0</v>
          </cell>
          <cell r="G99">
            <v>0</v>
          </cell>
          <cell r="H99">
            <v>231.3</v>
          </cell>
          <cell r="I99">
            <v>145.06</v>
          </cell>
          <cell r="J99">
            <v>0</v>
          </cell>
          <cell r="K99">
            <v>86.24</v>
          </cell>
          <cell r="L99">
            <v>37.28</v>
          </cell>
          <cell r="M99">
            <v>0.01</v>
          </cell>
        </row>
        <row r="100">
          <cell r="A100" t="str">
            <v>NOVA FIXACAO</v>
          </cell>
          <cell r="B100">
            <v>4</v>
          </cell>
          <cell r="C100">
            <v>220.2</v>
          </cell>
          <cell r="D100">
            <v>2.4700000000000002</v>
          </cell>
          <cell r="E100">
            <v>0</v>
          </cell>
          <cell r="F100">
            <v>0</v>
          </cell>
          <cell r="G100">
            <v>0</v>
          </cell>
          <cell r="H100">
            <v>220.2</v>
          </cell>
          <cell r="I100">
            <v>131.09</v>
          </cell>
          <cell r="J100">
            <v>0</v>
          </cell>
          <cell r="K100">
            <v>89.11</v>
          </cell>
          <cell r="L100">
            <v>40.47</v>
          </cell>
          <cell r="M100">
            <v>0.01</v>
          </cell>
        </row>
        <row r="101">
          <cell r="A101" t="str">
            <v>ARCELORMITTAL</v>
          </cell>
          <cell r="B101">
            <v>3</v>
          </cell>
          <cell r="C101">
            <v>217</v>
          </cell>
          <cell r="D101">
            <v>27.13</v>
          </cell>
          <cell r="E101">
            <v>0</v>
          </cell>
          <cell r="F101">
            <v>0</v>
          </cell>
          <cell r="G101">
            <v>0</v>
          </cell>
          <cell r="H101">
            <v>217</v>
          </cell>
          <cell r="I101">
            <v>123.1</v>
          </cell>
          <cell r="J101">
            <v>0</v>
          </cell>
          <cell r="K101">
            <v>93.9</v>
          </cell>
          <cell r="L101">
            <v>43.27</v>
          </cell>
          <cell r="M101">
            <v>0.01</v>
          </cell>
        </row>
        <row r="102">
          <cell r="A102" t="str">
            <v>RANCAN</v>
          </cell>
          <cell r="B102">
            <v>1</v>
          </cell>
          <cell r="C102">
            <v>179.7</v>
          </cell>
          <cell r="D102">
            <v>59.9</v>
          </cell>
          <cell r="E102">
            <v>0</v>
          </cell>
          <cell r="F102">
            <v>0</v>
          </cell>
          <cell r="G102">
            <v>0</v>
          </cell>
          <cell r="H102">
            <v>179.7</v>
          </cell>
          <cell r="I102">
            <v>94.05</v>
          </cell>
          <cell r="J102">
            <v>0</v>
          </cell>
          <cell r="K102">
            <v>85.65</v>
          </cell>
          <cell r="L102">
            <v>47.66</v>
          </cell>
          <cell r="M102">
            <v>0.01</v>
          </cell>
        </row>
        <row r="103">
          <cell r="A103" t="str">
            <v>FRANKE</v>
          </cell>
          <cell r="B103">
            <v>1</v>
          </cell>
          <cell r="C103">
            <v>179.35</v>
          </cell>
          <cell r="D103">
            <v>179.35</v>
          </cell>
          <cell r="E103">
            <v>0</v>
          </cell>
          <cell r="F103">
            <v>0</v>
          </cell>
          <cell r="G103">
            <v>0</v>
          </cell>
          <cell r="H103">
            <v>179.35</v>
          </cell>
          <cell r="I103">
            <v>93.15</v>
          </cell>
          <cell r="J103">
            <v>0</v>
          </cell>
          <cell r="K103">
            <v>86.2</v>
          </cell>
          <cell r="L103">
            <v>48.06</v>
          </cell>
          <cell r="M103">
            <v>0.01</v>
          </cell>
        </row>
        <row r="104">
          <cell r="A104" t="str">
            <v>PADOVA</v>
          </cell>
          <cell r="B104">
            <v>3</v>
          </cell>
          <cell r="C104">
            <v>169.2</v>
          </cell>
          <cell r="D104">
            <v>21.15</v>
          </cell>
          <cell r="E104">
            <v>0</v>
          </cell>
          <cell r="F104">
            <v>0</v>
          </cell>
          <cell r="G104">
            <v>23.9</v>
          </cell>
          <cell r="H104">
            <v>145.30000000000001</v>
          </cell>
          <cell r="I104">
            <v>103.96</v>
          </cell>
          <cell r="J104">
            <v>14.66</v>
          </cell>
          <cell r="K104">
            <v>56</v>
          </cell>
          <cell r="L104">
            <v>36.24</v>
          </cell>
          <cell r="M104">
            <v>0.01</v>
          </cell>
        </row>
        <row r="105">
          <cell r="A105" t="str">
            <v>TRAMONTINA ELETRIK S.A.</v>
          </cell>
          <cell r="B105">
            <v>3</v>
          </cell>
          <cell r="C105">
            <v>166.28</v>
          </cell>
          <cell r="D105">
            <v>15.12</v>
          </cell>
          <cell r="E105">
            <v>0</v>
          </cell>
          <cell r="F105">
            <v>0</v>
          </cell>
          <cell r="G105">
            <v>0</v>
          </cell>
          <cell r="H105">
            <v>166.28</v>
          </cell>
          <cell r="I105">
            <v>95.25</v>
          </cell>
          <cell r="J105">
            <v>0</v>
          </cell>
          <cell r="K105">
            <v>71.03</v>
          </cell>
          <cell r="L105">
            <v>42.72</v>
          </cell>
          <cell r="M105">
            <v>0.01</v>
          </cell>
        </row>
        <row r="106">
          <cell r="A106" t="str">
            <v>ATTENA</v>
          </cell>
          <cell r="B106">
            <v>2</v>
          </cell>
          <cell r="C106">
            <v>163.13</v>
          </cell>
          <cell r="D106">
            <v>54.38</v>
          </cell>
          <cell r="E106">
            <v>0</v>
          </cell>
          <cell r="F106">
            <v>0</v>
          </cell>
          <cell r="G106">
            <v>0</v>
          </cell>
          <cell r="H106">
            <v>163.13</v>
          </cell>
          <cell r="I106">
            <v>138.88999999999999</v>
          </cell>
          <cell r="J106">
            <v>0</v>
          </cell>
          <cell r="K106">
            <v>24.24</v>
          </cell>
          <cell r="L106">
            <v>14.86</v>
          </cell>
          <cell r="M106">
            <v>0.01</v>
          </cell>
        </row>
        <row r="107">
          <cell r="A107" t="str">
            <v>GARDENLIFE</v>
          </cell>
          <cell r="B107">
            <v>2</v>
          </cell>
          <cell r="C107">
            <v>161.80000000000001</v>
          </cell>
          <cell r="D107">
            <v>80.900000000000006</v>
          </cell>
          <cell r="E107">
            <v>0</v>
          </cell>
          <cell r="F107">
            <v>0</v>
          </cell>
          <cell r="G107">
            <v>0</v>
          </cell>
          <cell r="H107">
            <v>161.80000000000001</v>
          </cell>
          <cell r="I107">
            <v>101.55</v>
          </cell>
          <cell r="J107">
            <v>0</v>
          </cell>
          <cell r="K107">
            <v>60.25</v>
          </cell>
          <cell r="L107">
            <v>37.24</v>
          </cell>
          <cell r="M107">
            <v>0.01</v>
          </cell>
        </row>
        <row r="108">
          <cell r="A108" t="str">
            <v>COMFORT DOOR</v>
          </cell>
          <cell r="B108">
            <v>3</v>
          </cell>
          <cell r="C108">
            <v>158.69999999999999</v>
          </cell>
          <cell r="D108">
            <v>22.67</v>
          </cell>
          <cell r="E108">
            <v>0</v>
          </cell>
          <cell r="F108">
            <v>0</v>
          </cell>
          <cell r="G108">
            <v>0</v>
          </cell>
          <cell r="H108">
            <v>158.69999999999999</v>
          </cell>
          <cell r="I108">
            <v>86.71</v>
          </cell>
          <cell r="J108">
            <v>0</v>
          </cell>
          <cell r="K108">
            <v>71.989999999999995</v>
          </cell>
          <cell r="L108">
            <v>45.36</v>
          </cell>
          <cell r="M108">
            <v>0.01</v>
          </cell>
        </row>
        <row r="109">
          <cell r="A109" t="str">
            <v>PRECON</v>
          </cell>
          <cell r="B109">
            <v>1</v>
          </cell>
          <cell r="C109">
            <v>149.9</v>
          </cell>
          <cell r="D109">
            <v>149.9</v>
          </cell>
          <cell r="E109">
            <v>0</v>
          </cell>
          <cell r="F109">
            <v>0</v>
          </cell>
          <cell r="G109">
            <v>0</v>
          </cell>
          <cell r="H109">
            <v>149.9</v>
          </cell>
          <cell r="I109">
            <v>96.3</v>
          </cell>
          <cell r="J109">
            <v>0</v>
          </cell>
          <cell r="K109">
            <v>53.6</v>
          </cell>
          <cell r="L109">
            <v>35.76</v>
          </cell>
          <cell r="M109">
            <v>0.01</v>
          </cell>
        </row>
        <row r="110">
          <cell r="A110" t="str">
            <v>FRANKLIN</v>
          </cell>
          <cell r="B110">
            <v>1</v>
          </cell>
          <cell r="C110">
            <v>145.80000000000001</v>
          </cell>
          <cell r="D110">
            <v>72.900000000000006</v>
          </cell>
          <cell r="E110">
            <v>0</v>
          </cell>
          <cell r="F110">
            <v>0</v>
          </cell>
          <cell r="G110">
            <v>0</v>
          </cell>
          <cell r="H110">
            <v>145.80000000000001</v>
          </cell>
          <cell r="I110">
            <v>77.94</v>
          </cell>
          <cell r="J110">
            <v>0</v>
          </cell>
          <cell r="K110">
            <v>67.86</v>
          </cell>
          <cell r="L110">
            <v>46.54</v>
          </cell>
          <cell r="M110">
            <v>0.01</v>
          </cell>
        </row>
        <row r="111">
          <cell r="A111" t="str">
            <v>EMPLAC</v>
          </cell>
          <cell r="B111">
            <v>2</v>
          </cell>
          <cell r="C111">
            <v>133.80000000000001</v>
          </cell>
          <cell r="D111">
            <v>7.43</v>
          </cell>
          <cell r="E111">
            <v>0</v>
          </cell>
          <cell r="F111">
            <v>0</v>
          </cell>
          <cell r="G111">
            <v>0</v>
          </cell>
          <cell r="H111">
            <v>133.80000000000001</v>
          </cell>
          <cell r="I111">
            <v>61.42</v>
          </cell>
          <cell r="J111">
            <v>0</v>
          </cell>
          <cell r="K111">
            <v>72.38</v>
          </cell>
          <cell r="L111">
            <v>54.1</v>
          </cell>
          <cell r="M111">
            <v>0.01</v>
          </cell>
        </row>
        <row r="112">
          <cell r="A112" t="str">
            <v>KAPAZI</v>
          </cell>
          <cell r="B112">
            <v>2</v>
          </cell>
          <cell r="C112">
            <v>108.7</v>
          </cell>
          <cell r="D112">
            <v>36.229999999999997</v>
          </cell>
          <cell r="E112">
            <v>0</v>
          </cell>
          <cell r="F112">
            <v>0</v>
          </cell>
          <cell r="G112">
            <v>0</v>
          </cell>
          <cell r="H112">
            <v>108.7</v>
          </cell>
          <cell r="I112">
            <v>66.53</v>
          </cell>
          <cell r="J112">
            <v>0</v>
          </cell>
          <cell r="K112">
            <v>42.17</v>
          </cell>
          <cell r="L112">
            <v>38.79</v>
          </cell>
          <cell r="M112">
            <v>0.01</v>
          </cell>
        </row>
        <row r="113">
          <cell r="A113" t="str">
            <v>ANJO TINTAS E SOLVENTES</v>
          </cell>
          <cell r="B113">
            <v>2</v>
          </cell>
          <cell r="C113">
            <v>96.66</v>
          </cell>
          <cell r="D113">
            <v>16.11</v>
          </cell>
          <cell r="E113">
            <v>0</v>
          </cell>
          <cell r="F113">
            <v>0</v>
          </cell>
          <cell r="G113">
            <v>0</v>
          </cell>
          <cell r="H113">
            <v>96.66</v>
          </cell>
          <cell r="I113">
            <v>65.3</v>
          </cell>
          <cell r="J113">
            <v>0</v>
          </cell>
          <cell r="K113">
            <v>31.36</v>
          </cell>
          <cell r="L113">
            <v>32.44</v>
          </cell>
          <cell r="M113">
            <v>0.01</v>
          </cell>
        </row>
        <row r="114">
          <cell r="A114" t="str">
            <v>EXTRALUZ</v>
          </cell>
          <cell r="B114">
            <v>3</v>
          </cell>
          <cell r="C114">
            <v>94.6</v>
          </cell>
          <cell r="D114">
            <v>23.65</v>
          </cell>
          <cell r="E114">
            <v>0</v>
          </cell>
          <cell r="F114">
            <v>0</v>
          </cell>
          <cell r="G114">
            <v>0</v>
          </cell>
          <cell r="H114">
            <v>94.6</v>
          </cell>
          <cell r="I114">
            <v>57.54</v>
          </cell>
          <cell r="J114">
            <v>0</v>
          </cell>
          <cell r="K114">
            <v>37.06</v>
          </cell>
          <cell r="L114">
            <v>39.18</v>
          </cell>
          <cell r="M114">
            <v>0.01</v>
          </cell>
        </row>
        <row r="115">
          <cell r="A115" t="str">
            <v xml:space="preserve"> RESISWAL</v>
          </cell>
          <cell r="B115">
            <v>2</v>
          </cell>
          <cell r="C115">
            <v>91.63</v>
          </cell>
          <cell r="D115">
            <v>45.82</v>
          </cell>
          <cell r="E115">
            <v>0</v>
          </cell>
          <cell r="F115">
            <v>0</v>
          </cell>
          <cell r="G115">
            <v>0</v>
          </cell>
          <cell r="H115">
            <v>91.63</v>
          </cell>
          <cell r="I115">
            <v>51.36</v>
          </cell>
          <cell r="J115">
            <v>0</v>
          </cell>
          <cell r="K115">
            <v>40.270000000000003</v>
          </cell>
          <cell r="L115">
            <v>43.95</v>
          </cell>
          <cell r="M115">
            <v>0.01</v>
          </cell>
        </row>
        <row r="116">
          <cell r="A116" t="str">
            <v>OVERTIME</v>
          </cell>
          <cell r="B116">
            <v>2</v>
          </cell>
          <cell r="C116">
            <v>69.7</v>
          </cell>
          <cell r="D116">
            <v>23.23</v>
          </cell>
          <cell r="E116">
            <v>0</v>
          </cell>
          <cell r="F116">
            <v>0</v>
          </cell>
          <cell r="G116">
            <v>0</v>
          </cell>
          <cell r="H116">
            <v>69.7</v>
          </cell>
          <cell r="I116">
            <v>41.74</v>
          </cell>
          <cell r="J116">
            <v>0</v>
          </cell>
          <cell r="K116">
            <v>27.96</v>
          </cell>
          <cell r="L116">
            <v>40.11</v>
          </cell>
          <cell r="M116">
            <v>0</v>
          </cell>
        </row>
        <row r="117">
          <cell r="A117" t="str">
            <v>CRIVAL</v>
          </cell>
          <cell r="B117">
            <v>1</v>
          </cell>
          <cell r="C117">
            <v>63.9</v>
          </cell>
          <cell r="D117">
            <v>63.9</v>
          </cell>
          <cell r="E117">
            <v>0</v>
          </cell>
          <cell r="F117">
            <v>0</v>
          </cell>
          <cell r="G117">
            <v>0</v>
          </cell>
          <cell r="H117">
            <v>63.9</v>
          </cell>
          <cell r="I117">
            <v>38.18</v>
          </cell>
          <cell r="J117">
            <v>0</v>
          </cell>
          <cell r="K117">
            <v>25.72</v>
          </cell>
          <cell r="L117">
            <v>40.25</v>
          </cell>
          <cell r="M117">
            <v>0</v>
          </cell>
        </row>
        <row r="118">
          <cell r="A118" t="str">
            <v>INCA</v>
          </cell>
          <cell r="B118">
            <v>3</v>
          </cell>
          <cell r="C118">
            <v>53.7</v>
          </cell>
          <cell r="D118">
            <v>3.16</v>
          </cell>
          <cell r="E118">
            <v>0</v>
          </cell>
          <cell r="F118">
            <v>0</v>
          </cell>
          <cell r="G118">
            <v>0</v>
          </cell>
          <cell r="H118">
            <v>53.7</v>
          </cell>
          <cell r="I118">
            <v>27.44</v>
          </cell>
          <cell r="J118">
            <v>0</v>
          </cell>
          <cell r="K118">
            <v>26.26</v>
          </cell>
          <cell r="L118">
            <v>48.9</v>
          </cell>
          <cell r="M118">
            <v>0</v>
          </cell>
        </row>
        <row r="119">
          <cell r="A119" t="str">
            <v>ANJO QUIMICA DO BRASIL LTDA</v>
          </cell>
          <cell r="B119">
            <v>1</v>
          </cell>
          <cell r="C119">
            <v>29.9</v>
          </cell>
          <cell r="D119">
            <v>29.9</v>
          </cell>
          <cell r="E119">
            <v>0</v>
          </cell>
          <cell r="F119">
            <v>0</v>
          </cell>
          <cell r="G119">
            <v>0</v>
          </cell>
          <cell r="H119">
            <v>29.9</v>
          </cell>
          <cell r="I119">
            <v>17.57</v>
          </cell>
          <cell r="J119">
            <v>0</v>
          </cell>
          <cell r="K119">
            <v>12.33</v>
          </cell>
          <cell r="L119">
            <v>41.24</v>
          </cell>
          <cell r="M119">
            <v>0</v>
          </cell>
        </row>
        <row r="120">
          <cell r="A120" t="str">
            <v>GABRIELLA</v>
          </cell>
          <cell r="B120">
            <v>1</v>
          </cell>
          <cell r="C120">
            <v>19.899999999999999</v>
          </cell>
          <cell r="D120">
            <v>19.899999999999999</v>
          </cell>
          <cell r="E120">
            <v>0</v>
          </cell>
          <cell r="F120">
            <v>0</v>
          </cell>
          <cell r="G120">
            <v>19.899999999999999</v>
          </cell>
          <cell r="H120">
            <v>0</v>
          </cell>
          <cell r="I120">
            <v>11.18</v>
          </cell>
          <cell r="J120">
            <v>11.18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PHILIPS ILUMINACAO LA</v>
          </cell>
          <cell r="B121">
            <v>2</v>
          </cell>
          <cell r="C121">
            <v>18.14</v>
          </cell>
          <cell r="D121">
            <v>9.07</v>
          </cell>
          <cell r="E121">
            <v>0</v>
          </cell>
          <cell r="F121">
            <v>0</v>
          </cell>
          <cell r="G121">
            <v>0</v>
          </cell>
          <cell r="H121">
            <v>18.14</v>
          </cell>
          <cell r="I121">
            <v>10.99</v>
          </cell>
          <cell r="J121">
            <v>0</v>
          </cell>
          <cell r="K121">
            <v>7.15</v>
          </cell>
          <cell r="L121">
            <v>39.42</v>
          </cell>
          <cell r="M121">
            <v>0</v>
          </cell>
        </row>
        <row r="122">
          <cell r="A122" t="str">
            <v>INJEPLAST</v>
          </cell>
          <cell r="B122">
            <v>1</v>
          </cell>
          <cell r="C122">
            <v>1.6</v>
          </cell>
          <cell r="D122">
            <v>0.4</v>
          </cell>
          <cell r="E122">
            <v>0</v>
          </cell>
          <cell r="F122">
            <v>0</v>
          </cell>
          <cell r="G122">
            <v>0</v>
          </cell>
          <cell r="H122">
            <v>1.6</v>
          </cell>
          <cell r="I122">
            <v>0.72</v>
          </cell>
          <cell r="J122">
            <v>0</v>
          </cell>
          <cell r="K122">
            <v>0.88</v>
          </cell>
          <cell r="L122">
            <v>55</v>
          </cell>
          <cell r="M122">
            <v>0</v>
          </cell>
        </row>
        <row r="123">
          <cell r="A123" t="str">
            <v>outros</v>
          </cell>
          <cell r="B123">
            <v>0</v>
          </cell>
          <cell r="C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NOV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309</v>
          </cell>
          <cell r="C2">
            <v>308267.57439999998</v>
          </cell>
          <cell r="D2">
            <v>28.91</v>
          </cell>
          <cell r="E2">
            <v>0</v>
          </cell>
          <cell r="F2">
            <v>0</v>
          </cell>
          <cell r="G2">
            <v>7463.5716000000002</v>
          </cell>
          <cell r="H2">
            <v>300804.00280000002</v>
          </cell>
          <cell r="I2">
            <v>197185.0877</v>
          </cell>
          <cell r="J2">
            <v>4726.2604000000001</v>
          </cell>
          <cell r="K2">
            <v>108345.1755</v>
          </cell>
          <cell r="L2">
            <v>35.69</v>
          </cell>
          <cell r="M2">
            <v>16.39</v>
          </cell>
        </row>
        <row r="3">
          <cell r="A3" t="str">
            <v>IQUINE</v>
          </cell>
          <cell r="B3">
            <v>122</v>
          </cell>
          <cell r="C3">
            <v>166137.51019999999</v>
          </cell>
          <cell r="D3">
            <v>19.190000000000001</v>
          </cell>
          <cell r="E3">
            <v>0</v>
          </cell>
          <cell r="F3">
            <v>0</v>
          </cell>
          <cell r="G3">
            <v>1848.3088</v>
          </cell>
          <cell r="H3">
            <v>164289.20139999999</v>
          </cell>
          <cell r="I3">
            <v>98274.292600000001</v>
          </cell>
          <cell r="J3">
            <v>1094.4867999999999</v>
          </cell>
          <cell r="K3">
            <v>67109.395600000003</v>
          </cell>
          <cell r="L3">
            <v>40.659999999999997</v>
          </cell>
          <cell r="M3">
            <v>8.83</v>
          </cell>
        </row>
        <row r="4">
          <cell r="A4" t="str">
            <v>POINTER</v>
          </cell>
          <cell r="B4">
            <v>174</v>
          </cell>
          <cell r="C4">
            <v>153604.3474</v>
          </cell>
          <cell r="D4">
            <v>35.979999999999997</v>
          </cell>
          <cell r="E4">
            <v>0</v>
          </cell>
          <cell r="F4">
            <v>0</v>
          </cell>
          <cell r="G4">
            <v>771.90300000000002</v>
          </cell>
          <cell r="H4">
            <v>152832.44440000001</v>
          </cell>
          <cell r="I4">
            <v>97122.547999999995</v>
          </cell>
          <cell r="J4">
            <v>507.72039999999998</v>
          </cell>
          <cell r="K4">
            <v>56217.616800000003</v>
          </cell>
          <cell r="L4">
            <v>36.72</v>
          </cell>
          <cell r="M4">
            <v>8.17</v>
          </cell>
        </row>
        <row r="5">
          <cell r="A5" t="str">
            <v>INCENOR</v>
          </cell>
          <cell r="B5">
            <v>141</v>
          </cell>
          <cell r="C5">
            <v>151349.7127</v>
          </cell>
          <cell r="D5">
            <v>35.020000000000003</v>
          </cell>
          <cell r="E5">
            <v>0</v>
          </cell>
          <cell r="F5">
            <v>0</v>
          </cell>
          <cell r="G5">
            <v>9840.9544000000005</v>
          </cell>
          <cell r="H5">
            <v>141508.75829999999</v>
          </cell>
          <cell r="I5">
            <v>95954.354500000001</v>
          </cell>
          <cell r="J5">
            <v>6249.0178999999998</v>
          </cell>
          <cell r="K5">
            <v>51803.421699999999</v>
          </cell>
          <cell r="L5">
            <v>35.700000000000003</v>
          </cell>
          <cell r="M5">
            <v>8.0500000000000007</v>
          </cell>
        </row>
        <row r="6">
          <cell r="A6" t="str">
            <v>MEGAÓ</v>
          </cell>
          <cell r="B6">
            <v>129</v>
          </cell>
          <cell r="C6">
            <v>150918.48000000001</v>
          </cell>
          <cell r="D6">
            <v>60.56</v>
          </cell>
          <cell r="E6">
            <v>0</v>
          </cell>
          <cell r="F6">
            <v>0</v>
          </cell>
          <cell r="G6">
            <v>1998.23</v>
          </cell>
          <cell r="H6">
            <v>148920.25</v>
          </cell>
          <cell r="I6">
            <v>90359.81</v>
          </cell>
          <cell r="J6">
            <v>1177.31</v>
          </cell>
          <cell r="K6">
            <v>59737.75</v>
          </cell>
          <cell r="L6">
            <v>39.89</v>
          </cell>
          <cell r="M6">
            <v>8.02</v>
          </cell>
        </row>
        <row r="7">
          <cell r="A7" t="str">
            <v>DO MESTRE</v>
          </cell>
          <cell r="B7">
            <v>373</v>
          </cell>
          <cell r="C7">
            <v>128202.55</v>
          </cell>
          <cell r="D7">
            <v>20.48</v>
          </cell>
          <cell r="E7">
            <v>0</v>
          </cell>
          <cell r="F7">
            <v>0</v>
          </cell>
          <cell r="G7">
            <v>4482.75</v>
          </cell>
          <cell r="H7">
            <v>123719.8</v>
          </cell>
          <cell r="I7">
            <v>79362.67</v>
          </cell>
          <cell r="J7">
            <v>2851.07</v>
          </cell>
          <cell r="K7">
            <v>47208.2</v>
          </cell>
          <cell r="L7">
            <v>37.659999999999997</v>
          </cell>
          <cell r="M7">
            <v>6.82</v>
          </cell>
        </row>
        <row r="8">
          <cell r="A8" t="str">
            <v>WEBER QUARTZOLIT</v>
          </cell>
          <cell r="B8">
            <v>155</v>
          </cell>
          <cell r="C8">
            <v>59066.11</v>
          </cell>
          <cell r="D8">
            <v>29.67</v>
          </cell>
          <cell r="E8">
            <v>0</v>
          </cell>
          <cell r="F8">
            <v>0</v>
          </cell>
          <cell r="G8">
            <v>990.19</v>
          </cell>
          <cell r="H8">
            <v>58075.92</v>
          </cell>
          <cell r="I8">
            <v>38286.660000000003</v>
          </cell>
          <cell r="J8">
            <v>628.41999999999996</v>
          </cell>
          <cell r="K8">
            <v>20417.68</v>
          </cell>
          <cell r="L8">
            <v>34.94</v>
          </cell>
          <cell r="M8">
            <v>3.14</v>
          </cell>
        </row>
        <row r="9">
          <cell r="A9" t="str">
            <v>QUALITY</v>
          </cell>
          <cell r="B9">
            <v>71</v>
          </cell>
          <cell r="C9">
            <v>53718.98</v>
          </cell>
          <cell r="D9">
            <v>232.55</v>
          </cell>
          <cell r="E9">
            <v>0</v>
          </cell>
          <cell r="F9">
            <v>0</v>
          </cell>
          <cell r="G9">
            <v>2947.86</v>
          </cell>
          <cell r="H9">
            <v>50771.12</v>
          </cell>
          <cell r="I9">
            <v>33354.080000000002</v>
          </cell>
          <cell r="J9">
            <v>1853.97</v>
          </cell>
          <cell r="K9">
            <v>19271.009999999998</v>
          </cell>
          <cell r="L9">
            <v>37.159999999999997</v>
          </cell>
          <cell r="M9">
            <v>2.86</v>
          </cell>
        </row>
        <row r="10">
          <cell r="A10" t="str">
            <v>ROCA</v>
          </cell>
          <cell r="B10">
            <v>87</v>
          </cell>
          <cell r="C10">
            <v>52365.68</v>
          </cell>
          <cell r="D10">
            <v>147.93</v>
          </cell>
          <cell r="E10">
            <v>0</v>
          </cell>
          <cell r="F10">
            <v>0</v>
          </cell>
          <cell r="G10">
            <v>2325.17</v>
          </cell>
          <cell r="H10">
            <v>50040.51</v>
          </cell>
          <cell r="I10">
            <v>35546.400000000001</v>
          </cell>
          <cell r="J10">
            <v>1661.95</v>
          </cell>
          <cell r="K10">
            <v>16156.06</v>
          </cell>
          <cell r="L10">
            <v>31.86</v>
          </cell>
          <cell r="M10">
            <v>2.78</v>
          </cell>
        </row>
        <row r="11">
          <cell r="A11" t="str">
            <v>FORTLEV</v>
          </cell>
          <cell r="B11">
            <v>78</v>
          </cell>
          <cell r="C11">
            <v>50531.27</v>
          </cell>
          <cell r="D11">
            <v>18.28</v>
          </cell>
          <cell r="E11">
            <v>0</v>
          </cell>
          <cell r="F11">
            <v>0</v>
          </cell>
          <cell r="G11">
            <v>1251.58</v>
          </cell>
          <cell r="H11">
            <v>49279.69</v>
          </cell>
          <cell r="I11">
            <v>34792.129999999997</v>
          </cell>
          <cell r="J11">
            <v>902.73</v>
          </cell>
          <cell r="K11">
            <v>15390.29</v>
          </cell>
          <cell r="L11">
            <v>31.01</v>
          </cell>
          <cell r="M11">
            <v>2.69</v>
          </cell>
        </row>
        <row r="12">
          <cell r="A12" t="str">
            <v>TECNOGRES</v>
          </cell>
          <cell r="B12">
            <v>29</v>
          </cell>
          <cell r="C12">
            <v>47839.379800000002</v>
          </cell>
          <cell r="D12">
            <v>67.55</v>
          </cell>
          <cell r="E12">
            <v>0</v>
          </cell>
          <cell r="F12">
            <v>0</v>
          </cell>
          <cell r="G12">
            <v>0</v>
          </cell>
          <cell r="H12">
            <v>47839.379800000002</v>
          </cell>
          <cell r="I12">
            <v>29921.441299999999</v>
          </cell>
          <cell r="J12">
            <v>0</v>
          </cell>
          <cell r="K12">
            <v>17917.9385</v>
          </cell>
          <cell r="L12">
            <v>37.450000000000003</v>
          </cell>
          <cell r="M12">
            <v>2.54</v>
          </cell>
        </row>
        <row r="13">
          <cell r="A13" t="str">
            <v>CERBRAS</v>
          </cell>
          <cell r="B13">
            <v>37</v>
          </cell>
          <cell r="C13">
            <v>41040.306799999998</v>
          </cell>
          <cell r="D13">
            <v>38.020000000000003</v>
          </cell>
          <cell r="E13">
            <v>0</v>
          </cell>
          <cell r="F13">
            <v>0</v>
          </cell>
          <cell r="G13">
            <v>449.19</v>
          </cell>
          <cell r="H13">
            <v>40591.116800000003</v>
          </cell>
          <cell r="I13">
            <v>26987.1728</v>
          </cell>
          <cell r="J13">
            <v>289.8</v>
          </cell>
          <cell r="K13">
            <v>13893.744000000001</v>
          </cell>
          <cell r="L13">
            <v>34.090000000000003</v>
          </cell>
          <cell r="M13">
            <v>2.1800000000000002</v>
          </cell>
        </row>
        <row r="14">
          <cell r="A14" t="str">
            <v>PAMESA</v>
          </cell>
          <cell r="B14">
            <v>55</v>
          </cell>
          <cell r="C14">
            <v>38331.322399999997</v>
          </cell>
          <cell r="D14">
            <v>29.23</v>
          </cell>
          <cell r="E14">
            <v>0</v>
          </cell>
          <cell r="F14">
            <v>0</v>
          </cell>
          <cell r="G14">
            <v>352.82</v>
          </cell>
          <cell r="H14">
            <v>37978.502399999998</v>
          </cell>
          <cell r="I14">
            <v>25260.787199999999</v>
          </cell>
          <cell r="J14">
            <v>227.7636</v>
          </cell>
          <cell r="K14">
            <v>12945.478800000001</v>
          </cell>
          <cell r="L14">
            <v>33.97</v>
          </cell>
          <cell r="M14">
            <v>2.04</v>
          </cell>
        </row>
        <row r="15">
          <cell r="A15" t="str">
            <v>ETERNIT</v>
          </cell>
          <cell r="B15">
            <v>32</v>
          </cell>
          <cell r="C15">
            <v>37931.54</v>
          </cell>
          <cell r="D15">
            <v>65.290000000000006</v>
          </cell>
          <cell r="E15">
            <v>0</v>
          </cell>
          <cell r="F15">
            <v>0</v>
          </cell>
          <cell r="G15">
            <v>1589.4</v>
          </cell>
          <cell r="H15">
            <v>36342.14</v>
          </cell>
          <cell r="I15">
            <v>28736.75</v>
          </cell>
          <cell r="J15">
            <v>1193.93</v>
          </cell>
          <cell r="K15">
            <v>8799.32</v>
          </cell>
          <cell r="L15">
            <v>23.95</v>
          </cell>
          <cell r="M15">
            <v>2.02</v>
          </cell>
        </row>
        <row r="16">
          <cell r="A16" t="str">
            <v>ATLAS</v>
          </cell>
          <cell r="B16">
            <v>115</v>
          </cell>
          <cell r="C16">
            <v>37517.279999999999</v>
          </cell>
          <cell r="D16">
            <v>16.09</v>
          </cell>
          <cell r="E16">
            <v>0</v>
          </cell>
          <cell r="F16">
            <v>0</v>
          </cell>
          <cell r="G16">
            <v>203.1</v>
          </cell>
          <cell r="H16">
            <v>37314.18</v>
          </cell>
          <cell r="I16">
            <v>20935.89</v>
          </cell>
          <cell r="J16">
            <v>112.95</v>
          </cell>
          <cell r="K16">
            <v>16491.240000000002</v>
          </cell>
          <cell r="L16">
            <v>44.09</v>
          </cell>
          <cell r="M16">
            <v>1.99</v>
          </cell>
        </row>
        <row r="17">
          <cell r="A17" t="str">
            <v>CARMELO FIOR</v>
          </cell>
          <cell r="B17">
            <v>25</v>
          </cell>
          <cell r="C17">
            <v>24280.916000000001</v>
          </cell>
          <cell r="D17">
            <v>63.9</v>
          </cell>
          <cell r="E17">
            <v>0</v>
          </cell>
          <cell r="F17">
            <v>0</v>
          </cell>
          <cell r="G17">
            <v>2427.2600000000002</v>
          </cell>
          <cell r="H17">
            <v>21853.655999999999</v>
          </cell>
          <cell r="I17">
            <v>7995.95</v>
          </cell>
          <cell r="J17">
            <v>812.87800000000004</v>
          </cell>
          <cell r="K17">
            <v>14670.584000000001</v>
          </cell>
          <cell r="L17">
            <v>62.51</v>
          </cell>
          <cell r="M17">
            <v>1.29</v>
          </cell>
        </row>
        <row r="18">
          <cell r="A18" t="str">
            <v>GHEL'PLUS</v>
          </cell>
          <cell r="B18">
            <v>39</v>
          </cell>
          <cell r="C18">
            <v>22914.78</v>
          </cell>
          <cell r="D18">
            <v>125.22</v>
          </cell>
          <cell r="E18">
            <v>0</v>
          </cell>
          <cell r="F18">
            <v>0</v>
          </cell>
          <cell r="G18">
            <v>1713.3</v>
          </cell>
          <cell r="H18">
            <v>21201.48</v>
          </cell>
          <cell r="I18">
            <v>14644.91</v>
          </cell>
          <cell r="J18">
            <v>1114.05</v>
          </cell>
          <cell r="K18">
            <v>7670.62</v>
          </cell>
          <cell r="L18">
            <v>35.19</v>
          </cell>
          <cell r="M18">
            <v>1.22</v>
          </cell>
        </row>
        <row r="19">
          <cell r="A19" t="str">
            <v>COBRECOM</v>
          </cell>
          <cell r="B19">
            <v>18</v>
          </cell>
          <cell r="C19">
            <v>21610.12</v>
          </cell>
          <cell r="D19">
            <v>139.41999999999999</v>
          </cell>
          <cell r="E19">
            <v>0</v>
          </cell>
          <cell r="F19">
            <v>0</v>
          </cell>
          <cell r="G19">
            <v>686.7</v>
          </cell>
          <cell r="H19">
            <v>20923.419999999998</v>
          </cell>
          <cell r="I19">
            <v>14970.45</v>
          </cell>
          <cell r="J19">
            <v>456.46</v>
          </cell>
          <cell r="K19">
            <v>6409.43</v>
          </cell>
          <cell r="L19">
            <v>30.3</v>
          </cell>
          <cell r="M19">
            <v>1.1499999999999999</v>
          </cell>
        </row>
        <row r="20">
          <cell r="A20" t="str">
            <v>MGM</v>
          </cell>
          <cell r="B20">
            <v>24</v>
          </cell>
          <cell r="C20">
            <v>17175.27</v>
          </cell>
          <cell r="D20">
            <v>440.39</v>
          </cell>
          <cell r="E20">
            <v>0</v>
          </cell>
          <cell r="F20">
            <v>0</v>
          </cell>
          <cell r="G20">
            <v>2005.81</v>
          </cell>
          <cell r="H20">
            <v>15169.46</v>
          </cell>
          <cell r="I20">
            <v>10309.56</v>
          </cell>
          <cell r="J20">
            <v>1085.78</v>
          </cell>
          <cell r="K20">
            <v>5945.68</v>
          </cell>
          <cell r="L20">
            <v>36.950000000000003</v>
          </cell>
          <cell r="M20">
            <v>0.91</v>
          </cell>
        </row>
        <row r="21">
          <cell r="A21" t="str">
            <v>MEC-TRONIC</v>
          </cell>
          <cell r="B21">
            <v>38</v>
          </cell>
          <cell r="C21">
            <v>15097.3</v>
          </cell>
          <cell r="D21">
            <v>11.33</v>
          </cell>
          <cell r="E21">
            <v>0</v>
          </cell>
          <cell r="F21">
            <v>0</v>
          </cell>
          <cell r="G21">
            <v>89.63</v>
          </cell>
          <cell r="H21">
            <v>15007.67</v>
          </cell>
          <cell r="I21">
            <v>7652.57</v>
          </cell>
          <cell r="J21">
            <v>50</v>
          </cell>
          <cell r="K21">
            <v>7405.1</v>
          </cell>
          <cell r="L21">
            <v>49.21</v>
          </cell>
          <cell r="M21">
            <v>0.8</v>
          </cell>
        </row>
        <row r="22">
          <cell r="A22" t="str">
            <v>Perfilplast Industria e Comerc</v>
          </cell>
          <cell r="B22">
            <v>24</v>
          </cell>
          <cell r="C22">
            <v>14912.332</v>
          </cell>
          <cell r="D22">
            <v>63.35</v>
          </cell>
          <cell r="E22">
            <v>0</v>
          </cell>
          <cell r="F22">
            <v>0</v>
          </cell>
          <cell r="G22">
            <v>569.4</v>
          </cell>
          <cell r="H22">
            <v>14342.932000000001</v>
          </cell>
          <cell r="I22">
            <v>9558.0480000000007</v>
          </cell>
          <cell r="J22">
            <v>364.66</v>
          </cell>
          <cell r="K22">
            <v>5149.5439999999999</v>
          </cell>
          <cell r="L22">
            <v>35.4</v>
          </cell>
          <cell r="M22">
            <v>0.79</v>
          </cell>
        </row>
        <row r="23">
          <cell r="A23" t="str">
            <v>NITROLUX</v>
          </cell>
          <cell r="B23">
            <v>19</v>
          </cell>
          <cell r="C23">
            <v>14362.6</v>
          </cell>
          <cell r="D23">
            <v>27.36</v>
          </cell>
          <cell r="E23">
            <v>0</v>
          </cell>
          <cell r="F23">
            <v>0</v>
          </cell>
          <cell r="G23">
            <v>90.76</v>
          </cell>
          <cell r="H23">
            <v>14271.84</v>
          </cell>
          <cell r="I23">
            <v>7827.85</v>
          </cell>
          <cell r="J23">
            <v>55.82</v>
          </cell>
          <cell r="K23">
            <v>6499.81</v>
          </cell>
          <cell r="L23">
            <v>45.43</v>
          </cell>
          <cell r="M23">
            <v>0.76</v>
          </cell>
        </row>
        <row r="24">
          <cell r="A24" t="str">
            <v>PORTO RICO</v>
          </cell>
          <cell r="B24">
            <v>22</v>
          </cell>
          <cell r="C24">
            <v>13649.48</v>
          </cell>
          <cell r="D24">
            <v>28.44</v>
          </cell>
          <cell r="E24">
            <v>0</v>
          </cell>
          <cell r="F24">
            <v>0</v>
          </cell>
          <cell r="G24">
            <v>168.18</v>
          </cell>
          <cell r="H24">
            <v>13481.3</v>
          </cell>
          <cell r="I24">
            <v>8038.78</v>
          </cell>
          <cell r="J24">
            <v>96.3</v>
          </cell>
          <cell r="K24">
            <v>5538.82</v>
          </cell>
          <cell r="L24">
            <v>40.869999999999997</v>
          </cell>
          <cell r="M24">
            <v>0.73</v>
          </cell>
        </row>
        <row r="25">
          <cell r="A25" t="str">
            <v>BLACK DECKER</v>
          </cell>
          <cell r="B25">
            <v>30</v>
          </cell>
          <cell r="C25">
            <v>12811.14</v>
          </cell>
          <cell r="D25">
            <v>42.56</v>
          </cell>
          <cell r="E25">
            <v>0</v>
          </cell>
          <cell r="F25">
            <v>0</v>
          </cell>
          <cell r="G25">
            <v>156.08000000000001</v>
          </cell>
          <cell r="H25">
            <v>12655.06</v>
          </cell>
          <cell r="I25">
            <v>7911.84</v>
          </cell>
          <cell r="J25">
            <v>87.6</v>
          </cell>
          <cell r="K25">
            <v>4830.82</v>
          </cell>
          <cell r="L25">
            <v>37.97</v>
          </cell>
          <cell r="M25">
            <v>0.68</v>
          </cell>
        </row>
        <row r="26">
          <cell r="A26" t="str">
            <v>INTECH MACHINE</v>
          </cell>
          <cell r="B26">
            <v>19</v>
          </cell>
          <cell r="C26">
            <v>12340.02</v>
          </cell>
          <cell r="D26">
            <v>202.3</v>
          </cell>
          <cell r="E26">
            <v>0</v>
          </cell>
          <cell r="F26">
            <v>0</v>
          </cell>
          <cell r="G26">
            <v>169</v>
          </cell>
          <cell r="H26">
            <v>12171.02</v>
          </cell>
          <cell r="I26">
            <v>7867.21</v>
          </cell>
          <cell r="J26">
            <v>111.12</v>
          </cell>
          <cell r="K26">
            <v>4414.93</v>
          </cell>
          <cell r="L26">
            <v>36.1</v>
          </cell>
          <cell r="M26">
            <v>0.66</v>
          </cell>
        </row>
        <row r="27">
          <cell r="A27" t="str">
            <v>REALLE</v>
          </cell>
          <cell r="B27">
            <v>11</v>
          </cell>
          <cell r="C27">
            <v>10230.353999999999</v>
          </cell>
          <cell r="D27">
            <v>34.14</v>
          </cell>
          <cell r="E27">
            <v>0</v>
          </cell>
          <cell r="F27">
            <v>0</v>
          </cell>
          <cell r="G27">
            <v>0</v>
          </cell>
          <cell r="H27">
            <v>10230.353999999999</v>
          </cell>
          <cell r="I27">
            <v>6493.3649999999998</v>
          </cell>
          <cell r="J27">
            <v>0</v>
          </cell>
          <cell r="K27">
            <v>3736.989</v>
          </cell>
          <cell r="L27">
            <v>36.53</v>
          </cell>
          <cell r="M27">
            <v>0.54</v>
          </cell>
        </row>
        <row r="28">
          <cell r="A28" t="str">
            <v>GRANPLAST</v>
          </cell>
          <cell r="B28">
            <v>41</v>
          </cell>
          <cell r="C28">
            <v>10055.26</v>
          </cell>
          <cell r="D28">
            <v>16.239999999999998</v>
          </cell>
          <cell r="E28">
            <v>0</v>
          </cell>
          <cell r="F28">
            <v>0</v>
          </cell>
          <cell r="G28">
            <v>111.1</v>
          </cell>
          <cell r="H28">
            <v>9944.16</v>
          </cell>
          <cell r="I28">
            <v>5713.71</v>
          </cell>
          <cell r="J28">
            <v>63.98</v>
          </cell>
          <cell r="K28">
            <v>4294.43</v>
          </cell>
          <cell r="L28">
            <v>42.98</v>
          </cell>
          <cell r="M28">
            <v>0.53</v>
          </cell>
        </row>
        <row r="29">
          <cell r="A29" t="str">
            <v>MULT MIX IMPORTADORA</v>
          </cell>
          <cell r="B29">
            <v>43</v>
          </cell>
          <cell r="C29">
            <v>10003.86</v>
          </cell>
          <cell r="D29">
            <v>17.489999999999998</v>
          </cell>
          <cell r="E29">
            <v>0</v>
          </cell>
          <cell r="F29">
            <v>0</v>
          </cell>
          <cell r="G29">
            <v>0</v>
          </cell>
          <cell r="H29">
            <v>10003.86</v>
          </cell>
          <cell r="I29">
            <v>5341</v>
          </cell>
          <cell r="J29">
            <v>0</v>
          </cell>
          <cell r="K29">
            <v>4662.8599999999997</v>
          </cell>
          <cell r="L29">
            <v>46.61</v>
          </cell>
          <cell r="M29">
            <v>0.53</v>
          </cell>
        </row>
        <row r="30">
          <cell r="A30" t="str">
            <v>ANAUGER</v>
          </cell>
          <cell r="B30">
            <v>14</v>
          </cell>
          <cell r="C30">
            <v>9770.2000000000007</v>
          </cell>
          <cell r="D30">
            <v>361.86</v>
          </cell>
          <cell r="E30">
            <v>0</v>
          </cell>
          <cell r="F30">
            <v>0</v>
          </cell>
          <cell r="G30">
            <v>572.20000000000005</v>
          </cell>
          <cell r="H30">
            <v>9198</v>
          </cell>
          <cell r="I30">
            <v>6698.87</v>
          </cell>
          <cell r="J30">
            <v>411.64</v>
          </cell>
          <cell r="K30">
            <v>2910.77</v>
          </cell>
          <cell r="L30">
            <v>31.1</v>
          </cell>
          <cell r="M30">
            <v>0.52</v>
          </cell>
        </row>
        <row r="31">
          <cell r="A31" t="str">
            <v>AVANT</v>
          </cell>
          <cell r="B31">
            <v>26</v>
          </cell>
          <cell r="C31">
            <v>9559.44</v>
          </cell>
          <cell r="D31">
            <v>23.43</v>
          </cell>
          <cell r="E31">
            <v>0</v>
          </cell>
          <cell r="F31">
            <v>0</v>
          </cell>
          <cell r="G31">
            <v>180.4</v>
          </cell>
          <cell r="H31">
            <v>9379.0400000000009</v>
          </cell>
          <cell r="I31">
            <v>4988.16</v>
          </cell>
          <cell r="J31">
            <v>97.99</v>
          </cell>
          <cell r="K31">
            <v>4488.87</v>
          </cell>
          <cell r="L31">
            <v>47.44</v>
          </cell>
          <cell r="M31">
            <v>0.51</v>
          </cell>
        </row>
        <row r="32">
          <cell r="A32" t="str">
            <v>LORENZETTI</v>
          </cell>
          <cell r="B32">
            <v>25</v>
          </cell>
          <cell r="C32">
            <v>9074.6299999999992</v>
          </cell>
          <cell r="D32">
            <v>75.62</v>
          </cell>
          <cell r="E32">
            <v>0</v>
          </cell>
          <cell r="F32">
            <v>0</v>
          </cell>
          <cell r="G32">
            <v>89.9</v>
          </cell>
          <cell r="H32">
            <v>8984.73</v>
          </cell>
          <cell r="I32">
            <v>5733.55</v>
          </cell>
          <cell r="J32">
            <v>67.08</v>
          </cell>
          <cell r="K32">
            <v>3318.26</v>
          </cell>
          <cell r="L32">
            <v>36.840000000000003</v>
          </cell>
          <cell r="M32">
            <v>0.48</v>
          </cell>
        </row>
        <row r="33">
          <cell r="A33" t="str">
            <v>METALURGICA MOR S/A</v>
          </cell>
          <cell r="B33">
            <v>10</v>
          </cell>
          <cell r="C33">
            <v>8832.26</v>
          </cell>
          <cell r="D33">
            <v>92.97</v>
          </cell>
          <cell r="E33">
            <v>0</v>
          </cell>
          <cell r="F33">
            <v>0</v>
          </cell>
          <cell r="G33">
            <v>0</v>
          </cell>
          <cell r="H33">
            <v>8832.26</v>
          </cell>
          <cell r="I33">
            <v>5286.48</v>
          </cell>
          <cell r="J33">
            <v>0</v>
          </cell>
          <cell r="K33">
            <v>3545.78</v>
          </cell>
          <cell r="L33">
            <v>40.15</v>
          </cell>
          <cell r="M33">
            <v>0.47</v>
          </cell>
        </row>
        <row r="34">
          <cell r="A34" t="str">
            <v>VIQUA</v>
          </cell>
          <cell r="B34">
            <v>42</v>
          </cell>
          <cell r="C34">
            <v>8705.32</v>
          </cell>
          <cell r="D34">
            <v>36.270000000000003</v>
          </cell>
          <cell r="E34">
            <v>0</v>
          </cell>
          <cell r="F34">
            <v>0</v>
          </cell>
          <cell r="G34">
            <v>282.8</v>
          </cell>
          <cell r="H34">
            <v>8422.52</v>
          </cell>
          <cell r="I34">
            <v>5279.98</v>
          </cell>
          <cell r="J34">
            <v>175.31</v>
          </cell>
          <cell r="K34">
            <v>3317.85</v>
          </cell>
          <cell r="L34">
            <v>38.9</v>
          </cell>
          <cell r="M34">
            <v>0.46</v>
          </cell>
        </row>
        <row r="35">
          <cell r="A35" t="str">
            <v>METAIS LEAO</v>
          </cell>
          <cell r="B35">
            <v>32</v>
          </cell>
          <cell r="C35">
            <v>8341.77</v>
          </cell>
          <cell r="D35">
            <v>75.150000000000006</v>
          </cell>
          <cell r="E35">
            <v>0</v>
          </cell>
          <cell r="F35">
            <v>0</v>
          </cell>
          <cell r="G35">
            <v>385.5</v>
          </cell>
          <cell r="H35">
            <v>7956.27</v>
          </cell>
          <cell r="I35">
            <v>4993.0200000000004</v>
          </cell>
          <cell r="J35">
            <v>224.15</v>
          </cell>
          <cell r="K35">
            <v>3187.4</v>
          </cell>
          <cell r="L35">
            <v>39.270000000000003</v>
          </cell>
          <cell r="M35">
            <v>0.44</v>
          </cell>
        </row>
        <row r="36">
          <cell r="A36" t="str">
            <v>SILVANA</v>
          </cell>
          <cell r="B36">
            <v>19</v>
          </cell>
          <cell r="C36">
            <v>6671.06</v>
          </cell>
          <cell r="D36">
            <v>28.88</v>
          </cell>
          <cell r="E36">
            <v>0</v>
          </cell>
          <cell r="F36">
            <v>0</v>
          </cell>
          <cell r="G36">
            <v>214.7</v>
          </cell>
          <cell r="H36">
            <v>6456.36</v>
          </cell>
          <cell r="I36">
            <v>3862.45</v>
          </cell>
          <cell r="J36">
            <v>124.02</v>
          </cell>
          <cell r="K36">
            <v>2717.93</v>
          </cell>
          <cell r="L36">
            <v>41.51</v>
          </cell>
          <cell r="M36">
            <v>0.35</v>
          </cell>
        </row>
        <row r="37">
          <cell r="A37" t="str">
            <v>ELIZABETH PORC.</v>
          </cell>
          <cell r="B37">
            <v>7</v>
          </cell>
          <cell r="C37">
            <v>6267.5861999999997</v>
          </cell>
          <cell r="D37">
            <v>58.71</v>
          </cell>
          <cell r="E37">
            <v>0</v>
          </cell>
          <cell r="F37">
            <v>0</v>
          </cell>
          <cell r="G37">
            <v>0</v>
          </cell>
          <cell r="H37">
            <v>6267.5861999999997</v>
          </cell>
          <cell r="I37">
            <v>3902.2937999999999</v>
          </cell>
          <cell r="J37">
            <v>0</v>
          </cell>
          <cell r="K37">
            <v>2365.2923999999998</v>
          </cell>
          <cell r="L37">
            <v>37.74</v>
          </cell>
          <cell r="M37">
            <v>0.33</v>
          </cell>
        </row>
        <row r="38">
          <cell r="A38" t="str">
            <v>BLUKIT</v>
          </cell>
          <cell r="B38">
            <v>67</v>
          </cell>
          <cell r="C38">
            <v>6107.62</v>
          </cell>
          <cell r="D38">
            <v>17.7</v>
          </cell>
          <cell r="E38">
            <v>0</v>
          </cell>
          <cell r="F38">
            <v>0</v>
          </cell>
          <cell r="G38">
            <v>233.1</v>
          </cell>
          <cell r="H38">
            <v>5874.52</v>
          </cell>
          <cell r="I38">
            <v>3875.05</v>
          </cell>
          <cell r="J38">
            <v>155.94</v>
          </cell>
          <cell r="K38">
            <v>2155.41</v>
          </cell>
          <cell r="L38">
            <v>36.22</v>
          </cell>
          <cell r="M38">
            <v>0.32</v>
          </cell>
        </row>
        <row r="39">
          <cell r="A39" t="str">
            <v>DOCOL METAIS</v>
          </cell>
          <cell r="B39">
            <v>14</v>
          </cell>
          <cell r="C39">
            <v>5950.8</v>
          </cell>
          <cell r="D39">
            <v>87.51</v>
          </cell>
          <cell r="E39">
            <v>0</v>
          </cell>
          <cell r="F39">
            <v>0</v>
          </cell>
          <cell r="G39">
            <v>76.8</v>
          </cell>
          <cell r="H39">
            <v>5874</v>
          </cell>
          <cell r="I39">
            <v>3445.44</v>
          </cell>
          <cell r="J39">
            <v>44.48</v>
          </cell>
          <cell r="K39">
            <v>2473.04</v>
          </cell>
          <cell r="L39">
            <v>41.87</v>
          </cell>
          <cell r="M39">
            <v>0.32</v>
          </cell>
        </row>
        <row r="40">
          <cell r="A40" t="str">
            <v>NORTON</v>
          </cell>
          <cell r="B40">
            <v>49</v>
          </cell>
          <cell r="C40">
            <v>5672.8</v>
          </cell>
          <cell r="D40">
            <v>3.12</v>
          </cell>
          <cell r="E40">
            <v>0</v>
          </cell>
          <cell r="F40">
            <v>0</v>
          </cell>
          <cell r="G40">
            <v>7.8</v>
          </cell>
          <cell r="H40">
            <v>5665</v>
          </cell>
          <cell r="I40">
            <v>2954.21</v>
          </cell>
          <cell r="J40">
            <v>4.3600000000000003</v>
          </cell>
          <cell r="K40">
            <v>2715.15</v>
          </cell>
          <cell r="L40">
            <v>47.9</v>
          </cell>
          <cell r="M40">
            <v>0.3</v>
          </cell>
        </row>
        <row r="41">
          <cell r="A41" t="str">
            <v>LUCONI</v>
          </cell>
          <cell r="B41">
            <v>66</v>
          </cell>
          <cell r="C41">
            <v>5608.56</v>
          </cell>
          <cell r="D41">
            <v>10.14</v>
          </cell>
          <cell r="E41">
            <v>0</v>
          </cell>
          <cell r="F41">
            <v>0</v>
          </cell>
          <cell r="G41">
            <v>91.5</v>
          </cell>
          <cell r="H41">
            <v>5517.06</v>
          </cell>
          <cell r="I41">
            <v>2675.22</v>
          </cell>
          <cell r="J41">
            <v>39.78</v>
          </cell>
          <cell r="K41">
            <v>2881.62</v>
          </cell>
          <cell r="L41">
            <v>51.75</v>
          </cell>
          <cell r="M41">
            <v>0.3</v>
          </cell>
        </row>
        <row r="42">
          <cell r="A42" t="str">
            <v>BELLA PIA</v>
          </cell>
          <cell r="B42">
            <v>13</v>
          </cell>
          <cell r="C42">
            <v>5568.25</v>
          </cell>
          <cell r="D42">
            <v>214.16</v>
          </cell>
          <cell r="E42">
            <v>0</v>
          </cell>
          <cell r="F42">
            <v>0</v>
          </cell>
          <cell r="G42">
            <v>0</v>
          </cell>
          <cell r="H42">
            <v>5568.25</v>
          </cell>
          <cell r="I42">
            <v>3490.69</v>
          </cell>
          <cell r="J42">
            <v>0</v>
          </cell>
          <cell r="K42">
            <v>2077.56</v>
          </cell>
          <cell r="L42">
            <v>37.31</v>
          </cell>
          <cell r="M42">
            <v>0.3</v>
          </cell>
        </row>
        <row r="43">
          <cell r="A43" t="str">
            <v>PLASTMAR IND E COM</v>
          </cell>
          <cell r="B43">
            <v>10</v>
          </cell>
          <cell r="C43">
            <v>5411.19</v>
          </cell>
          <cell r="D43">
            <v>59.46</v>
          </cell>
          <cell r="E43">
            <v>0</v>
          </cell>
          <cell r="F43">
            <v>0</v>
          </cell>
          <cell r="G43">
            <v>0</v>
          </cell>
          <cell r="H43">
            <v>5411.19</v>
          </cell>
          <cell r="I43">
            <v>3084.17</v>
          </cell>
          <cell r="J43">
            <v>0</v>
          </cell>
          <cell r="K43">
            <v>2327.02</v>
          </cell>
          <cell r="L43">
            <v>43</v>
          </cell>
          <cell r="M43">
            <v>0.28999999999999998</v>
          </cell>
        </row>
        <row r="44">
          <cell r="A44" t="str">
            <v>MYPA</v>
          </cell>
          <cell r="B44">
            <v>37</v>
          </cell>
          <cell r="C44">
            <v>5118.83</v>
          </cell>
          <cell r="D44">
            <v>13.4</v>
          </cell>
          <cell r="E44">
            <v>0</v>
          </cell>
          <cell r="F44">
            <v>0</v>
          </cell>
          <cell r="G44">
            <v>0</v>
          </cell>
          <cell r="H44">
            <v>5118.83</v>
          </cell>
          <cell r="I44">
            <v>2780.04</v>
          </cell>
          <cell r="J44">
            <v>0</v>
          </cell>
          <cell r="K44">
            <v>2338.79</v>
          </cell>
          <cell r="L44">
            <v>45.69</v>
          </cell>
          <cell r="M44">
            <v>0.27</v>
          </cell>
        </row>
        <row r="45">
          <cell r="A45" t="str">
            <v>LEGRAND</v>
          </cell>
          <cell r="B45">
            <v>11</v>
          </cell>
          <cell r="C45">
            <v>4927.2700000000004</v>
          </cell>
          <cell r="D45">
            <v>16.760000000000002</v>
          </cell>
          <cell r="E45">
            <v>0</v>
          </cell>
          <cell r="F45">
            <v>0</v>
          </cell>
          <cell r="G45">
            <v>26.8</v>
          </cell>
          <cell r="H45">
            <v>4900.47</v>
          </cell>
          <cell r="I45">
            <v>2940.52</v>
          </cell>
          <cell r="J45">
            <v>15.8</v>
          </cell>
          <cell r="K45">
            <v>1975.75</v>
          </cell>
          <cell r="L45">
            <v>40.229999999999997</v>
          </cell>
          <cell r="M45">
            <v>0.26</v>
          </cell>
        </row>
        <row r="46">
          <cell r="A46" t="str">
            <v>PRATEFIX</v>
          </cell>
          <cell r="B46">
            <v>12</v>
          </cell>
          <cell r="C46">
            <v>4899.53</v>
          </cell>
          <cell r="D46">
            <v>38.28</v>
          </cell>
          <cell r="E46">
            <v>0</v>
          </cell>
          <cell r="F46">
            <v>0</v>
          </cell>
          <cell r="G46">
            <v>0</v>
          </cell>
          <cell r="H46">
            <v>4899.53</v>
          </cell>
          <cell r="I46">
            <v>2683.46</v>
          </cell>
          <cell r="J46">
            <v>0</v>
          </cell>
          <cell r="K46">
            <v>2216.0700000000002</v>
          </cell>
          <cell r="L46">
            <v>45.23</v>
          </cell>
          <cell r="M46">
            <v>0.26</v>
          </cell>
        </row>
        <row r="47">
          <cell r="A47" t="str">
            <v>ADERE</v>
          </cell>
          <cell r="B47">
            <v>26</v>
          </cell>
          <cell r="C47">
            <v>4705.8599999999997</v>
          </cell>
          <cell r="D47">
            <v>10.89</v>
          </cell>
          <cell r="E47">
            <v>0</v>
          </cell>
          <cell r="F47">
            <v>0</v>
          </cell>
          <cell r="G47">
            <v>7.5</v>
          </cell>
          <cell r="H47">
            <v>4698.3599999999997</v>
          </cell>
          <cell r="I47">
            <v>2828.65</v>
          </cell>
          <cell r="J47">
            <v>4.58</v>
          </cell>
          <cell r="K47">
            <v>1874.29</v>
          </cell>
          <cell r="L47">
            <v>39.869999999999997</v>
          </cell>
          <cell r="M47">
            <v>0.25</v>
          </cell>
        </row>
        <row r="48">
          <cell r="A48" t="str">
            <v>VEDACIT</v>
          </cell>
          <cell r="B48">
            <v>10</v>
          </cell>
          <cell r="C48">
            <v>4659.8</v>
          </cell>
          <cell r="D48">
            <v>83.21</v>
          </cell>
          <cell r="E48">
            <v>0</v>
          </cell>
          <cell r="F48">
            <v>0</v>
          </cell>
          <cell r="G48">
            <v>0</v>
          </cell>
          <cell r="H48">
            <v>4659.8</v>
          </cell>
          <cell r="I48">
            <v>2492.7199999999998</v>
          </cell>
          <cell r="J48">
            <v>0</v>
          </cell>
          <cell r="K48">
            <v>2167.08</v>
          </cell>
          <cell r="L48">
            <v>46.51</v>
          </cell>
          <cell r="M48">
            <v>0.25</v>
          </cell>
        </row>
        <row r="49">
          <cell r="A49" t="str">
            <v>KRONA</v>
          </cell>
          <cell r="B49">
            <v>39</v>
          </cell>
          <cell r="C49">
            <v>4247.2700000000004</v>
          </cell>
          <cell r="D49">
            <v>5.07</v>
          </cell>
          <cell r="E49">
            <v>0</v>
          </cell>
          <cell r="F49">
            <v>0</v>
          </cell>
          <cell r="G49">
            <v>209.47</v>
          </cell>
          <cell r="H49">
            <v>4037.8</v>
          </cell>
          <cell r="I49">
            <v>2367.16</v>
          </cell>
          <cell r="J49">
            <v>139.43</v>
          </cell>
          <cell r="K49">
            <v>1810.07</v>
          </cell>
          <cell r="L49">
            <v>44.06</v>
          </cell>
          <cell r="M49">
            <v>0.23</v>
          </cell>
        </row>
        <row r="50">
          <cell r="A50" t="str">
            <v>PADO</v>
          </cell>
          <cell r="B50">
            <v>15</v>
          </cell>
          <cell r="C50">
            <v>4233.05</v>
          </cell>
          <cell r="D50">
            <v>42.33</v>
          </cell>
          <cell r="E50">
            <v>0</v>
          </cell>
          <cell r="F50">
            <v>0</v>
          </cell>
          <cell r="G50">
            <v>115.1</v>
          </cell>
          <cell r="H50">
            <v>4117.95</v>
          </cell>
          <cell r="I50">
            <v>2398.1999999999998</v>
          </cell>
          <cell r="J50">
            <v>62.59</v>
          </cell>
          <cell r="K50">
            <v>1782.34</v>
          </cell>
          <cell r="L50">
            <v>42.74</v>
          </cell>
          <cell r="M50">
            <v>0.23</v>
          </cell>
        </row>
        <row r="51">
          <cell r="A51" t="str">
            <v>CORTAG</v>
          </cell>
          <cell r="B51">
            <v>18</v>
          </cell>
          <cell r="C51">
            <v>3834.97</v>
          </cell>
          <cell r="D51">
            <v>17.2</v>
          </cell>
          <cell r="E51">
            <v>0</v>
          </cell>
          <cell r="F51">
            <v>0</v>
          </cell>
          <cell r="G51">
            <v>28.7</v>
          </cell>
          <cell r="H51">
            <v>3806.27</v>
          </cell>
          <cell r="I51">
            <v>2184.37</v>
          </cell>
          <cell r="J51">
            <v>16.2</v>
          </cell>
          <cell r="K51">
            <v>1638.1</v>
          </cell>
          <cell r="L51">
            <v>42.9</v>
          </cell>
          <cell r="M51">
            <v>0.2</v>
          </cell>
        </row>
        <row r="52">
          <cell r="A52" t="str">
            <v>KDK PORTAS</v>
          </cell>
          <cell r="B52">
            <v>14</v>
          </cell>
          <cell r="C52">
            <v>3652.3</v>
          </cell>
          <cell r="D52">
            <v>173.92</v>
          </cell>
          <cell r="E52">
            <v>0</v>
          </cell>
          <cell r="F52">
            <v>0</v>
          </cell>
          <cell r="G52">
            <v>914.68</v>
          </cell>
          <cell r="H52">
            <v>2737.62</v>
          </cell>
          <cell r="I52">
            <v>2103.2800000000002</v>
          </cell>
          <cell r="J52">
            <v>502.31</v>
          </cell>
          <cell r="K52">
            <v>1136.6500000000001</v>
          </cell>
          <cell r="L52">
            <v>36.08</v>
          </cell>
          <cell r="M52">
            <v>0.19</v>
          </cell>
        </row>
        <row r="53">
          <cell r="A53" t="str">
            <v>BRASFORMA</v>
          </cell>
          <cell r="B53">
            <v>6</v>
          </cell>
          <cell r="C53">
            <v>3416.16</v>
          </cell>
          <cell r="D53">
            <v>48.8</v>
          </cell>
          <cell r="E53">
            <v>0</v>
          </cell>
          <cell r="F53">
            <v>0</v>
          </cell>
          <cell r="G53">
            <v>0</v>
          </cell>
          <cell r="H53">
            <v>3416.16</v>
          </cell>
          <cell r="I53">
            <v>1987.91</v>
          </cell>
          <cell r="J53">
            <v>0</v>
          </cell>
          <cell r="K53">
            <v>1428.25</v>
          </cell>
          <cell r="L53">
            <v>41.81</v>
          </cell>
          <cell r="M53">
            <v>0.18</v>
          </cell>
        </row>
        <row r="54">
          <cell r="A54" t="str">
            <v>LEDVANCE</v>
          </cell>
          <cell r="B54">
            <v>18</v>
          </cell>
          <cell r="C54">
            <v>3413.22</v>
          </cell>
          <cell r="D54">
            <v>6.34</v>
          </cell>
          <cell r="E54">
            <v>0</v>
          </cell>
          <cell r="F54">
            <v>0</v>
          </cell>
          <cell r="G54">
            <v>76.8</v>
          </cell>
          <cell r="H54">
            <v>3336.42</v>
          </cell>
          <cell r="I54">
            <v>1949.23</v>
          </cell>
          <cell r="J54">
            <v>42.61</v>
          </cell>
          <cell r="K54">
            <v>1429.8</v>
          </cell>
          <cell r="L54">
            <v>42.42</v>
          </cell>
          <cell r="M54">
            <v>0.18</v>
          </cell>
        </row>
        <row r="55">
          <cell r="A55" t="str">
            <v>PRATIMIX</v>
          </cell>
          <cell r="B55">
            <v>26</v>
          </cell>
          <cell r="C55">
            <v>3150.25</v>
          </cell>
          <cell r="D55">
            <v>9.91</v>
          </cell>
          <cell r="E55">
            <v>0</v>
          </cell>
          <cell r="F55">
            <v>0</v>
          </cell>
          <cell r="G55">
            <v>0</v>
          </cell>
          <cell r="H55">
            <v>3150.25</v>
          </cell>
          <cell r="I55">
            <v>1822.66</v>
          </cell>
          <cell r="J55">
            <v>0</v>
          </cell>
          <cell r="K55">
            <v>1327.59</v>
          </cell>
          <cell r="L55">
            <v>42.14</v>
          </cell>
          <cell r="M55">
            <v>0.17</v>
          </cell>
        </row>
        <row r="56">
          <cell r="A56" t="str">
            <v>PULVITEC</v>
          </cell>
          <cell r="B56">
            <v>30</v>
          </cell>
          <cell r="C56">
            <v>3085.13</v>
          </cell>
          <cell r="D56">
            <v>8.16</v>
          </cell>
          <cell r="E56">
            <v>0</v>
          </cell>
          <cell r="F56">
            <v>0</v>
          </cell>
          <cell r="G56">
            <v>5.9</v>
          </cell>
          <cell r="H56">
            <v>3079.23</v>
          </cell>
          <cell r="I56">
            <v>1487.13</v>
          </cell>
          <cell r="J56">
            <v>2.58</v>
          </cell>
          <cell r="K56">
            <v>1594.68</v>
          </cell>
          <cell r="L56">
            <v>51.73</v>
          </cell>
          <cell r="M56">
            <v>0.16</v>
          </cell>
        </row>
        <row r="57">
          <cell r="A57" t="str">
            <v>ASTRA</v>
          </cell>
          <cell r="B57">
            <v>25</v>
          </cell>
          <cell r="C57">
            <v>3055.16</v>
          </cell>
          <cell r="D57">
            <v>27.04</v>
          </cell>
          <cell r="E57">
            <v>0</v>
          </cell>
          <cell r="F57">
            <v>0</v>
          </cell>
          <cell r="G57">
            <v>85.4</v>
          </cell>
          <cell r="H57">
            <v>2969.76</v>
          </cell>
          <cell r="I57">
            <v>1827.37</v>
          </cell>
          <cell r="J57">
            <v>59.18</v>
          </cell>
          <cell r="K57">
            <v>1201.57</v>
          </cell>
          <cell r="L57">
            <v>40.11</v>
          </cell>
          <cell r="M57">
            <v>0.16</v>
          </cell>
        </row>
        <row r="58">
          <cell r="A58" t="str">
            <v>BOGNAR</v>
          </cell>
          <cell r="B58">
            <v>13</v>
          </cell>
          <cell r="C58">
            <v>2749.64</v>
          </cell>
          <cell r="D58">
            <v>56.12</v>
          </cell>
          <cell r="E58">
            <v>0</v>
          </cell>
          <cell r="F58">
            <v>0</v>
          </cell>
          <cell r="G58">
            <v>104.1</v>
          </cell>
          <cell r="H58">
            <v>2645.54</v>
          </cell>
          <cell r="I58">
            <v>1949.66</v>
          </cell>
          <cell r="J58">
            <v>67.03</v>
          </cell>
          <cell r="K58">
            <v>762.91</v>
          </cell>
          <cell r="L58">
            <v>28.44</v>
          </cell>
          <cell r="M58">
            <v>0.15</v>
          </cell>
        </row>
        <row r="59">
          <cell r="A59" t="str">
            <v>HERC</v>
          </cell>
          <cell r="B59">
            <v>19</v>
          </cell>
          <cell r="C59">
            <v>2606.41</v>
          </cell>
          <cell r="D59">
            <v>27.44</v>
          </cell>
          <cell r="E59">
            <v>0</v>
          </cell>
          <cell r="F59">
            <v>0</v>
          </cell>
          <cell r="G59">
            <v>11.5</v>
          </cell>
          <cell r="H59">
            <v>2594.91</v>
          </cell>
          <cell r="I59">
            <v>1417.86</v>
          </cell>
          <cell r="J59">
            <v>5.78</v>
          </cell>
          <cell r="K59">
            <v>1182.83</v>
          </cell>
          <cell r="L59">
            <v>45.48</v>
          </cell>
          <cell r="M59">
            <v>0.14000000000000001</v>
          </cell>
        </row>
        <row r="60">
          <cell r="A60" t="str">
            <v>Momfort</v>
          </cell>
          <cell r="B60">
            <v>11</v>
          </cell>
          <cell r="C60">
            <v>2587.94</v>
          </cell>
          <cell r="D60">
            <v>29.75</v>
          </cell>
          <cell r="E60">
            <v>0</v>
          </cell>
          <cell r="F60">
            <v>0</v>
          </cell>
          <cell r="G60">
            <v>27.5</v>
          </cell>
          <cell r="H60">
            <v>2560.44</v>
          </cell>
          <cell r="I60">
            <v>1387.46</v>
          </cell>
          <cell r="J60">
            <v>15.64</v>
          </cell>
          <cell r="K60">
            <v>1188.6199999999999</v>
          </cell>
          <cell r="L60">
            <v>46.21</v>
          </cell>
          <cell r="M60">
            <v>0.14000000000000001</v>
          </cell>
        </row>
        <row r="61">
          <cell r="A61" t="str">
            <v>EXATRON</v>
          </cell>
          <cell r="B61">
            <v>9</v>
          </cell>
          <cell r="C61">
            <v>2511.6999999999998</v>
          </cell>
          <cell r="D61">
            <v>57.08</v>
          </cell>
          <cell r="E61">
            <v>0</v>
          </cell>
          <cell r="F61">
            <v>0</v>
          </cell>
          <cell r="G61">
            <v>72.8</v>
          </cell>
          <cell r="H61">
            <v>2438.9</v>
          </cell>
          <cell r="I61">
            <v>1505.76</v>
          </cell>
          <cell r="J61">
            <v>41.75</v>
          </cell>
          <cell r="K61">
            <v>974.89</v>
          </cell>
          <cell r="L61">
            <v>39.47</v>
          </cell>
          <cell r="M61">
            <v>0.13</v>
          </cell>
        </row>
        <row r="62">
          <cell r="A62" t="str">
            <v>CENSI</v>
          </cell>
          <cell r="B62">
            <v>26</v>
          </cell>
          <cell r="C62">
            <v>2436.06</v>
          </cell>
          <cell r="D62">
            <v>22.77</v>
          </cell>
          <cell r="E62">
            <v>0</v>
          </cell>
          <cell r="F62">
            <v>0</v>
          </cell>
          <cell r="G62">
            <v>124.09</v>
          </cell>
          <cell r="H62">
            <v>2311.9699999999998</v>
          </cell>
          <cell r="I62">
            <v>1479.91</v>
          </cell>
          <cell r="J62">
            <v>77.66</v>
          </cell>
          <cell r="K62">
            <v>909.72</v>
          </cell>
          <cell r="L62">
            <v>38.57</v>
          </cell>
          <cell r="M62">
            <v>0.13</v>
          </cell>
        </row>
        <row r="63">
          <cell r="A63" t="str">
            <v>NAWA COM ATAC VAR PROD LAR E L</v>
          </cell>
          <cell r="B63">
            <v>5</v>
          </cell>
          <cell r="C63">
            <v>2398.8000000000002</v>
          </cell>
          <cell r="D63">
            <v>266.52999999999997</v>
          </cell>
          <cell r="E63">
            <v>0</v>
          </cell>
          <cell r="F63">
            <v>0</v>
          </cell>
          <cell r="G63">
            <v>229.9</v>
          </cell>
          <cell r="H63">
            <v>2168.9</v>
          </cell>
          <cell r="I63">
            <v>1433.35</v>
          </cell>
          <cell r="J63">
            <v>143.15</v>
          </cell>
          <cell r="K63">
            <v>878.7</v>
          </cell>
          <cell r="L63">
            <v>38.96</v>
          </cell>
          <cell r="M63">
            <v>0.13</v>
          </cell>
        </row>
        <row r="64">
          <cell r="A64" t="str">
            <v>HIDRACOR</v>
          </cell>
          <cell r="B64">
            <v>18</v>
          </cell>
          <cell r="C64">
            <v>2271.3200000000002</v>
          </cell>
          <cell r="D64">
            <v>3.58</v>
          </cell>
          <cell r="E64">
            <v>0</v>
          </cell>
          <cell r="F64">
            <v>0</v>
          </cell>
          <cell r="G64">
            <v>30.2</v>
          </cell>
          <cell r="H64">
            <v>2241.12</v>
          </cell>
          <cell r="I64">
            <v>909.46</v>
          </cell>
          <cell r="J64">
            <v>11.39</v>
          </cell>
          <cell r="K64">
            <v>1343.05</v>
          </cell>
          <cell r="L64">
            <v>59.43</v>
          </cell>
          <cell r="M64">
            <v>0.12</v>
          </cell>
        </row>
        <row r="65">
          <cell r="A65" t="str">
            <v>BEMFIXA</v>
          </cell>
          <cell r="B65">
            <v>8</v>
          </cell>
          <cell r="C65">
            <v>2113.87</v>
          </cell>
          <cell r="D65">
            <v>10.62</v>
          </cell>
          <cell r="E65">
            <v>0</v>
          </cell>
          <cell r="F65">
            <v>0</v>
          </cell>
          <cell r="G65">
            <v>0</v>
          </cell>
          <cell r="H65">
            <v>2113.87</v>
          </cell>
          <cell r="I65">
            <v>1281.46</v>
          </cell>
          <cell r="J65">
            <v>0</v>
          </cell>
          <cell r="K65">
            <v>832.41</v>
          </cell>
          <cell r="L65">
            <v>39.380000000000003</v>
          </cell>
          <cell r="M65">
            <v>0.11</v>
          </cell>
        </row>
        <row r="66">
          <cell r="A66" t="str">
            <v>ALIANÇA</v>
          </cell>
          <cell r="B66">
            <v>4</v>
          </cell>
          <cell r="C66">
            <v>2012.4</v>
          </cell>
          <cell r="D66">
            <v>55.9</v>
          </cell>
          <cell r="E66">
            <v>0</v>
          </cell>
          <cell r="F66">
            <v>0</v>
          </cell>
          <cell r="G66">
            <v>0</v>
          </cell>
          <cell r="H66">
            <v>2012.4</v>
          </cell>
          <cell r="I66">
            <v>1257.6099999999999</v>
          </cell>
          <cell r="J66">
            <v>0</v>
          </cell>
          <cell r="K66">
            <v>754.79</v>
          </cell>
          <cell r="L66">
            <v>37.51</v>
          </cell>
          <cell r="M66">
            <v>0.11</v>
          </cell>
        </row>
        <row r="67">
          <cell r="A67" t="str">
            <v>MARLUVAS</v>
          </cell>
          <cell r="B67">
            <v>4</v>
          </cell>
          <cell r="C67">
            <v>2008.8</v>
          </cell>
          <cell r="D67">
            <v>91.31</v>
          </cell>
          <cell r="E67">
            <v>0</v>
          </cell>
          <cell r="F67">
            <v>0</v>
          </cell>
          <cell r="G67">
            <v>97.9</v>
          </cell>
          <cell r="H67">
            <v>1910.9</v>
          </cell>
          <cell r="I67">
            <v>1249.78</v>
          </cell>
          <cell r="J67">
            <v>62.48</v>
          </cell>
          <cell r="K67">
            <v>723.6</v>
          </cell>
          <cell r="L67">
            <v>37.18</v>
          </cell>
          <cell r="M67">
            <v>0.11</v>
          </cell>
        </row>
        <row r="68">
          <cell r="A68" t="str">
            <v>FRANKLIN</v>
          </cell>
          <cell r="B68">
            <v>2</v>
          </cell>
          <cell r="C68">
            <v>1979.8</v>
          </cell>
          <cell r="D68">
            <v>989.9</v>
          </cell>
          <cell r="E68">
            <v>0</v>
          </cell>
          <cell r="F68">
            <v>0</v>
          </cell>
          <cell r="G68">
            <v>0</v>
          </cell>
          <cell r="H68">
            <v>1979.8</v>
          </cell>
          <cell r="I68">
            <v>1265.5899999999999</v>
          </cell>
          <cell r="J68">
            <v>0</v>
          </cell>
          <cell r="K68">
            <v>714.21</v>
          </cell>
          <cell r="L68">
            <v>36.07</v>
          </cell>
          <cell r="M68">
            <v>0.11</v>
          </cell>
        </row>
        <row r="69">
          <cell r="A69" t="str">
            <v>STARRETT INDUSTRIA E COMERCIO</v>
          </cell>
          <cell r="B69">
            <v>5</v>
          </cell>
          <cell r="C69">
            <v>1424.06</v>
          </cell>
          <cell r="D69">
            <v>24.55</v>
          </cell>
          <cell r="E69">
            <v>0</v>
          </cell>
          <cell r="F69">
            <v>0</v>
          </cell>
          <cell r="G69">
            <v>0</v>
          </cell>
          <cell r="H69">
            <v>1424.06</v>
          </cell>
          <cell r="I69">
            <v>804.1</v>
          </cell>
          <cell r="J69">
            <v>0</v>
          </cell>
          <cell r="K69">
            <v>619.96</v>
          </cell>
          <cell r="L69">
            <v>43.53</v>
          </cell>
          <cell r="M69">
            <v>0.08</v>
          </cell>
        </row>
        <row r="70">
          <cell r="A70" t="str">
            <v>DUDA</v>
          </cell>
          <cell r="B70">
            <v>5</v>
          </cell>
          <cell r="C70">
            <v>1359.4</v>
          </cell>
          <cell r="D70">
            <v>29.81</v>
          </cell>
          <cell r="E70">
            <v>0</v>
          </cell>
          <cell r="F70">
            <v>0</v>
          </cell>
          <cell r="G70">
            <v>35.880000000000003</v>
          </cell>
          <cell r="H70">
            <v>1323.52</v>
          </cell>
          <cell r="I70">
            <v>900.76400000000001</v>
          </cell>
          <cell r="J70">
            <v>23.664000000000001</v>
          </cell>
          <cell r="K70">
            <v>446.42</v>
          </cell>
          <cell r="L70">
            <v>33.42</v>
          </cell>
          <cell r="M70">
            <v>7.0000000000000007E-2</v>
          </cell>
        </row>
        <row r="71">
          <cell r="A71" t="str">
            <v>VONDER</v>
          </cell>
          <cell r="B71">
            <v>5</v>
          </cell>
          <cell r="C71">
            <v>1263.22</v>
          </cell>
          <cell r="D71">
            <v>21.05</v>
          </cell>
          <cell r="E71">
            <v>0</v>
          </cell>
          <cell r="F71">
            <v>0</v>
          </cell>
          <cell r="G71">
            <v>33.6</v>
          </cell>
          <cell r="H71">
            <v>1229.6199999999999</v>
          </cell>
          <cell r="I71">
            <v>636.29999999999995</v>
          </cell>
          <cell r="J71">
            <v>15.12</v>
          </cell>
          <cell r="K71">
            <v>608.44000000000005</v>
          </cell>
          <cell r="L71">
            <v>48.75</v>
          </cell>
          <cell r="M71">
            <v>7.0000000000000007E-2</v>
          </cell>
        </row>
        <row r="72">
          <cell r="A72" t="str">
            <v>BRASFORT</v>
          </cell>
          <cell r="B72">
            <v>7</v>
          </cell>
          <cell r="C72">
            <v>1163.55</v>
          </cell>
          <cell r="D72">
            <v>19.39</v>
          </cell>
          <cell r="E72">
            <v>0</v>
          </cell>
          <cell r="F72">
            <v>0</v>
          </cell>
          <cell r="G72">
            <v>0</v>
          </cell>
          <cell r="H72">
            <v>1163.55</v>
          </cell>
          <cell r="I72">
            <v>690.03</v>
          </cell>
          <cell r="J72">
            <v>0</v>
          </cell>
          <cell r="K72">
            <v>473.52</v>
          </cell>
          <cell r="L72">
            <v>40.700000000000003</v>
          </cell>
          <cell r="M72">
            <v>0.06</v>
          </cell>
        </row>
        <row r="73">
          <cell r="A73" t="str">
            <v>TAF</v>
          </cell>
          <cell r="B73">
            <v>11</v>
          </cell>
          <cell r="C73">
            <v>1074.76</v>
          </cell>
          <cell r="D73">
            <v>17.059999999999999</v>
          </cell>
          <cell r="E73">
            <v>0</v>
          </cell>
          <cell r="F73">
            <v>0</v>
          </cell>
          <cell r="G73">
            <v>100.52</v>
          </cell>
          <cell r="H73">
            <v>974.24</v>
          </cell>
          <cell r="I73">
            <v>622.44000000000005</v>
          </cell>
          <cell r="J73">
            <v>63.28</v>
          </cell>
          <cell r="K73">
            <v>415.08</v>
          </cell>
          <cell r="L73">
            <v>41.04</v>
          </cell>
          <cell r="M73">
            <v>0.06</v>
          </cell>
        </row>
        <row r="74">
          <cell r="A74" t="str">
            <v>ARCELORMITTAL</v>
          </cell>
          <cell r="B74">
            <v>4</v>
          </cell>
          <cell r="C74">
            <v>1042.0999999999999</v>
          </cell>
          <cell r="D74">
            <v>69.47</v>
          </cell>
          <cell r="E74">
            <v>0</v>
          </cell>
          <cell r="F74">
            <v>0</v>
          </cell>
          <cell r="G74">
            <v>0</v>
          </cell>
          <cell r="H74">
            <v>1042.0999999999999</v>
          </cell>
          <cell r="I74">
            <v>617.75</v>
          </cell>
          <cell r="J74">
            <v>0</v>
          </cell>
          <cell r="K74">
            <v>424.35</v>
          </cell>
          <cell r="L74">
            <v>40.72</v>
          </cell>
          <cell r="M74">
            <v>0.06</v>
          </cell>
        </row>
        <row r="75">
          <cell r="A75" t="str">
            <v>ILUMI</v>
          </cell>
          <cell r="B75">
            <v>7</v>
          </cell>
          <cell r="C75">
            <v>1010.67</v>
          </cell>
          <cell r="D75">
            <v>13.48</v>
          </cell>
          <cell r="E75">
            <v>0</v>
          </cell>
          <cell r="F75">
            <v>0</v>
          </cell>
          <cell r="G75">
            <v>0</v>
          </cell>
          <cell r="H75">
            <v>1010.67</v>
          </cell>
          <cell r="I75">
            <v>563.87</v>
          </cell>
          <cell r="J75">
            <v>0</v>
          </cell>
          <cell r="K75">
            <v>446.8</v>
          </cell>
          <cell r="L75">
            <v>44.21</v>
          </cell>
          <cell r="M75">
            <v>0.05</v>
          </cell>
        </row>
        <row r="76">
          <cell r="A76" t="str">
            <v>METALOSA</v>
          </cell>
          <cell r="B76">
            <v>2</v>
          </cell>
          <cell r="C76">
            <v>979.6</v>
          </cell>
          <cell r="D76">
            <v>244.9</v>
          </cell>
          <cell r="E76">
            <v>0</v>
          </cell>
          <cell r="F76">
            <v>0</v>
          </cell>
          <cell r="G76">
            <v>0</v>
          </cell>
          <cell r="H76">
            <v>979.6</v>
          </cell>
          <cell r="I76">
            <v>551.62</v>
          </cell>
          <cell r="J76">
            <v>0</v>
          </cell>
          <cell r="K76">
            <v>427.98</v>
          </cell>
          <cell r="L76">
            <v>43.69</v>
          </cell>
          <cell r="M76">
            <v>0.05</v>
          </cell>
        </row>
        <row r="77">
          <cell r="A77" t="str">
            <v>Max-Giro</v>
          </cell>
          <cell r="B77">
            <v>10</v>
          </cell>
          <cell r="C77">
            <v>882.76</v>
          </cell>
          <cell r="D77">
            <v>12.98</v>
          </cell>
          <cell r="E77">
            <v>0</v>
          </cell>
          <cell r="F77">
            <v>0</v>
          </cell>
          <cell r="G77">
            <v>0</v>
          </cell>
          <cell r="H77">
            <v>882.76</v>
          </cell>
          <cell r="I77">
            <v>509.83</v>
          </cell>
          <cell r="J77">
            <v>0</v>
          </cell>
          <cell r="K77">
            <v>372.93</v>
          </cell>
          <cell r="L77">
            <v>42.25</v>
          </cell>
          <cell r="M77">
            <v>0.05</v>
          </cell>
        </row>
        <row r="78">
          <cell r="A78" t="str">
            <v>PADRAO FORTE</v>
          </cell>
          <cell r="B78">
            <v>4</v>
          </cell>
          <cell r="C78">
            <v>871.9</v>
          </cell>
          <cell r="D78">
            <v>67.069999999999993</v>
          </cell>
          <cell r="E78">
            <v>0</v>
          </cell>
          <cell r="F78">
            <v>0</v>
          </cell>
          <cell r="G78">
            <v>0</v>
          </cell>
          <cell r="H78">
            <v>871.9</v>
          </cell>
          <cell r="I78">
            <v>514.24</v>
          </cell>
          <cell r="J78">
            <v>0</v>
          </cell>
          <cell r="K78">
            <v>357.66</v>
          </cell>
          <cell r="L78">
            <v>41.02</v>
          </cell>
          <cell r="M78">
            <v>0.05</v>
          </cell>
        </row>
        <row r="79">
          <cell r="A79" t="str">
            <v>ULTRACLEAN</v>
          </cell>
          <cell r="B79">
            <v>7</v>
          </cell>
          <cell r="C79">
            <v>820.9</v>
          </cell>
          <cell r="D79">
            <v>20.02</v>
          </cell>
          <cell r="E79">
            <v>0</v>
          </cell>
          <cell r="F79">
            <v>0</v>
          </cell>
          <cell r="G79">
            <v>0</v>
          </cell>
          <cell r="H79">
            <v>820.9</v>
          </cell>
          <cell r="I79">
            <v>480.04</v>
          </cell>
          <cell r="J79">
            <v>0</v>
          </cell>
          <cell r="K79">
            <v>340.86</v>
          </cell>
          <cell r="L79">
            <v>41.52</v>
          </cell>
          <cell r="M79">
            <v>0.04</v>
          </cell>
        </row>
        <row r="80">
          <cell r="A80" t="str">
            <v>J LOBATO</v>
          </cell>
          <cell r="B80">
            <v>9</v>
          </cell>
          <cell r="C80">
            <v>708.72</v>
          </cell>
          <cell r="D80">
            <v>19.690000000000001</v>
          </cell>
          <cell r="E80">
            <v>0</v>
          </cell>
          <cell r="F80">
            <v>0</v>
          </cell>
          <cell r="G80">
            <v>0</v>
          </cell>
          <cell r="H80">
            <v>708.72</v>
          </cell>
          <cell r="I80">
            <v>323.86</v>
          </cell>
          <cell r="J80">
            <v>0</v>
          </cell>
          <cell r="K80">
            <v>384.86</v>
          </cell>
          <cell r="L80">
            <v>54.3</v>
          </cell>
          <cell r="M80">
            <v>0.04</v>
          </cell>
        </row>
        <row r="81">
          <cell r="A81" t="str">
            <v>TRAMONTINA</v>
          </cell>
          <cell r="B81">
            <v>5</v>
          </cell>
          <cell r="C81">
            <v>687.8</v>
          </cell>
          <cell r="D81">
            <v>29.9</v>
          </cell>
          <cell r="E81">
            <v>0</v>
          </cell>
          <cell r="F81">
            <v>0</v>
          </cell>
          <cell r="G81">
            <v>0</v>
          </cell>
          <cell r="H81">
            <v>687.8</v>
          </cell>
          <cell r="I81">
            <v>369.95</v>
          </cell>
          <cell r="J81">
            <v>0</v>
          </cell>
          <cell r="K81">
            <v>317.85000000000002</v>
          </cell>
          <cell r="L81">
            <v>46.21</v>
          </cell>
          <cell r="M81">
            <v>0.04</v>
          </cell>
        </row>
        <row r="82">
          <cell r="A82" t="str">
            <v>INCESA</v>
          </cell>
          <cell r="B82">
            <v>2</v>
          </cell>
          <cell r="C82">
            <v>684.625</v>
          </cell>
          <cell r="D82">
            <v>34.229999999999997</v>
          </cell>
          <cell r="E82">
            <v>0</v>
          </cell>
          <cell r="F82">
            <v>0</v>
          </cell>
          <cell r="G82">
            <v>0</v>
          </cell>
          <cell r="H82">
            <v>684.625</v>
          </cell>
          <cell r="I82">
            <v>357.2</v>
          </cell>
          <cell r="J82">
            <v>0</v>
          </cell>
          <cell r="K82">
            <v>327.42500000000001</v>
          </cell>
          <cell r="L82">
            <v>47.83</v>
          </cell>
          <cell r="M82">
            <v>0.04</v>
          </cell>
        </row>
        <row r="83">
          <cell r="A83" t="str">
            <v>KALIPSO</v>
          </cell>
          <cell r="B83">
            <v>7</v>
          </cell>
          <cell r="C83">
            <v>643.72</v>
          </cell>
          <cell r="D83">
            <v>8.58</v>
          </cell>
          <cell r="E83">
            <v>0</v>
          </cell>
          <cell r="F83">
            <v>0</v>
          </cell>
          <cell r="G83">
            <v>22.9</v>
          </cell>
          <cell r="H83">
            <v>620.82000000000005</v>
          </cell>
          <cell r="I83">
            <v>285.20999999999998</v>
          </cell>
          <cell r="J83">
            <v>10.83</v>
          </cell>
          <cell r="K83">
            <v>346.44</v>
          </cell>
          <cell r="L83">
            <v>54.74</v>
          </cell>
          <cell r="M83">
            <v>0.03</v>
          </cell>
        </row>
        <row r="84">
          <cell r="A84" t="str">
            <v>ULTRA CLEAN</v>
          </cell>
          <cell r="B84">
            <v>5</v>
          </cell>
          <cell r="C84">
            <v>613.86</v>
          </cell>
          <cell r="D84">
            <v>21.17</v>
          </cell>
          <cell r="E84">
            <v>0</v>
          </cell>
          <cell r="F84">
            <v>0</v>
          </cell>
          <cell r="G84">
            <v>18.899999999999999</v>
          </cell>
          <cell r="H84">
            <v>594.96</v>
          </cell>
          <cell r="I84">
            <v>373.29</v>
          </cell>
          <cell r="J84">
            <v>11.4</v>
          </cell>
          <cell r="K84">
            <v>233.07</v>
          </cell>
          <cell r="L84">
            <v>38.69</v>
          </cell>
          <cell r="M84">
            <v>0.03</v>
          </cell>
        </row>
        <row r="85">
          <cell r="A85" t="str">
            <v>COZIMAX</v>
          </cell>
          <cell r="B85">
            <v>4</v>
          </cell>
          <cell r="C85">
            <v>563.1</v>
          </cell>
          <cell r="D85">
            <v>140.78</v>
          </cell>
          <cell r="E85">
            <v>0</v>
          </cell>
          <cell r="F85">
            <v>0</v>
          </cell>
          <cell r="G85">
            <v>0</v>
          </cell>
          <cell r="H85">
            <v>563.1</v>
          </cell>
          <cell r="I85">
            <v>319.38</v>
          </cell>
          <cell r="J85">
            <v>0</v>
          </cell>
          <cell r="K85">
            <v>243.72</v>
          </cell>
          <cell r="L85">
            <v>43.28</v>
          </cell>
          <cell r="M85">
            <v>0.03</v>
          </cell>
        </row>
        <row r="86">
          <cell r="A86" t="str">
            <v>GARDENLIFE</v>
          </cell>
          <cell r="B86">
            <v>2</v>
          </cell>
          <cell r="C86">
            <v>461.75</v>
          </cell>
          <cell r="D86">
            <v>51.31</v>
          </cell>
          <cell r="E86">
            <v>0</v>
          </cell>
          <cell r="F86">
            <v>0</v>
          </cell>
          <cell r="G86">
            <v>0</v>
          </cell>
          <cell r="H86">
            <v>461.75</v>
          </cell>
          <cell r="I86">
            <v>306.51</v>
          </cell>
          <cell r="J86">
            <v>0</v>
          </cell>
          <cell r="K86">
            <v>155.24</v>
          </cell>
          <cell r="L86">
            <v>33.619999999999997</v>
          </cell>
          <cell r="M86">
            <v>0.02</v>
          </cell>
        </row>
        <row r="87">
          <cell r="A87" t="str">
            <v>PINTSILK</v>
          </cell>
          <cell r="B87">
            <v>2</v>
          </cell>
          <cell r="C87">
            <v>421.24</v>
          </cell>
          <cell r="D87">
            <v>105.31</v>
          </cell>
          <cell r="E87">
            <v>0</v>
          </cell>
          <cell r="F87">
            <v>0</v>
          </cell>
          <cell r="G87">
            <v>0</v>
          </cell>
          <cell r="H87">
            <v>421.24</v>
          </cell>
          <cell r="I87">
            <v>242.13</v>
          </cell>
          <cell r="J87">
            <v>0</v>
          </cell>
          <cell r="K87">
            <v>179.11</v>
          </cell>
          <cell r="L87">
            <v>42.52</v>
          </cell>
          <cell r="M87">
            <v>0.02</v>
          </cell>
        </row>
        <row r="88">
          <cell r="A88" t="str">
            <v>GERDAU</v>
          </cell>
          <cell r="B88">
            <v>4</v>
          </cell>
          <cell r="C88">
            <v>384.75</v>
          </cell>
          <cell r="D88">
            <v>25.65</v>
          </cell>
          <cell r="E88">
            <v>0</v>
          </cell>
          <cell r="F88">
            <v>0</v>
          </cell>
          <cell r="G88">
            <v>24.9</v>
          </cell>
          <cell r="H88">
            <v>359.85</v>
          </cell>
          <cell r="I88">
            <v>197.12</v>
          </cell>
          <cell r="J88">
            <v>12.66</v>
          </cell>
          <cell r="K88">
            <v>175.39</v>
          </cell>
          <cell r="L88">
            <v>47.14</v>
          </cell>
          <cell r="M88">
            <v>0.02</v>
          </cell>
        </row>
        <row r="89">
          <cell r="A89" t="str">
            <v>SECALUX</v>
          </cell>
          <cell r="B89">
            <v>3</v>
          </cell>
          <cell r="C89">
            <v>378.3</v>
          </cell>
          <cell r="D89">
            <v>54.04</v>
          </cell>
          <cell r="E89">
            <v>0</v>
          </cell>
          <cell r="F89">
            <v>0</v>
          </cell>
          <cell r="G89">
            <v>0</v>
          </cell>
          <cell r="H89">
            <v>378.3</v>
          </cell>
          <cell r="I89">
            <v>234.17</v>
          </cell>
          <cell r="J89">
            <v>0</v>
          </cell>
          <cell r="K89">
            <v>144.13</v>
          </cell>
          <cell r="L89">
            <v>38.1</v>
          </cell>
          <cell r="M89">
            <v>0.02</v>
          </cell>
        </row>
        <row r="90">
          <cell r="A90" t="str">
            <v>CHEMONE</v>
          </cell>
          <cell r="B90">
            <v>5</v>
          </cell>
          <cell r="C90">
            <v>302.89999999999998</v>
          </cell>
          <cell r="D90">
            <v>13.17</v>
          </cell>
          <cell r="E90">
            <v>0</v>
          </cell>
          <cell r="F90">
            <v>0</v>
          </cell>
          <cell r="G90">
            <v>0</v>
          </cell>
          <cell r="H90">
            <v>302.89999999999998</v>
          </cell>
          <cell r="I90">
            <v>166.32</v>
          </cell>
          <cell r="J90">
            <v>0</v>
          </cell>
          <cell r="K90">
            <v>136.58000000000001</v>
          </cell>
          <cell r="L90">
            <v>45.09</v>
          </cell>
          <cell r="M90">
            <v>0.02</v>
          </cell>
        </row>
        <row r="91">
          <cell r="A91" t="str">
            <v>OVERTIME</v>
          </cell>
          <cell r="B91">
            <v>3</v>
          </cell>
          <cell r="C91">
            <v>278.7</v>
          </cell>
          <cell r="D91">
            <v>34.840000000000003</v>
          </cell>
          <cell r="E91">
            <v>0</v>
          </cell>
          <cell r="F91">
            <v>0</v>
          </cell>
          <cell r="G91">
            <v>0</v>
          </cell>
          <cell r="H91">
            <v>278.7</v>
          </cell>
          <cell r="I91">
            <v>167.79</v>
          </cell>
          <cell r="J91">
            <v>0</v>
          </cell>
          <cell r="K91">
            <v>110.91</v>
          </cell>
          <cell r="L91">
            <v>39.799999999999997</v>
          </cell>
          <cell r="M91">
            <v>0.01</v>
          </cell>
        </row>
        <row r="92">
          <cell r="A92" t="str">
            <v>BOSCH</v>
          </cell>
          <cell r="B92">
            <v>2</v>
          </cell>
          <cell r="C92">
            <v>214.7</v>
          </cell>
          <cell r="D92">
            <v>71.569999999999993</v>
          </cell>
          <cell r="E92">
            <v>0</v>
          </cell>
          <cell r="F92">
            <v>0</v>
          </cell>
          <cell r="G92">
            <v>0</v>
          </cell>
          <cell r="H92">
            <v>214.7</v>
          </cell>
          <cell r="I92">
            <v>135.66</v>
          </cell>
          <cell r="J92">
            <v>0</v>
          </cell>
          <cell r="K92">
            <v>79.040000000000006</v>
          </cell>
          <cell r="L92">
            <v>36.81</v>
          </cell>
          <cell r="M92">
            <v>0.01</v>
          </cell>
        </row>
        <row r="93">
          <cell r="A93" t="str">
            <v>STAM</v>
          </cell>
          <cell r="B93">
            <v>2</v>
          </cell>
          <cell r="C93">
            <v>204.8</v>
          </cell>
          <cell r="D93">
            <v>102.4</v>
          </cell>
          <cell r="E93">
            <v>0</v>
          </cell>
          <cell r="F93">
            <v>0</v>
          </cell>
          <cell r="G93">
            <v>0</v>
          </cell>
          <cell r="H93">
            <v>204.8</v>
          </cell>
          <cell r="I93">
            <v>119.9</v>
          </cell>
          <cell r="J93">
            <v>0</v>
          </cell>
          <cell r="K93">
            <v>84.9</v>
          </cell>
          <cell r="L93">
            <v>41.46</v>
          </cell>
          <cell r="M93">
            <v>0.01</v>
          </cell>
        </row>
        <row r="94">
          <cell r="A94" t="str">
            <v>TRAMONTINA NORDESTE</v>
          </cell>
          <cell r="B94">
            <v>3</v>
          </cell>
          <cell r="C94">
            <v>197.4</v>
          </cell>
          <cell r="D94">
            <v>32.9</v>
          </cell>
          <cell r="E94">
            <v>0</v>
          </cell>
          <cell r="F94">
            <v>0</v>
          </cell>
          <cell r="G94">
            <v>0</v>
          </cell>
          <cell r="H94">
            <v>197.4</v>
          </cell>
          <cell r="I94">
            <v>136.13999999999999</v>
          </cell>
          <cell r="J94">
            <v>0</v>
          </cell>
          <cell r="K94">
            <v>61.26</v>
          </cell>
          <cell r="L94">
            <v>31.03</v>
          </cell>
          <cell r="M94">
            <v>0.01</v>
          </cell>
        </row>
        <row r="95">
          <cell r="A95" t="str">
            <v>RANCAN</v>
          </cell>
          <cell r="B95">
            <v>1</v>
          </cell>
          <cell r="C95">
            <v>179.7</v>
          </cell>
          <cell r="D95">
            <v>59.9</v>
          </cell>
          <cell r="E95">
            <v>0</v>
          </cell>
          <cell r="F95">
            <v>0</v>
          </cell>
          <cell r="G95">
            <v>0</v>
          </cell>
          <cell r="H95">
            <v>179.7</v>
          </cell>
          <cell r="I95">
            <v>101.34</v>
          </cell>
          <cell r="J95">
            <v>0</v>
          </cell>
          <cell r="K95">
            <v>78.36</v>
          </cell>
          <cell r="L95">
            <v>43.61</v>
          </cell>
          <cell r="M95">
            <v>0.01</v>
          </cell>
        </row>
        <row r="96">
          <cell r="A96" t="str">
            <v>COMFORT DOOR</v>
          </cell>
          <cell r="B96">
            <v>5</v>
          </cell>
          <cell r="C96">
            <v>172.4</v>
          </cell>
          <cell r="D96">
            <v>28.73</v>
          </cell>
          <cell r="E96">
            <v>0</v>
          </cell>
          <cell r="F96">
            <v>0</v>
          </cell>
          <cell r="G96">
            <v>0</v>
          </cell>
          <cell r="H96">
            <v>172.4</v>
          </cell>
          <cell r="I96">
            <v>92.62</v>
          </cell>
          <cell r="J96">
            <v>0</v>
          </cell>
          <cell r="K96">
            <v>79.78</v>
          </cell>
          <cell r="L96">
            <v>46.28</v>
          </cell>
          <cell r="M96">
            <v>0.01</v>
          </cell>
        </row>
        <row r="97">
          <cell r="A97" t="str">
            <v>RHPE</v>
          </cell>
          <cell r="B97">
            <v>1</v>
          </cell>
          <cell r="C97">
            <v>171.8</v>
          </cell>
          <cell r="D97">
            <v>85.9</v>
          </cell>
          <cell r="E97">
            <v>0</v>
          </cell>
          <cell r="F97">
            <v>0</v>
          </cell>
          <cell r="G97">
            <v>0</v>
          </cell>
          <cell r="H97">
            <v>171.8</v>
          </cell>
          <cell r="I97">
            <v>106.68</v>
          </cell>
          <cell r="J97">
            <v>0</v>
          </cell>
          <cell r="K97">
            <v>65.12</v>
          </cell>
          <cell r="L97">
            <v>37.9</v>
          </cell>
          <cell r="M97">
            <v>0.01</v>
          </cell>
        </row>
        <row r="98">
          <cell r="A98" t="str">
            <v>EXTRALUX</v>
          </cell>
          <cell r="B98">
            <v>2</v>
          </cell>
          <cell r="C98">
            <v>170.5</v>
          </cell>
          <cell r="D98">
            <v>34.1</v>
          </cell>
          <cell r="E98">
            <v>0</v>
          </cell>
          <cell r="F98">
            <v>0</v>
          </cell>
          <cell r="G98">
            <v>0</v>
          </cell>
          <cell r="H98">
            <v>170.5</v>
          </cell>
          <cell r="I98">
            <v>104.22</v>
          </cell>
          <cell r="J98">
            <v>0</v>
          </cell>
          <cell r="K98">
            <v>66.28</v>
          </cell>
          <cell r="L98">
            <v>38.869999999999997</v>
          </cell>
          <cell r="M98">
            <v>0.01</v>
          </cell>
        </row>
        <row r="99">
          <cell r="A99" t="str">
            <v>BOTAFOGO</v>
          </cell>
          <cell r="B99">
            <v>1</v>
          </cell>
          <cell r="C99">
            <v>169.65</v>
          </cell>
          <cell r="D99">
            <v>169.65</v>
          </cell>
          <cell r="E99">
            <v>0</v>
          </cell>
          <cell r="F99">
            <v>0</v>
          </cell>
          <cell r="G99">
            <v>0</v>
          </cell>
          <cell r="H99">
            <v>169.65</v>
          </cell>
          <cell r="I99">
            <v>105.24</v>
          </cell>
          <cell r="J99">
            <v>0</v>
          </cell>
          <cell r="K99">
            <v>64.41</v>
          </cell>
          <cell r="L99">
            <v>37.97</v>
          </cell>
          <cell r="M99">
            <v>0.01</v>
          </cell>
        </row>
        <row r="100">
          <cell r="A100" t="str">
            <v>ORBI QUIMICA LTDA</v>
          </cell>
          <cell r="B100">
            <v>5</v>
          </cell>
          <cell r="C100">
            <v>160.04</v>
          </cell>
          <cell r="D100">
            <v>10.67</v>
          </cell>
          <cell r="E100">
            <v>0</v>
          </cell>
          <cell r="F100">
            <v>0</v>
          </cell>
          <cell r="G100">
            <v>0</v>
          </cell>
          <cell r="H100">
            <v>160.04</v>
          </cell>
          <cell r="I100">
            <v>91.6</v>
          </cell>
          <cell r="J100">
            <v>0</v>
          </cell>
          <cell r="K100">
            <v>68.44</v>
          </cell>
          <cell r="L100">
            <v>42.76</v>
          </cell>
          <cell r="M100">
            <v>0.01</v>
          </cell>
        </row>
        <row r="101">
          <cell r="A101" t="str">
            <v>LEDAN</v>
          </cell>
          <cell r="B101">
            <v>5</v>
          </cell>
          <cell r="C101">
            <v>160.02000000000001</v>
          </cell>
          <cell r="D101">
            <v>5.33</v>
          </cell>
          <cell r="E101">
            <v>0</v>
          </cell>
          <cell r="F101">
            <v>0</v>
          </cell>
          <cell r="G101">
            <v>0</v>
          </cell>
          <cell r="H101">
            <v>160.02000000000001</v>
          </cell>
          <cell r="I101">
            <v>101.35</v>
          </cell>
          <cell r="J101">
            <v>0</v>
          </cell>
          <cell r="K101">
            <v>58.67</v>
          </cell>
          <cell r="L101">
            <v>36.659999999999997</v>
          </cell>
          <cell r="M101">
            <v>0.01</v>
          </cell>
        </row>
        <row r="102">
          <cell r="A102" t="str">
            <v>PADOVA</v>
          </cell>
          <cell r="B102">
            <v>3</v>
          </cell>
          <cell r="C102">
            <v>145.30000000000001</v>
          </cell>
          <cell r="D102">
            <v>20.76</v>
          </cell>
          <cell r="E102">
            <v>0</v>
          </cell>
          <cell r="F102">
            <v>0</v>
          </cell>
          <cell r="G102">
            <v>0</v>
          </cell>
          <cell r="H102">
            <v>145.30000000000001</v>
          </cell>
          <cell r="I102">
            <v>89.3</v>
          </cell>
          <cell r="J102">
            <v>0</v>
          </cell>
          <cell r="K102">
            <v>56</v>
          </cell>
          <cell r="L102">
            <v>38.54</v>
          </cell>
          <cell r="M102">
            <v>0.01</v>
          </cell>
        </row>
        <row r="103">
          <cell r="A103" t="str">
            <v>EXTRALUZ</v>
          </cell>
          <cell r="B103">
            <v>3</v>
          </cell>
          <cell r="C103">
            <v>143.59</v>
          </cell>
          <cell r="D103">
            <v>14.36</v>
          </cell>
          <cell r="E103">
            <v>0</v>
          </cell>
          <cell r="F103">
            <v>0</v>
          </cell>
          <cell r="G103">
            <v>0</v>
          </cell>
          <cell r="H103">
            <v>143.59</v>
          </cell>
          <cell r="I103">
            <v>86.17</v>
          </cell>
          <cell r="J103">
            <v>0</v>
          </cell>
          <cell r="K103">
            <v>57.42</v>
          </cell>
          <cell r="L103">
            <v>39.99</v>
          </cell>
          <cell r="M103">
            <v>0.01</v>
          </cell>
        </row>
        <row r="104">
          <cell r="A104" t="str">
            <v>EMPLAC</v>
          </cell>
          <cell r="B104">
            <v>5</v>
          </cell>
          <cell r="C104">
            <v>131.1</v>
          </cell>
          <cell r="D104">
            <v>8.74</v>
          </cell>
          <cell r="E104">
            <v>0</v>
          </cell>
          <cell r="F104">
            <v>0</v>
          </cell>
          <cell r="G104">
            <v>0</v>
          </cell>
          <cell r="H104">
            <v>131.1</v>
          </cell>
          <cell r="I104">
            <v>58.38</v>
          </cell>
          <cell r="J104">
            <v>0</v>
          </cell>
          <cell r="K104">
            <v>72.72</v>
          </cell>
          <cell r="L104">
            <v>55.47</v>
          </cell>
          <cell r="M104">
            <v>0.01</v>
          </cell>
        </row>
        <row r="105">
          <cell r="A105" t="str">
            <v>PRECON</v>
          </cell>
          <cell r="B105">
            <v>1</v>
          </cell>
          <cell r="C105">
            <v>125.9</v>
          </cell>
          <cell r="D105">
            <v>125.9</v>
          </cell>
          <cell r="E105">
            <v>0</v>
          </cell>
          <cell r="F105">
            <v>0</v>
          </cell>
          <cell r="G105">
            <v>0</v>
          </cell>
          <cell r="H105">
            <v>125.9</v>
          </cell>
          <cell r="I105">
            <v>79.319999999999993</v>
          </cell>
          <cell r="J105">
            <v>0</v>
          </cell>
          <cell r="K105">
            <v>46.58</v>
          </cell>
          <cell r="L105">
            <v>37</v>
          </cell>
          <cell r="M105">
            <v>0.01</v>
          </cell>
        </row>
        <row r="106">
          <cell r="A106" t="str">
            <v>NOVA FIXACAO</v>
          </cell>
          <cell r="B106">
            <v>3</v>
          </cell>
          <cell r="C106">
            <v>113.9</v>
          </cell>
          <cell r="D106">
            <v>1.87</v>
          </cell>
          <cell r="E106">
            <v>0</v>
          </cell>
          <cell r="F106">
            <v>0</v>
          </cell>
          <cell r="G106">
            <v>0</v>
          </cell>
          <cell r="H106">
            <v>113.9</v>
          </cell>
          <cell r="I106">
            <v>64.89</v>
          </cell>
          <cell r="J106">
            <v>0</v>
          </cell>
          <cell r="K106">
            <v>49.01</v>
          </cell>
          <cell r="L106">
            <v>43.03</v>
          </cell>
          <cell r="M106">
            <v>0.01</v>
          </cell>
        </row>
        <row r="107">
          <cell r="A107" t="str">
            <v>ANJO QUIMICA DO BRASIL LTDA</v>
          </cell>
          <cell r="B107">
            <v>1</v>
          </cell>
          <cell r="C107">
            <v>107.7</v>
          </cell>
          <cell r="D107">
            <v>35.9</v>
          </cell>
          <cell r="E107">
            <v>0</v>
          </cell>
          <cell r="F107">
            <v>0</v>
          </cell>
          <cell r="G107">
            <v>0</v>
          </cell>
          <cell r="H107">
            <v>107.7</v>
          </cell>
          <cell r="I107">
            <v>64.040000000000006</v>
          </cell>
          <cell r="J107">
            <v>0</v>
          </cell>
          <cell r="K107">
            <v>43.66</v>
          </cell>
          <cell r="L107">
            <v>40.54</v>
          </cell>
          <cell r="M107">
            <v>0.01</v>
          </cell>
        </row>
        <row r="108">
          <cell r="A108" t="str">
            <v>ANJO TINTAS E SOLVENTES</v>
          </cell>
          <cell r="B108">
            <v>1</v>
          </cell>
          <cell r="C108">
            <v>107.4</v>
          </cell>
          <cell r="D108">
            <v>17.899999999999999</v>
          </cell>
          <cell r="E108">
            <v>0</v>
          </cell>
          <cell r="F108">
            <v>0</v>
          </cell>
          <cell r="G108">
            <v>0</v>
          </cell>
          <cell r="H108">
            <v>107.4</v>
          </cell>
          <cell r="I108">
            <v>66.959999999999994</v>
          </cell>
          <cell r="J108">
            <v>0</v>
          </cell>
          <cell r="K108">
            <v>40.44</v>
          </cell>
          <cell r="L108">
            <v>37.65</v>
          </cell>
          <cell r="M108">
            <v>0.01</v>
          </cell>
        </row>
        <row r="109">
          <cell r="A109" t="str">
            <v>MASCOTE</v>
          </cell>
          <cell r="B109">
            <v>2</v>
          </cell>
          <cell r="C109">
            <v>99.4</v>
          </cell>
          <cell r="D109">
            <v>16.57</v>
          </cell>
          <cell r="E109">
            <v>0</v>
          </cell>
          <cell r="F109">
            <v>0</v>
          </cell>
          <cell r="G109">
            <v>56.7</v>
          </cell>
          <cell r="H109">
            <v>42.7</v>
          </cell>
          <cell r="I109">
            <v>52.23</v>
          </cell>
          <cell r="J109">
            <v>30.18</v>
          </cell>
          <cell r="K109">
            <v>20.65</v>
          </cell>
          <cell r="L109">
            <v>29.83</v>
          </cell>
          <cell r="M109">
            <v>0.01</v>
          </cell>
        </row>
        <row r="110">
          <cell r="A110" t="str">
            <v>TRAMONTINA ELETRIK S.A.</v>
          </cell>
          <cell r="B110">
            <v>3</v>
          </cell>
          <cell r="C110">
            <v>97.88</v>
          </cell>
          <cell r="D110">
            <v>16.309999999999999</v>
          </cell>
          <cell r="E110">
            <v>0</v>
          </cell>
          <cell r="F110">
            <v>0</v>
          </cell>
          <cell r="G110">
            <v>0</v>
          </cell>
          <cell r="H110">
            <v>97.88</v>
          </cell>
          <cell r="I110">
            <v>58.17</v>
          </cell>
          <cell r="J110">
            <v>0</v>
          </cell>
          <cell r="K110">
            <v>39.71</v>
          </cell>
          <cell r="L110">
            <v>40.57</v>
          </cell>
          <cell r="M110">
            <v>0.01</v>
          </cell>
        </row>
        <row r="111">
          <cell r="A111" t="str">
            <v>LGMAIS</v>
          </cell>
          <cell r="B111">
            <v>1</v>
          </cell>
          <cell r="C111">
            <v>90.8</v>
          </cell>
          <cell r="D111">
            <v>45.4</v>
          </cell>
          <cell r="E111">
            <v>0</v>
          </cell>
          <cell r="F111">
            <v>0</v>
          </cell>
          <cell r="G111">
            <v>0</v>
          </cell>
          <cell r="H111">
            <v>90.8</v>
          </cell>
          <cell r="I111">
            <v>54.92</v>
          </cell>
          <cell r="J111">
            <v>0</v>
          </cell>
          <cell r="K111">
            <v>35.880000000000003</v>
          </cell>
          <cell r="L111">
            <v>39.520000000000003</v>
          </cell>
          <cell r="M111">
            <v>0</v>
          </cell>
        </row>
        <row r="112">
          <cell r="A112" t="str">
            <v>INCA</v>
          </cell>
          <cell r="B112">
            <v>3</v>
          </cell>
          <cell r="C112">
            <v>70.88</v>
          </cell>
          <cell r="D112">
            <v>11.81</v>
          </cell>
          <cell r="E112">
            <v>0</v>
          </cell>
          <cell r="F112">
            <v>0</v>
          </cell>
          <cell r="G112">
            <v>42.48</v>
          </cell>
          <cell r="H112">
            <v>28.4</v>
          </cell>
          <cell r="I112">
            <v>38</v>
          </cell>
          <cell r="J112">
            <v>23.06</v>
          </cell>
          <cell r="K112">
            <v>13.46</v>
          </cell>
          <cell r="L112">
            <v>28.15</v>
          </cell>
          <cell r="M112">
            <v>0</v>
          </cell>
        </row>
        <row r="113">
          <cell r="A113" t="str">
            <v>CRIVAL</v>
          </cell>
          <cell r="B113">
            <v>1</v>
          </cell>
          <cell r="C113">
            <v>63.9</v>
          </cell>
          <cell r="D113">
            <v>63.9</v>
          </cell>
          <cell r="E113">
            <v>0</v>
          </cell>
          <cell r="F113">
            <v>0</v>
          </cell>
          <cell r="G113">
            <v>0</v>
          </cell>
          <cell r="H113">
            <v>63.9</v>
          </cell>
          <cell r="I113">
            <v>38.18</v>
          </cell>
          <cell r="J113">
            <v>0</v>
          </cell>
          <cell r="K113">
            <v>25.72</v>
          </cell>
          <cell r="L113">
            <v>40.25</v>
          </cell>
          <cell r="M113">
            <v>0</v>
          </cell>
        </row>
        <row r="114">
          <cell r="A114" t="str">
            <v>INJEPLAST</v>
          </cell>
          <cell r="B114">
            <v>2</v>
          </cell>
          <cell r="C114">
            <v>44</v>
          </cell>
          <cell r="D114">
            <v>0.4</v>
          </cell>
          <cell r="E114">
            <v>0</v>
          </cell>
          <cell r="F114">
            <v>0</v>
          </cell>
          <cell r="G114">
            <v>0</v>
          </cell>
          <cell r="H114">
            <v>44</v>
          </cell>
          <cell r="I114">
            <v>19.8</v>
          </cell>
          <cell r="J114">
            <v>0</v>
          </cell>
          <cell r="K114">
            <v>24.2</v>
          </cell>
          <cell r="L114">
            <v>55</v>
          </cell>
          <cell r="M114">
            <v>0</v>
          </cell>
        </row>
        <row r="115">
          <cell r="A115" t="str">
            <v>ATTENA</v>
          </cell>
          <cell r="B115">
            <v>1</v>
          </cell>
          <cell r="C115">
            <v>35.94</v>
          </cell>
          <cell r="D115">
            <v>35.94</v>
          </cell>
          <cell r="E115">
            <v>0</v>
          </cell>
          <cell r="F115">
            <v>0</v>
          </cell>
          <cell r="G115">
            <v>0</v>
          </cell>
          <cell r="H115">
            <v>35.94</v>
          </cell>
          <cell r="I115">
            <v>38.56</v>
          </cell>
          <cell r="J115">
            <v>0</v>
          </cell>
          <cell r="K115">
            <v>-2.62</v>
          </cell>
          <cell r="L115">
            <v>0</v>
          </cell>
          <cell r="M115">
            <v>0</v>
          </cell>
        </row>
        <row r="116">
          <cell r="A116" t="str">
            <v>KAPAZI</v>
          </cell>
          <cell r="B116">
            <v>1</v>
          </cell>
          <cell r="C116">
            <v>32.9</v>
          </cell>
          <cell r="D116">
            <v>32.9</v>
          </cell>
          <cell r="E116">
            <v>0</v>
          </cell>
          <cell r="F116">
            <v>0</v>
          </cell>
          <cell r="G116">
            <v>0</v>
          </cell>
          <cell r="H116">
            <v>32.9</v>
          </cell>
          <cell r="I116">
            <v>20.239999999999998</v>
          </cell>
          <cell r="J116">
            <v>0</v>
          </cell>
          <cell r="K116">
            <v>12.66</v>
          </cell>
          <cell r="L116">
            <v>38.479999999999997</v>
          </cell>
          <cell r="M116">
            <v>0</v>
          </cell>
        </row>
        <row r="117">
          <cell r="A117" t="str">
            <v>PHILIPS ILUMINACAO LA</v>
          </cell>
          <cell r="B117">
            <v>2</v>
          </cell>
          <cell r="C117">
            <v>26.9</v>
          </cell>
          <cell r="D117">
            <v>8.9700000000000006</v>
          </cell>
          <cell r="E117">
            <v>0</v>
          </cell>
          <cell r="F117">
            <v>0</v>
          </cell>
          <cell r="G117">
            <v>0</v>
          </cell>
          <cell r="H117">
            <v>26.9</v>
          </cell>
          <cell r="I117">
            <v>16.05</v>
          </cell>
          <cell r="J117">
            <v>0</v>
          </cell>
          <cell r="K117">
            <v>10.85</v>
          </cell>
          <cell r="L117">
            <v>40.33</v>
          </cell>
          <cell r="M117">
            <v>0</v>
          </cell>
        </row>
        <row r="118">
          <cell r="A118" t="str">
            <v>outros</v>
          </cell>
          <cell r="B118">
            <v>0</v>
          </cell>
          <cell r="C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DEZ 24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213</v>
          </cell>
          <cell r="C2">
            <v>186202.20790000001</v>
          </cell>
          <cell r="D2">
            <v>28.66</v>
          </cell>
          <cell r="E2">
            <v>0</v>
          </cell>
          <cell r="F2">
            <v>0</v>
          </cell>
          <cell r="G2">
            <v>5408.8921</v>
          </cell>
          <cell r="H2">
            <v>180793.31580000001</v>
          </cell>
          <cell r="I2">
            <v>117437.9234</v>
          </cell>
          <cell r="J2">
            <v>3447.4144000000001</v>
          </cell>
          <cell r="K2">
            <v>66802.806800000006</v>
          </cell>
          <cell r="L2">
            <v>36.549999999999997</v>
          </cell>
          <cell r="M2">
            <v>11.07</v>
          </cell>
        </row>
        <row r="3">
          <cell r="A3" t="str">
            <v>IQUINE</v>
          </cell>
          <cell r="B3">
            <v>113</v>
          </cell>
          <cell r="C3">
            <v>182570.62280000001</v>
          </cell>
          <cell r="D3">
            <v>42.24</v>
          </cell>
          <cell r="E3">
            <v>0</v>
          </cell>
          <cell r="F3">
            <v>0</v>
          </cell>
          <cell r="G3">
            <v>1836.75</v>
          </cell>
          <cell r="H3">
            <v>180733.87280000001</v>
          </cell>
          <cell r="I3">
            <v>108623.5852</v>
          </cell>
          <cell r="J3">
            <v>1062.8599999999999</v>
          </cell>
          <cell r="K3">
            <v>73173.147599999997</v>
          </cell>
          <cell r="L3">
            <v>40.31</v>
          </cell>
          <cell r="M3">
            <v>10.85</v>
          </cell>
        </row>
        <row r="4">
          <cell r="A4" t="str">
            <v>MEGAÓ</v>
          </cell>
          <cell r="B4">
            <v>104</v>
          </cell>
          <cell r="C4">
            <v>167051.87</v>
          </cell>
          <cell r="D4">
            <v>57.98</v>
          </cell>
          <cell r="E4">
            <v>0</v>
          </cell>
          <cell r="F4">
            <v>0</v>
          </cell>
          <cell r="G4">
            <v>1423.12</v>
          </cell>
          <cell r="H4">
            <v>165628.75</v>
          </cell>
          <cell r="I4">
            <v>102889.49</v>
          </cell>
          <cell r="J4">
            <v>870.9</v>
          </cell>
          <cell r="K4">
            <v>63610.16</v>
          </cell>
          <cell r="L4">
            <v>38.28</v>
          </cell>
          <cell r="M4">
            <v>9.93</v>
          </cell>
        </row>
        <row r="5">
          <cell r="A5" t="str">
            <v>POINTER</v>
          </cell>
          <cell r="B5">
            <v>140</v>
          </cell>
          <cell r="C5">
            <v>140088.4014</v>
          </cell>
          <cell r="D5">
            <v>35.32</v>
          </cell>
          <cell r="E5">
            <v>0</v>
          </cell>
          <cell r="F5">
            <v>0</v>
          </cell>
          <cell r="G5">
            <v>5027.8428999999996</v>
          </cell>
          <cell r="H5">
            <v>135060.55850000001</v>
          </cell>
          <cell r="I5">
            <v>89169.339900000006</v>
          </cell>
          <cell r="J5">
            <v>3349.7817</v>
          </cell>
          <cell r="K5">
            <v>49241.0003</v>
          </cell>
          <cell r="L5">
            <v>36.01</v>
          </cell>
          <cell r="M5">
            <v>8.33</v>
          </cell>
        </row>
        <row r="6">
          <cell r="A6" t="str">
            <v>DO MESTRE</v>
          </cell>
          <cell r="B6">
            <v>330</v>
          </cell>
          <cell r="C6">
            <v>125544.15</v>
          </cell>
          <cell r="D6">
            <v>19.91</v>
          </cell>
          <cell r="E6">
            <v>0</v>
          </cell>
          <cell r="F6">
            <v>0</v>
          </cell>
          <cell r="G6">
            <v>5378.03</v>
          </cell>
          <cell r="H6">
            <v>120166.12</v>
          </cell>
          <cell r="I6">
            <v>78735.47</v>
          </cell>
          <cell r="J6">
            <v>3610.21</v>
          </cell>
          <cell r="K6">
            <v>45040.86</v>
          </cell>
          <cell r="L6">
            <v>36.94</v>
          </cell>
          <cell r="M6">
            <v>7.46</v>
          </cell>
        </row>
        <row r="7">
          <cell r="A7" t="str">
            <v>INCENOR</v>
          </cell>
          <cell r="B7">
            <v>105</v>
          </cell>
          <cell r="C7">
            <v>86979.820200000002</v>
          </cell>
          <cell r="D7">
            <v>34</v>
          </cell>
          <cell r="E7">
            <v>0</v>
          </cell>
          <cell r="F7">
            <v>0</v>
          </cell>
          <cell r="G7">
            <v>6149.3773000000001</v>
          </cell>
          <cell r="H7">
            <v>80830.442899999995</v>
          </cell>
          <cell r="I7">
            <v>56251.720399999998</v>
          </cell>
          <cell r="J7">
            <v>4422.5932000000003</v>
          </cell>
          <cell r="K7">
            <v>29001.315699999999</v>
          </cell>
          <cell r="L7">
            <v>35.130000000000003</v>
          </cell>
          <cell r="M7">
            <v>5.17</v>
          </cell>
        </row>
        <row r="8">
          <cell r="A8" t="str">
            <v>PAMESA</v>
          </cell>
          <cell r="B8">
            <v>76</v>
          </cell>
          <cell r="C8">
            <v>54211.480799999998</v>
          </cell>
          <cell r="D8">
            <v>30.45</v>
          </cell>
          <cell r="E8">
            <v>0</v>
          </cell>
          <cell r="F8">
            <v>0</v>
          </cell>
          <cell r="G8">
            <v>493.94990000000001</v>
          </cell>
          <cell r="H8">
            <v>53717.530899999998</v>
          </cell>
          <cell r="I8">
            <v>35570.4064</v>
          </cell>
          <cell r="J8">
            <v>318.81240000000003</v>
          </cell>
          <cell r="K8">
            <v>18465.936900000001</v>
          </cell>
          <cell r="L8">
            <v>34.26</v>
          </cell>
          <cell r="M8">
            <v>3.22</v>
          </cell>
        </row>
        <row r="9">
          <cell r="A9" t="str">
            <v>ROCA</v>
          </cell>
          <cell r="B9">
            <v>70</v>
          </cell>
          <cell r="C9">
            <v>46763.4</v>
          </cell>
          <cell r="D9">
            <v>149.88</v>
          </cell>
          <cell r="E9">
            <v>0</v>
          </cell>
          <cell r="F9">
            <v>0</v>
          </cell>
          <cell r="G9">
            <v>1368.93</v>
          </cell>
          <cell r="H9">
            <v>45394.47</v>
          </cell>
          <cell r="I9">
            <v>32323.5</v>
          </cell>
          <cell r="J9">
            <v>952.85</v>
          </cell>
          <cell r="K9">
            <v>14023.82</v>
          </cell>
          <cell r="L9">
            <v>30.61</v>
          </cell>
          <cell r="M9">
            <v>2.78</v>
          </cell>
        </row>
        <row r="10">
          <cell r="A10" t="str">
            <v>QUALITY</v>
          </cell>
          <cell r="B10">
            <v>56</v>
          </cell>
          <cell r="C10">
            <v>43480.480000000003</v>
          </cell>
          <cell r="D10">
            <v>248.46</v>
          </cell>
          <cell r="E10">
            <v>0</v>
          </cell>
          <cell r="F10">
            <v>0</v>
          </cell>
          <cell r="G10">
            <v>825.52</v>
          </cell>
          <cell r="H10">
            <v>42654.96</v>
          </cell>
          <cell r="I10">
            <v>26639.48</v>
          </cell>
          <cell r="J10">
            <v>514.13</v>
          </cell>
          <cell r="K10">
            <v>16529.61</v>
          </cell>
          <cell r="L10">
            <v>38.47</v>
          </cell>
          <cell r="M10">
            <v>2.58</v>
          </cell>
        </row>
        <row r="11">
          <cell r="A11" t="str">
            <v>ATLAS</v>
          </cell>
          <cell r="B11">
            <v>93</v>
          </cell>
          <cell r="C11">
            <v>42323.68</v>
          </cell>
          <cell r="D11">
            <v>15.7</v>
          </cell>
          <cell r="E11">
            <v>0</v>
          </cell>
          <cell r="F11">
            <v>0</v>
          </cell>
          <cell r="G11">
            <v>152</v>
          </cell>
          <cell r="H11">
            <v>42171.68</v>
          </cell>
          <cell r="I11">
            <v>23218.49</v>
          </cell>
          <cell r="J11">
            <v>86.85</v>
          </cell>
          <cell r="K11">
            <v>19040.04</v>
          </cell>
          <cell r="L11">
            <v>45.08</v>
          </cell>
          <cell r="M11">
            <v>2.52</v>
          </cell>
        </row>
        <row r="12">
          <cell r="A12" t="str">
            <v>CARMELO FIOR</v>
          </cell>
          <cell r="B12">
            <v>27</v>
          </cell>
          <cell r="C12">
            <v>40856.991999999998</v>
          </cell>
          <cell r="D12">
            <v>62.74</v>
          </cell>
          <cell r="E12">
            <v>0</v>
          </cell>
          <cell r="F12">
            <v>0</v>
          </cell>
          <cell r="G12">
            <v>415.14</v>
          </cell>
          <cell r="H12">
            <v>40441.851999999999</v>
          </cell>
          <cell r="I12">
            <v>12549.79</v>
          </cell>
          <cell r="J12">
            <v>122.65</v>
          </cell>
          <cell r="K12">
            <v>28014.712</v>
          </cell>
          <cell r="L12">
            <v>68.77</v>
          </cell>
          <cell r="M12">
            <v>2.4300000000000002</v>
          </cell>
        </row>
        <row r="13">
          <cell r="A13" t="str">
            <v>WEBER QUARTZOLIT</v>
          </cell>
          <cell r="B13">
            <v>120</v>
          </cell>
          <cell r="C13">
            <v>40458.39</v>
          </cell>
          <cell r="D13">
            <v>29.86</v>
          </cell>
          <cell r="E13">
            <v>0</v>
          </cell>
          <cell r="F13">
            <v>0</v>
          </cell>
          <cell r="G13">
            <v>1439.45</v>
          </cell>
          <cell r="H13">
            <v>39018.94</v>
          </cell>
          <cell r="I13">
            <v>26200.799999999999</v>
          </cell>
          <cell r="J13">
            <v>926</v>
          </cell>
          <cell r="K13">
            <v>13744.14</v>
          </cell>
          <cell r="L13">
            <v>34.770000000000003</v>
          </cell>
          <cell r="M13">
            <v>2.4</v>
          </cell>
        </row>
        <row r="14">
          <cell r="A14" t="str">
            <v>TECNOGRES</v>
          </cell>
          <cell r="B14">
            <v>26</v>
          </cell>
          <cell r="C14">
            <v>34028.500399999997</v>
          </cell>
          <cell r="D14">
            <v>61.19</v>
          </cell>
          <cell r="E14">
            <v>0</v>
          </cell>
          <cell r="F14">
            <v>0</v>
          </cell>
          <cell r="G14">
            <v>0</v>
          </cell>
          <cell r="H14">
            <v>34028.500399999997</v>
          </cell>
          <cell r="I14">
            <v>20780.298699999999</v>
          </cell>
          <cell r="J14">
            <v>0</v>
          </cell>
          <cell r="K14">
            <v>13248.2017</v>
          </cell>
          <cell r="L14">
            <v>38.93</v>
          </cell>
          <cell r="M14">
            <v>2.02</v>
          </cell>
        </row>
        <row r="15">
          <cell r="A15" t="str">
            <v>FORTLEV</v>
          </cell>
          <cell r="B15">
            <v>63</v>
          </cell>
          <cell r="C15">
            <v>33768.93</v>
          </cell>
          <cell r="D15">
            <v>13.04</v>
          </cell>
          <cell r="E15">
            <v>0</v>
          </cell>
          <cell r="F15">
            <v>0</v>
          </cell>
          <cell r="G15">
            <v>1212.3</v>
          </cell>
          <cell r="H15">
            <v>32556.63</v>
          </cell>
          <cell r="I15">
            <v>22214.79</v>
          </cell>
          <cell r="J15">
            <v>681.78</v>
          </cell>
          <cell r="K15">
            <v>11023.62</v>
          </cell>
          <cell r="L15">
            <v>33.32</v>
          </cell>
          <cell r="M15">
            <v>2.0099999999999998</v>
          </cell>
        </row>
        <row r="16">
          <cell r="A16" t="str">
            <v>ETERNIT</v>
          </cell>
          <cell r="B16">
            <v>32</v>
          </cell>
          <cell r="C16">
            <v>32750.1</v>
          </cell>
          <cell r="D16">
            <v>59.87</v>
          </cell>
          <cell r="E16">
            <v>0</v>
          </cell>
          <cell r="F16">
            <v>0</v>
          </cell>
          <cell r="G16">
            <v>0</v>
          </cell>
          <cell r="H16">
            <v>32750.1</v>
          </cell>
          <cell r="I16">
            <v>25083.07</v>
          </cell>
          <cell r="J16">
            <v>0</v>
          </cell>
          <cell r="K16">
            <v>7667.03</v>
          </cell>
          <cell r="L16">
            <v>23.41</v>
          </cell>
          <cell r="M16">
            <v>1.95</v>
          </cell>
        </row>
        <row r="17">
          <cell r="A17" t="str">
            <v>COBRECOM</v>
          </cell>
          <cell r="B17">
            <v>23</v>
          </cell>
          <cell r="C17">
            <v>23868.48</v>
          </cell>
          <cell r="D17">
            <v>159.12</v>
          </cell>
          <cell r="E17">
            <v>0</v>
          </cell>
          <cell r="F17">
            <v>0</v>
          </cell>
          <cell r="G17">
            <v>285</v>
          </cell>
          <cell r="H17">
            <v>23583.48</v>
          </cell>
          <cell r="I17">
            <v>16257.6</v>
          </cell>
          <cell r="J17">
            <v>199.07</v>
          </cell>
          <cell r="K17">
            <v>7524.95</v>
          </cell>
          <cell r="L17">
            <v>31.79</v>
          </cell>
          <cell r="M17">
            <v>1.42</v>
          </cell>
        </row>
        <row r="18">
          <cell r="A18" t="str">
            <v>ELIZABETH PORC.</v>
          </cell>
          <cell r="B18">
            <v>9</v>
          </cell>
          <cell r="C18">
            <v>23863.147000000001</v>
          </cell>
          <cell r="D18">
            <v>32.32</v>
          </cell>
          <cell r="E18">
            <v>0</v>
          </cell>
          <cell r="F18">
            <v>0</v>
          </cell>
          <cell r="G18">
            <v>0</v>
          </cell>
          <cell r="H18">
            <v>23863.147000000001</v>
          </cell>
          <cell r="I18">
            <v>17120.994999999999</v>
          </cell>
          <cell r="J18">
            <v>0</v>
          </cell>
          <cell r="K18">
            <v>6742.152</v>
          </cell>
          <cell r="L18">
            <v>28.25</v>
          </cell>
          <cell r="M18">
            <v>1.42</v>
          </cell>
        </row>
        <row r="19">
          <cell r="A19" t="str">
            <v>BLACK DECKER</v>
          </cell>
          <cell r="B19">
            <v>36</v>
          </cell>
          <cell r="C19">
            <v>19021.07</v>
          </cell>
          <cell r="D19">
            <v>49.66</v>
          </cell>
          <cell r="E19">
            <v>0</v>
          </cell>
          <cell r="F19">
            <v>0</v>
          </cell>
          <cell r="G19">
            <v>15.9</v>
          </cell>
          <cell r="H19">
            <v>19005.169999999998</v>
          </cell>
          <cell r="I19">
            <v>12052.88</v>
          </cell>
          <cell r="J19">
            <v>8.3699999999999992</v>
          </cell>
          <cell r="K19">
            <v>6960.66</v>
          </cell>
          <cell r="L19">
            <v>36.61</v>
          </cell>
          <cell r="M19">
            <v>1.1299999999999999</v>
          </cell>
        </row>
        <row r="20">
          <cell r="A20" t="str">
            <v>MEC-TRONIC</v>
          </cell>
          <cell r="B20">
            <v>40</v>
          </cell>
          <cell r="C20">
            <v>15517.16</v>
          </cell>
          <cell r="D20">
            <v>10.9</v>
          </cell>
          <cell r="E20">
            <v>0</v>
          </cell>
          <cell r="F20">
            <v>0</v>
          </cell>
          <cell r="G20">
            <v>186.74</v>
          </cell>
          <cell r="H20">
            <v>15330.42</v>
          </cell>
          <cell r="I20">
            <v>7857.26</v>
          </cell>
          <cell r="J20">
            <v>98.45</v>
          </cell>
          <cell r="K20">
            <v>7571.61</v>
          </cell>
          <cell r="L20">
            <v>49.11</v>
          </cell>
          <cell r="M20">
            <v>0.92</v>
          </cell>
        </row>
        <row r="21">
          <cell r="A21" t="str">
            <v>CERBRAS</v>
          </cell>
          <cell r="B21">
            <v>21</v>
          </cell>
          <cell r="C21">
            <v>15163.303900000001</v>
          </cell>
          <cell r="D21">
            <v>33.840000000000003</v>
          </cell>
          <cell r="E21">
            <v>0</v>
          </cell>
          <cell r="F21">
            <v>0</v>
          </cell>
          <cell r="G21">
            <v>1175.576</v>
          </cell>
          <cell r="H21">
            <v>13987.7279</v>
          </cell>
          <cell r="I21">
            <v>10034.339</v>
          </cell>
          <cell r="J21">
            <v>818.66200000000003</v>
          </cell>
          <cell r="K21">
            <v>4772.0509000000002</v>
          </cell>
          <cell r="L21">
            <v>33.270000000000003</v>
          </cell>
          <cell r="M21">
            <v>0.9</v>
          </cell>
        </row>
        <row r="22">
          <cell r="A22" t="str">
            <v>METAIS LEAO</v>
          </cell>
          <cell r="B22">
            <v>45</v>
          </cell>
          <cell r="C22">
            <v>14775.23</v>
          </cell>
          <cell r="D22">
            <v>57.27</v>
          </cell>
          <cell r="E22">
            <v>0</v>
          </cell>
          <cell r="F22">
            <v>0</v>
          </cell>
          <cell r="G22">
            <v>201.2</v>
          </cell>
          <cell r="H22">
            <v>14574.03</v>
          </cell>
          <cell r="I22">
            <v>8835.43</v>
          </cell>
          <cell r="J22">
            <v>114.98</v>
          </cell>
          <cell r="K22">
            <v>5853.58</v>
          </cell>
          <cell r="L22">
            <v>39.93</v>
          </cell>
          <cell r="M22">
            <v>0.88</v>
          </cell>
        </row>
        <row r="23">
          <cell r="A23" t="str">
            <v>INTECH MACHINE</v>
          </cell>
          <cell r="B23">
            <v>31</v>
          </cell>
          <cell r="C23">
            <v>14575.71</v>
          </cell>
          <cell r="D23">
            <v>199.67</v>
          </cell>
          <cell r="E23">
            <v>0</v>
          </cell>
          <cell r="F23">
            <v>0</v>
          </cell>
          <cell r="G23">
            <v>338</v>
          </cell>
          <cell r="H23">
            <v>14237.71</v>
          </cell>
          <cell r="I23">
            <v>9367.24</v>
          </cell>
          <cell r="J23">
            <v>222.12</v>
          </cell>
          <cell r="K23">
            <v>5092.59</v>
          </cell>
          <cell r="L23">
            <v>35.479999999999997</v>
          </cell>
          <cell r="M23">
            <v>0.87</v>
          </cell>
        </row>
        <row r="24">
          <cell r="A24" t="str">
            <v>NITROLUX</v>
          </cell>
          <cell r="B24">
            <v>29</v>
          </cell>
          <cell r="C24">
            <v>14184.54</v>
          </cell>
          <cell r="D24">
            <v>29.99</v>
          </cell>
          <cell r="E24">
            <v>0</v>
          </cell>
          <cell r="F24">
            <v>0</v>
          </cell>
          <cell r="G24">
            <v>193.7</v>
          </cell>
          <cell r="H24">
            <v>13990.84</v>
          </cell>
          <cell r="I24">
            <v>7799.06</v>
          </cell>
          <cell r="J24">
            <v>100.8</v>
          </cell>
          <cell r="K24">
            <v>6292.58</v>
          </cell>
          <cell r="L24">
            <v>44.68</v>
          </cell>
          <cell r="M24">
            <v>0.84</v>
          </cell>
        </row>
        <row r="25">
          <cell r="A25" t="str">
            <v>GHEL'PLUS</v>
          </cell>
          <cell r="B25">
            <v>16</v>
          </cell>
          <cell r="C25">
            <v>12171.62</v>
          </cell>
          <cell r="D25">
            <v>101.43</v>
          </cell>
          <cell r="E25">
            <v>0</v>
          </cell>
          <cell r="F25">
            <v>0</v>
          </cell>
          <cell r="G25">
            <v>181.6</v>
          </cell>
          <cell r="H25">
            <v>11990.02</v>
          </cell>
          <cell r="I25">
            <v>7650.52</v>
          </cell>
          <cell r="J25">
            <v>112.71</v>
          </cell>
          <cell r="K25">
            <v>4452.21</v>
          </cell>
          <cell r="L25">
            <v>36.92</v>
          </cell>
          <cell r="M25">
            <v>0.72</v>
          </cell>
        </row>
        <row r="26">
          <cell r="A26" t="str">
            <v>Perfilplast Industria e Comerc</v>
          </cell>
          <cell r="B26">
            <v>28</v>
          </cell>
          <cell r="C26">
            <v>12007.138000000001</v>
          </cell>
          <cell r="D26">
            <v>52.8</v>
          </cell>
          <cell r="E26">
            <v>0</v>
          </cell>
          <cell r="F26">
            <v>0</v>
          </cell>
          <cell r="G26">
            <v>1198.4503</v>
          </cell>
          <cell r="H26">
            <v>10808.6877</v>
          </cell>
          <cell r="I26">
            <v>7691.3180000000002</v>
          </cell>
          <cell r="J26">
            <v>772.71600000000001</v>
          </cell>
          <cell r="K26">
            <v>3890.0857000000001</v>
          </cell>
          <cell r="L26">
            <v>34.630000000000003</v>
          </cell>
          <cell r="M26">
            <v>0.71</v>
          </cell>
        </row>
        <row r="27">
          <cell r="A27" t="str">
            <v>AVANT</v>
          </cell>
          <cell r="B27">
            <v>30</v>
          </cell>
          <cell r="C27">
            <v>11675.63</v>
          </cell>
          <cell r="D27">
            <v>25.22</v>
          </cell>
          <cell r="E27">
            <v>0</v>
          </cell>
          <cell r="F27">
            <v>0</v>
          </cell>
          <cell r="G27">
            <v>118.9</v>
          </cell>
          <cell r="H27">
            <v>11556.73</v>
          </cell>
          <cell r="I27">
            <v>6074.54</v>
          </cell>
          <cell r="J27">
            <v>56.33</v>
          </cell>
          <cell r="K27">
            <v>5538.52</v>
          </cell>
          <cell r="L27">
            <v>47.67</v>
          </cell>
          <cell r="M27">
            <v>0.69</v>
          </cell>
        </row>
        <row r="28">
          <cell r="A28" t="str">
            <v>METALURGICA MOR S/A</v>
          </cell>
          <cell r="B28">
            <v>15</v>
          </cell>
          <cell r="C28">
            <v>11354.19</v>
          </cell>
          <cell r="D28">
            <v>104.17</v>
          </cell>
          <cell r="E28">
            <v>0</v>
          </cell>
          <cell r="F28">
            <v>0</v>
          </cell>
          <cell r="G28">
            <v>148.31</v>
          </cell>
          <cell r="H28">
            <v>11205.88</v>
          </cell>
          <cell r="I28">
            <v>6891.86</v>
          </cell>
          <cell r="J28">
            <v>94.66</v>
          </cell>
          <cell r="K28">
            <v>4408.68</v>
          </cell>
          <cell r="L28">
            <v>39.159999999999997</v>
          </cell>
          <cell r="M28">
            <v>0.67</v>
          </cell>
        </row>
        <row r="29">
          <cell r="A29" t="str">
            <v>GRANPLAST</v>
          </cell>
          <cell r="B29">
            <v>42</v>
          </cell>
          <cell r="C29">
            <v>10586.62</v>
          </cell>
          <cell r="D29">
            <v>16.489999999999998</v>
          </cell>
          <cell r="E29">
            <v>0</v>
          </cell>
          <cell r="F29">
            <v>0</v>
          </cell>
          <cell r="G29">
            <v>22.9</v>
          </cell>
          <cell r="H29">
            <v>10563.72</v>
          </cell>
          <cell r="I29">
            <v>6065.86</v>
          </cell>
          <cell r="J29">
            <v>13.1</v>
          </cell>
          <cell r="K29">
            <v>4510.96</v>
          </cell>
          <cell r="L29">
            <v>42.66</v>
          </cell>
          <cell r="M29">
            <v>0.63</v>
          </cell>
        </row>
        <row r="30">
          <cell r="A30" t="str">
            <v>MGM</v>
          </cell>
          <cell r="B30">
            <v>21</v>
          </cell>
          <cell r="C30">
            <v>10049.9</v>
          </cell>
          <cell r="D30">
            <v>402</v>
          </cell>
          <cell r="E30">
            <v>0</v>
          </cell>
          <cell r="F30">
            <v>0</v>
          </cell>
          <cell r="G30">
            <v>0</v>
          </cell>
          <cell r="H30">
            <v>10049.9</v>
          </cell>
          <cell r="I30">
            <v>6217.77</v>
          </cell>
          <cell r="J30">
            <v>0</v>
          </cell>
          <cell r="K30">
            <v>3832.13</v>
          </cell>
          <cell r="L30">
            <v>38.130000000000003</v>
          </cell>
          <cell r="M30">
            <v>0.6</v>
          </cell>
        </row>
        <row r="31">
          <cell r="A31" t="str">
            <v>MULT MIX IMPORTADORA</v>
          </cell>
          <cell r="B31">
            <v>36</v>
          </cell>
          <cell r="C31">
            <v>9658.59</v>
          </cell>
          <cell r="D31">
            <v>15.6</v>
          </cell>
          <cell r="E31">
            <v>0</v>
          </cell>
          <cell r="F31">
            <v>0</v>
          </cell>
          <cell r="G31">
            <v>38.6</v>
          </cell>
          <cell r="H31">
            <v>9619.99</v>
          </cell>
          <cell r="I31">
            <v>5119.55</v>
          </cell>
          <cell r="J31">
            <v>20.6</v>
          </cell>
          <cell r="K31">
            <v>4521.04</v>
          </cell>
          <cell r="L31">
            <v>46.91</v>
          </cell>
          <cell r="M31">
            <v>0.56999999999999995</v>
          </cell>
        </row>
        <row r="32">
          <cell r="A32" t="str">
            <v>KDK PORTAS</v>
          </cell>
          <cell r="B32">
            <v>21</v>
          </cell>
          <cell r="C32">
            <v>9645.65</v>
          </cell>
          <cell r="D32">
            <v>169.22</v>
          </cell>
          <cell r="E32">
            <v>0</v>
          </cell>
          <cell r="F32">
            <v>0</v>
          </cell>
          <cell r="G32">
            <v>660.88</v>
          </cell>
          <cell r="H32">
            <v>8984.77</v>
          </cell>
          <cell r="I32">
            <v>5342.77</v>
          </cell>
          <cell r="J32">
            <v>367</v>
          </cell>
          <cell r="K32">
            <v>4009</v>
          </cell>
          <cell r="L32">
            <v>43.21</v>
          </cell>
          <cell r="M32">
            <v>0.56999999999999995</v>
          </cell>
        </row>
        <row r="33">
          <cell r="A33" t="str">
            <v>VIQUA</v>
          </cell>
          <cell r="B33">
            <v>33</v>
          </cell>
          <cell r="C33">
            <v>9416.33</v>
          </cell>
          <cell r="D33">
            <v>37.82</v>
          </cell>
          <cell r="E33">
            <v>0</v>
          </cell>
          <cell r="F33">
            <v>0</v>
          </cell>
          <cell r="G33">
            <v>185.6</v>
          </cell>
          <cell r="H33">
            <v>9230.73</v>
          </cell>
          <cell r="I33">
            <v>5781.72</v>
          </cell>
          <cell r="J33">
            <v>113.14</v>
          </cell>
          <cell r="K33">
            <v>3562.15</v>
          </cell>
          <cell r="L33">
            <v>38.29</v>
          </cell>
          <cell r="M33">
            <v>0.56000000000000005</v>
          </cell>
        </row>
        <row r="34">
          <cell r="A34" t="str">
            <v>LORENZETTI</v>
          </cell>
          <cell r="B34">
            <v>17</v>
          </cell>
          <cell r="C34">
            <v>8729.25</v>
          </cell>
          <cell r="D34">
            <v>81.58</v>
          </cell>
          <cell r="E34">
            <v>0</v>
          </cell>
          <cell r="F34">
            <v>0</v>
          </cell>
          <cell r="G34">
            <v>46.9</v>
          </cell>
          <cell r="H34">
            <v>8682.35</v>
          </cell>
          <cell r="I34">
            <v>5547.64</v>
          </cell>
          <cell r="J34">
            <v>28.68</v>
          </cell>
          <cell r="K34">
            <v>3163.39</v>
          </cell>
          <cell r="L34">
            <v>36.36</v>
          </cell>
          <cell r="M34">
            <v>0.52</v>
          </cell>
        </row>
        <row r="35">
          <cell r="A35" t="str">
            <v>REALLE</v>
          </cell>
          <cell r="B35">
            <v>11</v>
          </cell>
          <cell r="C35">
            <v>8067.1409999999996</v>
          </cell>
          <cell r="D35">
            <v>31.45</v>
          </cell>
          <cell r="E35">
            <v>0</v>
          </cell>
          <cell r="F35">
            <v>0</v>
          </cell>
          <cell r="G35">
            <v>0</v>
          </cell>
          <cell r="H35">
            <v>8067.1409999999996</v>
          </cell>
          <cell r="I35">
            <v>5585.3549999999996</v>
          </cell>
          <cell r="J35">
            <v>0</v>
          </cell>
          <cell r="K35">
            <v>2481.7860000000001</v>
          </cell>
          <cell r="L35">
            <v>30.76</v>
          </cell>
          <cell r="M35">
            <v>0.48</v>
          </cell>
        </row>
        <row r="36">
          <cell r="A36" t="str">
            <v>ANAUGER</v>
          </cell>
          <cell r="B36">
            <v>8</v>
          </cell>
          <cell r="C36">
            <v>7782.33</v>
          </cell>
          <cell r="D36">
            <v>353.74</v>
          </cell>
          <cell r="E36">
            <v>0</v>
          </cell>
          <cell r="F36">
            <v>0</v>
          </cell>
          <cell r="G36">
            <v>0</v>
          </cell>
          <cell r="H36">
            <v>7782.33</v>
          </cell>
          <cell r="I36">
            <v>5281.65</v>
          </cell>
          <cell r="J36">
            <v>0</v>
          </cell>
          <cell r="K36">
            <v>2500.6799999999998</v>
          </cell>
          <cell r="L36">
            <v>32.130000000000003</v>
          </cell>
          <cell r="M36">
            <v>0.46</v>
          </cell>
        </row>
        <row r="37">
          <cell r="A37" t="str">
            <v>PORTO RICO</v>
          </cell>
          <cell r="B37">
            <v>10</v>
          </cell>
          <cell r="C37">
            <v>6909.34</v>
          </cell>
          <cell r="D37">
            <v>28.32</v>
          </cell>
          <cell r="E37">
            <v>0</v>
          </cell>
          <cell r="F37">
            <v>0</v>
          </cell>
          <cell r="G37">
            <v>1019.52</v>
          </cell>
          <cell r="H37">
            <v>5889.82</v>
          </cell>
          <cell r="I37">
            <v>4087.98</v>
          </cell>
          <cell r="J37">
            <v>618.48</v>
          </cell>
          <cell r="K37">
            <v>2420.3200000000002</v>
          </cell>
          <cell r="L37">
            <v>38.47</v>
          </cell>
          <cell r="M37">
            <v>0.41</v>
          </cell>
        </row>
        <row r="38">
          <cell r="A38" t="str">
            <v>PADO</v>
          </cell>
          <cell r="B38">
            <v>13</v>
          </cell>
          <cell r="C38">
            <v>6621.41</v>
          </cell>
          <cell r="D38">
            <v>47.3</v>
          </cell>
          <cell r="E38">
            <v>0</v>
          </cell>
          <cell r="F38">
            <v>0</v>
          </cell>
          <cell r="G38">
            <v>49</v>
          </cell>
          <cell r="H38">
            <v>6572.41</v>
          </cell>
          <cell r="I38">
            <v>3716.55</v>
          </cell>
          <cell r="J38">
            <v>27.9</v>
          </cell>
          <cell r="K38">
            <v>2883.76</v>
          </cell>
          <cell r="L38">
            <v>43.74</v>
          </cell>
          <cell r="M38">
            <v>0.39</v>
          </cell>
        </row>
        <row r="39">
          <cell r="A39" t="str">
            <v>LEGRAND</v>
          </cell>
          <cell r="B39">
            <v>19</v>
          </cell>
          <cell r="C39">
            <v>6584.26</v>
          </cell>
          <cell r="D39">
            <v>16.38</v>
          </cell>
          <cell r="E39">
            <v>0</v>
          </cell>
          <cell r="F39">
            <v>0</v>
          </cell>
          <cell r="G39">
            <v>18.899999999999999</v>
          </cell>
          <cell r="H39">
            <v>6565.36</v>
          </cell>
          <cell r="I39">
            <v>3957.46</v>
          </cell>
          <cell r="J39">
            <v>11.27</v>
          </cell>
          <cell r="K39">
            <v>2619.17</v>
          </cell>
          <cell r="L39">
            <v>39.85</v>
          </cell>
          <cell r="M39">
            <v>0.39</v>
          </cell>
        </row>
        <row r="40">
          <cell r="A40" t="str">
            <v>PRATEFIX</v>
          </cell>
          <cell r="B40">
            <v>12</v>
          </cell>
          <cell r="C40">
            <v>6526.9</v>
          </cell>
          <cell r="D40">
            <v>37.729999999999997</v>
          </cell>
          <cell r="E40">
            <v>0</v>
          </cell>
          <cell r="F40">
            <v>0</v>
          </cell>
          <cell r="G40">
            <v>0</v>
          </cell>
          <cell r="H40">
            <v>6526.9</v>
          </cell>
          <cell r="I40">
            <v>3458.63</v>
          </cell>
          <cell r="J40">
            <v>0</v>
          </cell>
          <cell r="K40">
            <v>3068.27</v>
          </cell>
          <cell r="L40">
            <v>47.01</v>
          </cell>
          <cell r="M40">
            <v>0.39</v>
          </cell>
        </row>
        <row r="41">
          <cell r="A41" t="str">
            <v>SILVANA</v>
          </cell>
          <cell r="B41">
            <v>24</v>
          </cell>
          <cell r="C41">
            <v>6523.23</v>
          </cell>
          <cell r="D41">
            <v>29.79</v>
          </cell>
          <cell r="E41">
            <v>0</v>
          </cell>
          <cell r="F41">
            <v>0</v>
          </cell>
          <cell r="G41">
            <v>170</v>
          </cell>
          <cell r="H41">
            <v>6353.23</v>
          </cell>
          <cell r="I41">
            <v>3855.08</v>
          </cell>
          <cell r="J41">
            <v>98.58</v>
          </cell>
          <cell r="K41">
            <v>2596.73</v>
          </cell>
          <cell r="L41">
            <v>40.42</v>
          </cell>
          <cell r="M41">
            <v>0.39</v>
          </cell>
        </row>
        <row r="42">
          <cell r="A42" t="str">
            <v>BLUKIT</v>
          </cell>
          <cell r="B42">
            <v>41</v>
          </cell>
          <cell r="C42">
            <v>5826.47</v>
          </cell>
          <cell r="D42">
            <v>19.170000000000002</v>
          </cell>
          <cell r="E42">
            <v>0</v>
          </cell>
          <cell r="F42">
            <v>0</v>
          </cell>
          <cell r="G42">
            <v>196.6</v>
          </cell>
          <cell r="H42">
            <v>5629.87</v>
          </cell>
          <cell r="I42">
            <v>3694.16</v>
          </cell>
          <cell r="J42">
            <v>117.18</v>
          </cell>
          <cell r="K42">
            <v>2052.89</v>
          </cell>
          <cell r="L42">
            <v>35.96</v>
          </cell>
          <cell r="M42">
            <v>0.35</v>
          </cell>
        </row>
        <row r="43">
          <cell r="A43" t="str">
            <v>LUCONI</v>
          </cell>
          <cell r="B43">
            <v>59</v>
          </cell>
          <cell r="C43">
            <v>5816.83</v>
          </cell>
          <cell r="D43">
            <v>10.42</v>
          </cell>
          <cell r="E43">
            <v>0</v>
          </cell>
          <cell r="F43">
            <v>0</v>
          </cell>
          <cell r="G43">
            <v>104</v>
          </cell>
          <cell r="H43">
            <v>5712.83</v>
          </cell>
          <cell r="I43">
            <v>2863.51</v>
          </cell>
          <cell r="J43">
            <v>49.25</v>
          </cell>
          <cell r="K43">
            <v>2898.57</v>
          </cell>
          <cell r="L43">
            <v>50.26</v>
          </cell>
          <cell r="M43">
            <v>0.35</v>
          </cell>
        </row>
        <row r="44">
          <cell r="A44" t="str">
            <v>PULVITEC</v>
          </cell>
          <cell r="B44">
            <v>46</v>
          </cell>
          <cell r="C44">
            <v>5677</v>
          </cell>
          <cell r="D44">
            <v>8.51</v>
          </cell>
          <cell r="E44">
            <v>0</v>
          </cell>
          <cell r="F44">
            <v>0</v>
          </cell>
          <cell r="G44">
            <v>10.9</v>
          </cell>
          <cell r="H44">
            <v>5666.1</v>
          </cell>
          <cell r="I44">
            <v>2778.14</v>
          </cell>
          <cell r="J44">
            <v>5.88</v>
          </cell>
          <cell r="K44">
            <v>2893.84</v>
          </cell>
          <cell r="L44">
            <v>51.03</v>
          </cell>
          <cell r="M44">
            <v>0.34</v>
          </cell>
        </row>
        <row r="45">
          <cell r="A45" t="str">
            <v>NORTON</v>
          </cell>
          <cell r="B45">
            <v>40</v>
          </cell>
          <cell r="C45">
            <v>5587.76</v>
          </cell>
          <cell r="D45">
            <v>2.73</v>
          </cell>
          <cell r="E45">
            <v>0</v>
          </cell>
          <cell r="F45">
            <v>0</v>
          </cell>
          <cell r="G45">
            <v>23.55</v>
          </cell>
          <cell r="H45">
            <v>5564.21</v>
          </cell>
          <cell r="I45">
            <v>2946.99</v>
          </cell>
          <cell r="J45">
            <v>13.14</v>
          </cell>
          <cell r="K45">
            <v>2630.36</v>
          </cell>
          <cell r="L45">
            <v>47.18</v>
          </cell>
          <cell r="M45">
            <v>0.33</v>
          </cell>
        </row>
        <row r="46">
          <cell r="A46" t="str">
            <v>LEDVANCE</v>
          </cell>
          <cell r="B46">
            <v>25</v>
          </cell>
          <cell r="C46">
            <v>5291.97</v>
          </cell>
          <cell r="D46">
            <v>7.86</v>
          </cell>
          <cell r="E46">
            <v>0</v>
          </cell>
          <cell r="F46">
            <v>0</v>
          </cell>
          <cell r="G46">
            <v>122.4</v>
          </cell>
          <cell r="H46">
            <v>5169.57</v>
          </cell>
          <cell r="I46">
            <v>2853.49</v>
          </cell>
          <cell r="J46">
            <v>61.73</v>
          </cell>
          <cell r="K46">
            <v>2377.81</v>
          </cell>
          <cell r="L46">
            <v>45.46</v>
          </cell>
          <cell r="M46">
            <v>0.31</v>
          </cell>
        </row>
        <row r="47">
          <cell r="A47" t="str">
            <v>ADERE</v>
          </cell>
          <cell r="B47">
            <v>30</v>
          </cell>
          <cell r="C47">
            <v>5169.34</v>
          </cell>
          <cell r="D47">
            <v>10.18</v>
          </cell>
          <cell r="E47">
            <v>0</v>
          </cell>
          <cell r="F47">
            <v>0</v>
          </cell>
          <cell r="G47">
            <v>40.9</v>
          </cell>
          <cell r="H47">
            <v>5128.4399999999996</v>
          </cell>
          <cell r="I47">
            <v>3182.14</v>
          </cell>
          <cell r="J47">
            <v>21.41</v>
          </cell>
          <cell r="K47">
            <v>1967.71</v>
          </cell>
          <cell r="L47">
            <v>38.22</v>
          </cell>
          <cell r="M47">
            <v>0.31</v>
          </cell>
        </row>
        <row r="48">
          <cell r="A48" t="str">
            <v>MYPA</v>
          </cell>
          <cell r="B48">
            <v>22</v>
          </cell>
          <cell r="C48">
            <v>4872.5</v>
          </cell>
          <cell r="D48">
            <v>14.9</v>
          </cell>
          <cell r="E48">
            <v>0</v>
          </cell>
          <cell r="F48">
            <v>0</v>
          </cell>
          <cell r="G48">
            <v>0</v>
          </cell>
          <cell r="H48">
            <v>4872.5</v>
          </cell>
          <cell r="I48">
            <v>2643.33</v>
          </cell>
          <cell r="J48">
            <v>0</v>
          </cell>
          <cell r="K48">
            <v>2229.17</v>
          </cell>
          <cell r="L48">
            <v>45.75</v>
          </cell>
          <cell r="M48">
            <v>0.28999999999999998</v>
          </cell>
        </row>
        <row r="49">
          <cell r="A49" t="str">
            <v>KRONA</v>
          </cell>
          <cell r="B49">
            <v>37</v>
          </cell>
          <cell r="C49">
            <v>4734.16</v>
          </cell>
          <cell r="D49">
            <v>5.56</v>
          </cell>
          <cell r="E49">
            <v>0</v>
          </cell>
          <cell r="F49">
            <v>0</v>
          </cell>
          <cell r="G49">
            <v>74.900000000000006</v>
          </cell>
          <cell r="H49">
            <v>4659.26</v>
          </cell>
          <cell r="I49">
            <v>2641.54</v>
          </cell>
          <cell r="J49">
            <v>46.52</v>
          </cell>
          <cell r="K49">
            <v>2064.2399999999998</v>
          </cell>
          <cell r="L49">
            <v>44.04</v>
          </cell>
          <cell r="M49">
            <v>0.28000000000000003</v>
          </cell>
        </row>
        <row r="50">
          <cell r="A50" t="str">
            <v>DOCOL METAIS</v>
          </cell>
          <cell r="B50">
            <v>16</v>
          </cell>
          <cell r="C50">
            <v>4612.8599999999997</v>
          </cell>
          <cell r="D50">
            <v>83.87</v>
          </cell>
          <cell r="E50">
            <v>0</v>
          </cell>
          <cell r="F50">
            <v>0</v>
          </cell>
          <cell r="G50">
            <v>257.8</v>
          </cell>
          <cell r="H50">
            <v>4355.0600000000004</v>
          </cell>
          <cell r="I50">
            <v>2728.99</v>
          </cell>
          <cell r="J50">
            <v>133.07</v>
          </cell>
          <cell r="K50">
            <v>1759.14</v>
          </cell>
          <cell r="L50">
            <v>39.270000000000003</v>
          </cell>
          <cell r="M50">
            <v>0.27</v>
          </cell>
        </row>
        <row r="51">
          <cell r="A51" t="str">
            <v>BELLA PIA</v>
          </cell>
          <cell r="B51">
            <v>12</v>
          </cell>
          <cell r="C51">
            <v>4244.41</v>
          </cell>
          <cell r="D51">
            <v>192.93</v>
          </cell>
          <cell r="E51">
            <v>0</v>
          </cell>
          <cell r="F51">
            <v>0</v>
          </cell>
          <cell r="G51">
            <v>424.9</v>
          </cell>
          <cell r="H51">
            <v>3819.51</v>
          </cell>
          <cell r="I51">
            <v>2560.61</v>
          </cell>
          <cell r="J51">
            <v>274.8</v>
          </cell>
          <cell r="K51">
            <v>1533.7</v>
          </cell>
          <cell r="L51">
            <v>38.64</v>
          </cell>
          <cell r="M51">
            <v>0.25</v>
          </cell>
        </row>
        <row r="52">
          <cell r="A52" t="str">
            <v>PLASTMAR IND E COM</v>
          </cell>
          <cell r="B52">
            <v>10</v>
          </cell>
          <cell r="C52">
            <v>4195.91</v>
          </cell>
          <cell r="D52">
            <v>55.95</v>
          </cell>
          <cell r="E52">
            <v>0</v>
          </cell>
          <cell r="F52">
            <v>0</v>
          </cell>
          <cell r="G52">
            <v>36.9</v>
          </cell>
          <cell r="H52">
            <v>4159.01</v>
          </cell>
          <cell r="I52">
            <v>2445.3200000000002</v>
          </cell>
          <cell r="J52">
            <v>19.649999999999999</v>
          </cell>
          <cell r="K52">
            <v>1733.34</v>
          </cell>
          <cell r="L52">
            <v>41.5</v>
          </cell>
          <cell r="M52">
            <v>0.25</v>
          </cell>
        </row>
        <row r="53">
          <cell r="A53" t="str">
            <v>CENSI</v>
          </cell>
          <cell r="B53">
            <v>23</v>
          </cell>
          <cell r="C53">
            <v>4176.01</v>
          </cell>
          <cell r="D53">
            <v>28.03</v>
          </cell>
          <cell r="E53">
            <v>0</v>
          </cell>
          <cell r="F53">
            <v>0</v>
          </cell>
          <cell r="G53">
            <v>135</v>
          </cell>
          <cell r="H53">
            <v>4041.01</v>
          </cell>
          <cell r="I53">
            <v>2565.7800000000002</v>
          </cell>
          <cell r="J53">
            <v>84.44</v>
          </cell>
          <cell r="K53">
            <v>1559.67</v>
          </cell>
          <cell r="L53">
            <v>38.119999999999997</v>
          </cell>
          <cell r="M53">
            <v>0.25</v>
          </cell>
        </row>
        <row r="54">
          <cell r="A54" t="str">
            <v>CORTAG</v>
          </cell>
          <cell r="B54">
            <v>21</v>
          </cell>
          <cell r="C54">
            <v>3930.86</v>
          </cell>
          <cell r="D54">
            <v>15.79</v>
          </cell>
          <cell r="E54">
            <v>0</v>
          </cell>
          <cell r="F54">
            <v>0</v>
          </cell>
          <cell r="G54">
            <v>63.9</v>
          </cell>
          <cell r="H54">
            <v>3866.96</v>
          </cell>
          <cell r="I54">
            <v>2202.58</v>
          </cell>
          <cell r="J54">
            <v>40.15</v>
          </cell>
          <cell r="K54">
            <v>1704.53</v>
          </cell>
          <cell r="L54">
            <v>43.81</v>
          </cell>
          <cell r="M54">
            <v>0.23</v>
          </cell>
        </row>
        <row r="55">
          <cell r="A55" t="str">
            <v>PRATIMIX</v>
          </cell>
          <cell r="B55">
            <v>30</v>
          </cell>
          <cell r="C55">
            <v>3410.22</v>
          </cell>
          <cell r="D55">
            <v>9.94</v>
          </cell>
          <cell r="E55">
            <v>0</v>
          </cell>
          <cell r="F55">
            <v>0</v>
          </cell>
          <cell r="G55">
            <v>67.180000000000007</v>
          </cell>
          <cell r="H55">
            <v>3343.04</v>
          </cell>
          <cell r="I55">
            <v>1955.72</v>
          </cell>
          <cell r="J55">
            <v>38.76</v>
          </cell>
          <cell r="K55">
            <v>1426.08</v>
          </cell>
          <cell r="L55">
            <v>42.3</v>
          </cell>
          <cell r="M55">
            <v>0.2</v>
          </cell>
        </row>
        <row r="56">
          <cell r="A56" t="str">
            <v>BRASFORMA</v>
          </cell>
          <cell r="B56">
            <v>12</v>
          </cell>
          <cell r="C56">
            <v>3391.72</v>
          </cell>
          <cell r="D56">
            <v>40.380000000000003</v>
          </cell>
          <cell r="E56">
            <v>0</v>
          </cell>
          <cell r="F56">
            <v>0</v>
          </cell>
          <cell r="G56">
            <v>23.9</v>
          </cell>
          <cell r="H56">
            <v>3367.82</v>
          </cell>
          <cell r="I56">
            <v>1940.05</v>
          </cell>
          <cell r="J56">
            <v>12.63</v>
          </cell>
          <cell r="K56">
            <v>1440.4</v>
          </cell>
          <cell r="L56">
            <v>42.63</v>
          </cell>
          <cell r="M56">
            <v>0.2</v>
          </cell>
        </row>
        <row r="57">
          <cell r="A57" t="str">
            <v>ALIANÇA</v>
          </cell>
          <cell r="B57">
            <v>3</v>
          </cell>
          <cell r="C57">
            <v>3219.2</v>
          </cell>
          <cell r="D57">
            <v>55.5</v>
          </cell>
          <cell r="E57">
            <v>0</v>
          </cell>
          <cell r="F57">
            <v>0</v>
          </cell>
          <cell r="G57">
            <v>56.9</v>
          </cell>
          <cell r="H57">
            <v>3162.3</v>
          </cell>
          <cell r="I57">
            <v>2019.91</v>
          </cell>
          <cell r="J57">
            <v>34.020000000000003</v>
          </cell>
          <cell r="K57">
            <v>1176.4100000000001</v>
          </cell>
          <cell r="L57">
            <v>36.93</v>
          </cell>
          <cell r="M57">
            <v>0.19</v>
          </cell>
        </row>
        <row r="58">
          <cell r="A58" t="str">
            <v>HIDRACOR</v>
          </cell>
          <cell r="B58">
            <v>14</v>
          </cell>
          <cell r="C58">
            <v>3168.68</v>
          </cell>
          <cell r="D58">
            <v>3.89</v>
          </cell>
          <cell r="E58">
            <v>0</v>
          </cell>
          <cell r="F58">
            <v>0</v>
          </cell>
          <cell r="G58">
            <v>7.8</v>
          </cell>
          <cell r="H58">
            <v>3160.88</v>
          </cell>
          <cell r="I58">
            <v>1176.99</v>
          </cell>
          <cell r="J58">
            <v>2.85</v>
          </cell>
          <cell r="K58">
            <v>1986.74</v>
          </cell>
          <cell r="L58">
            <v>62.76</v>
          </cell>
          <cell r="M58">
            <v>0.19</v>
          </cell>
        </row>
        <row r="59">
          <cell r="A59" t="str">
            <v>VEDACIT</v>
          </cell>
          <cell r="B59">
            <v>9</v>
          </cell>
          <cell r="C59">
            <v>3020.16</v>
          </cell>
          <cell r="D59">
            <v>55.93</v>
          </cell>
          <cell r="E59">
            <v>0</v>
          </cell>
          <cell r="F59">
            <v>0</v>
          </cell>
          <cell r="G59">
            <v>24.9</v>
          </cell>
          <cell r="H59">
            <v>2995.26</v>
          </cell>
          <cell r="I59">
            <v>1716.17</v>
          </cell>
          <cell r="J59">
            <v>16.510000000000002</v>
          </cell>
          <cell r="K59">
            <v>1295.5999999999999</v>
          </cell>
          <cell r="L59">
            <v>43.13</v>
          </cell>
          <cell r="M59">
            <v>0.18</v>
          </cell>
        </row>
        <row r="60">
          <cell r="A60" t="str">
            <v>BOGNAR</v>
          </cell>
          <cell r="B60">
            <v>18</v>
          </cell>
          <cell r="C60">
            <v>2967.03</v>
          </cell>
          <cell r="D60">
            <v>53.95</v>
          </cell>
          <cell r="E60">
            <v>0</v>
          </cell>
          <cell r="F60">
            <v>0</v>
          </cell>
          <cell r="G60">
            <v>158.69999999999999</v>
          </cell>
          <cell r="H60">
            <v>2808.33</v>
          </cell>
          <cell r="I60">
            <v>2114.98</v>
          </cell>
          <cell r="J60">
            <v>101.23</v>
          </cell>
          <cell r="K60">
            <v>794.58</v>
          </cell>
          <cell r="L60">
            <v>27.73</v>
          </cell>
          <cell r="M60">
            <v>0.18</v>
          </cell>
        </row>
        <row r="61">
          <cell r="A61" t="str">
            <v>PRECON</v>
          </cell>
          <cell r="B61">
            <v>3</v>
          </cell>
          <cell r="C61">
            <v>2943.3</v>
          </cell>
          <cell r="D61">
            <v>133.79</v>
          </cell>
          <cell r="E61">
            <v>0</v>
          </cell>
          <cell r="F61">
            <v>0</v>
          </cell>
          <cell r="G61">
            <v>0</v>
          </cell>
          <cell r="H61">
            <v>2943.3</v>
          </cell>
          <cell r="I61">
            <v>1911.6</v>
          </cell>
          <cell r="J61">
            <v>0</v>
          </cell>
          <cell r="K61">
            <v>1031.7</v>
          </cell>
          <cell r="L61">
            <v>35.049999999999997</v>
          </cell>
          <cell r="M61">
            <v>0.17</v>
          </cell>
        </row>
        <row r="62">
          <cell r="A62" t="str">
            <v>FRANKLIN</v>
          </cell>
          <cell r="B62">
            <v>5</v>
          </cell>
          <cell r="C62">
            <v>2832.4</v>
          </cell>
          <cell r="D62">
            <v>566.48</v>
          </cell>
          <cell r="E62">
            <v>0</v>
          </cell>
          <cell r="F62">
            <v>0</v>
          </cell>
          <cell r="G62">
            <v>0</v>
          </cell>
          <cell r="H62">
            <v>2832.4</v>
          </cell>
          <cell r="I62">
            <v>1788.9</v>
          </cell>
          <cell r="J62">
            <v>0</v>
          </cell>
          <cell r="K62">
            <v>1043.5</v>
          </cell>
          <cell r="L62">
            <v>36.840000000000003</v>
          </cell>
          <cell r="M62">
            <v>0.17</v>
          </cell>
        </row>
        <row r="63">
          <cell r="A63" t="str">
            <v>ASTRA</v>
          </cell>
          <cell r="B63">
            <v>19</v>
          </cell>
          <cell r="C63">
            <v>2537.58</v>
          </cell>
          <cell r="D63">
            <v>25.12</v>
          </cell>
          <cell r="E63">
            <v>0</v>
          </cell>
          <cell r="F63">
            <v>0</v>
          </cell>
          <cell r="G63">
            <v>0</v>
          </cell>
          <cell r="H63">
            <v>2537.58</v>
          </cell>
          <cell r="I63">
            <v>1501.78</v>
          </cell>
          <cell r="J63">
            <v>0</v>
          </cell>
          <cell r="K63">
            <v>1035.8</v>
          </cell>
          <cell r="L63">
            <v>40.82</v>
          </cell>
          <cell r="M63">
            <v>0.15</v>
          </cell>
        </row>
        <row r="64">
          <cell r="A64" t="str">
            <v>VONDER</v>
          </cell>
          <cell r="B64">
            <v>6</v>
          </cell>
          <cell r="C64">
            <v>2463.06</v>
          </cell>
          <cell r="D64">
            <v>49.26</v>
          </cell>
          <cell r="E64">
            <v>0</v>
          </cell>
          <cell r="F64">
            <v>0</v>
          </cell>
          <cell r="G64">
            <v>0</v>
          </cell>
          <cell r="H64">
            <v>2463.06</v>
          </cell>
          <cell r="I64">
            <v>1496.25</v>
          </cell>
          <cell r="J64">
            <v>0</v>
          </cell>
          <cell r="K64">
            <v>966.81</v>
          </cell>
          <cell r="L64">
            <v>39.25</v>
          </cell>
          <cell r="M64">
            <v>0.15</v>
          </cell>
        </row>
        <row r="65">
          <cell r="A65" t="str">
            <v>HERC</v>
          </cell>
          <cell r="B65">
            <v>15</v>
          </cell>
          <cell r="C65">
            <v>2126.9</v>
          </cell>
          <cell r="D65">
            <v>26.59</v>
          </cell>
          <cell r="E65">
            <v>0</v>
          </cell>
          <cell r="F65">
            <v>0</v>
          </cell>
          <cell r="G65">
            <v>209.8</v>
          </cell>
          <cell r="H65">
            <v>1917.1</v>
          </cell>
          <cell r="I65">
            <v>1168.29</v>
          </cell>
          <cell r="J65">
            <v>113.79</v>
          </cell>
          <cell r="K65">
            <v>862.6</v>
          </cell>
          <cell r="L65">
            <v>42.85</v>
          </cell>
          <cell r="M65">
            <v>0.13</v>
          </cell>
        </row>
        <row r="66">
          <cell r="A66" t="str">
            <v>BEMFIXA</v>
          </cell>
          <cell r="B66">
            <v>10</v>
          </cell>
          <cell r="C66">
            <v>2100.0300000000002</v>
          </cell>
          <cell r="D66">
            <v>11.11</v>
          </cell>
          <cell r="E66">
            <v>0</v>
          </cell>
          <cell r="F66">
            <v>0</v>
          </cell>
          <cell r="G66">
            <v>0</v>
          </cell>
          <cell r="H66">
            <v>2100.0300000000002</v>
          </cell>
          <cell r="I66">
            <v>1250.33</v>
          </cell>
          <cell r="J66">
            <v>0</v>
          </cell>
          <cell r="K66">
            <v>849.7</v>
          </cell>
          <cell r="L66">
            <v>40.46</v>
          </cell>
          <cell r="M66">
            <v>0.12</v>
          </cell>
        </row>
        <row r="67">
          <cell r="A67" t="str">
            <v>EXATRON</v>
          </cell>
          <cell r="B67">
            <v>5</v>
          </cell>
          <cell r="C67">
            <v>1642.9</v>
          </cell>
          <cell r="D67">
            <v>53</v>
          </cell>
          <cell r="E67">
            <v>0</v>
          </cell>
          <cell r="F67">
            <v>0</v>
          </cell>
          <cell r="G67">
            <v>58.9</v>
          </cell>
          <cell r="H67">
            <v>1584</v>
          </cell>
          <cell r="I67">
            <v>949.19</v>
          </cell>
          <cell r="J67">
            <v>36.44</v>
          </cell>
          <cell r="K67">
            <v>671.25</v>
          </cell>
          <cell r="L67">
            <v>41.78</v>
          </cell>
          <cell r="M67">
            <v>0.1</v>
          </cell>
        </row>
        <row r="68">
          <cell r="A68" t="str">
            <v>TAF</v>
          </cell>
          <cell r="B68">
            <v>11</v>
          </cell>
          <cell r="C68">
            <v>1436.49</v>
          </cell>
          <cell r="D68">
            <v>20.23</v>
          </cell>
          <cell r="E68">
            <v>0</v>
          </cell>
          <cell r="F68">
            <v>0</v>
          </cell>
          <cell r="G68">
            <v>0</v>
          </cell>
          <cell r="H68">
            <v>1436.49</v>
          </cell>
          <cell r="I68">
            <v>792.93</v>
          </cell>
          <cell r="J68">
            <v>0</v>
          </cell>
          <cell r="K68">
            <v>643.55999999999995</v>
          </cell>
          <cell r="L68">
            <v>44.8</v>
          </cell>
          <cell r="M68">
            <v>0.09</v>
          </cell>
        </row>
        <row r="69">
          <cell r="A69" t="str">
            <v>Momfort</v>
          </cell>
          <cell r="B69">
            <v>9</v>
          </cell>
          <cell r="C69">
            <v>1420.53</v>
          </cell>
          <cell r="D69">
            <v>23.29</v>
          </cell>
          <cell r="E69">
            <v>0</v>
          </cell>
          <cell r="F69">
            <v>0</v>
          </cell>
          <cell r="G69">
            <v>0</v>
          </cell>
          <cell r="H69">
            <v>1420.53</v>
          </cell>
          <cell r="I69">
            <v>751.75</v>
          </cell>
          <cell r="J69">
            <v>0</v>
          </cell>
          <cell r="K69">
            <v>668.78</v>
          </cell>
          <cell r="L69">
            <v>47.08</v>
          </cell>
          <cell r="M69">
            <v>0.08</v>
          </cell>
        </row>
        <row r="70">
          <cell r="A70" t="str">
            <v>NAWA COM ATAC VAR PROD LAR E L</v>
          </cell>
          <cell r="B70">
            <v>3</v>
          </cell>
          <cell r="C70">
            <v>1386.85</v>
          </cell>
          <cell r="D70">
            <v>277.37</v>
          </cell>
          <cell r="E70">
            <v>0</v>
          </cell>
          <cell r="F70">
            <v>0</v>
          </cell>
          <cell r="G70">
            <v>0</v>
          </cell>
          <cell r="H70">
            <v>1386.85</v>
          </cell>
          <cell r="I70">
            <v>806.38</v>
          </cell>
          <cell r="J70">
            <v>0</v>
          </cell>
          <cell r="K70">
            <v>580.47</v>
          </cell>
          <cell r="L70">
            <v>41.86</v>
          </cell>
          <cell r="M70">
            <v>0.08</v>
          </cell>
        </row>
        <row r="71">
          <cell r="A71" t="str">
            <v>MARLUVAS</v>
          </cell>
          <cell r="B71">
            <v>4</v>
          </cell>
          <cell r="C71">
            <v>1264.5999999999999</v>
          </cell>
          <cell r="D71">
            <v>90.33</v>
          </cell>
          <cell r="E71">
            <v>0</v>
          </cell>
          <cell r="F71">
            <v>0</v>
          </cell>
          <cell r="G71">
            <v>0</v>
          </cell>
          <cell r="H71">
            <v>1264.5999999999999</v>
          </cell>
          <cell r="I71">
            <v>774.46</v>
          </cell>
          <cell r="J71">
            <v>0</v>
          </cell>
          <cell r="K71">
            <v>490.14</v>
          </cell>
          <cell r="L71">
            <v>38.76</v>
          </cell>
          <cell r="M71">
            <v>0.08</v>
          </cell>
        </row>
        <row r="72">
          <cell r="A72" t="str">
            <v>METALOSA</v>
          </cell>
          <cell r="B72">
            <v>2</v>
          </cell>
          <cell r="C72">
            <v>1200.0999999999999</v>
          </cell>
          <cell r="D72">
            <v>200.02</v>
          </cell>
          <cell r="E72">
            <v>0</v>
          </cell>
          <cell r="F72">
            <v>0</v>
          </cell>
          <cell r="G72">
            <v>0</v>
          </cell>
          <cell r="H72">
            <v>1200.0999999999999</v>
          </cell>
          <cell r="I72">
            <v>678.87</v>
          </cell>
          <cell r="J72">
            <v>0</v>
          </cell>
          <cell r="K72">
            <v>521.23</v>
          </cell>
          <cell r="L72">
            <v>43.43</v>
          </cell>
          <cell r="M72">
            <v>7.0000000000000007E-2</v>
          </cell>
        </row>
        <row r="73">
          <cell r="A73" t="str">
            <v>BRASILIT</v>
          </cell>
          <cell r="B73">
            <v>2</v>
          </cell>
          <cell r="C73">
            <v>1196.1600000000001</v>
          </cell>
          <cell r="D73">
            <v>74.760000000000005</v>
          </cell>
          <cell r="E73">
            <v>0</v>
          </cell>
          <cell r="F73">
            <v>0</v>
          </cell>
          <cell r="G73">
            <v>0</v>
          </cell>
          <cell r="H73">
            <v>1196.1600000000001</v>
          </cell>
          <cell r="I73">
            <v>772.96</v>
          </cell>
          <cell r="J73">
            <v>0</v>
          </cell>
          <cell r="K73">
            <v>423.2</v>
          </cell>
          <cell r="L73">
            <v>35.380000000000003</v>
          </cell>
          <cell r="M73">
            <v>7.0000000000000007E-2</v>
          </cell>
        </row>
        <row r="74">
          <cell r="A74" t="str">
            <v>ILUMI</v>
          </cell>
          <cell r="B74">
            <v>10</v>
          </cell>
          <cell r="C74">
            <v>1138.02</v>
          </cell>
          <cell r="D74">
            <v>17.78</v>
          </cell>
          <cell r="E74">
            <v>0</v>
          </cell>
          <cell r="F74">
            <v>0</v>
          </cell>
          <cell r="G74">
            <v>0</v>
          </cell>
          <cell r="H74">
            <v>1138.02</v>
          </cell>
          <cell r="I74">
            <v>636.51</v>
          </cell>
          <cell r="J74">
            <v>0</v>
          </cell>
          <cell r="K74">
            <v>501.51</v>
          </cell>
          <cell r="L74">
            <v>44.07</v>
          </cell>
          <cell r="M74">
            <v>7.0000000000000007E-2</v>
          </cell>
        </row>
        <row r="75">
          <cell r="A75" t="str">
            <v>ULTRACLEAN</v>
          </cell>
          <cell r="B75">
            <v>6</v>
          </cell>
          <cell r="C75">
            <v>1100.24</v>
          </cell>
          <cell r="D75">
            <v>20.37</v>
          </cell>
          <cell r="E75">
            <v>0</v>
          </cell>
          <cell r="F75">
            <v>0</v>
          </cell>
          <cell r="G75">
            <v>0</v>
          </cell>
          <cell r="H75">
            <v>1100.24</v>
          </cell>
          <cell r="I75">
            <v>650.94000000000005</v>
          </cell>
          <cell r="J75">
            <v>0</v>
          </cell>
          <cell r="K75">
            <v>449.3</v>
          </cell>
          <cell r="L75">
            <v>40.840000000000003</v>
          </cell>
          <cell r="M75">
            <v>7.0000000000000007E-2</v>
          </cell>
        </row>
        <row r="76">
          <cell r="A76" t="str">
            <v>ULTRA CLEAN</v>
          </cell>
          <cell r="B76">
            <v>4</v>
          </cell>
          <cell r="C76">
            <v>975.2</v>
          </cell>
          <cell r="D76">
            <v>22.16</v>
          </cell>
          <cell r="E76">
            <v>0</v>
          </cell>
          <cell r="F76">
            <v>0</v>
          </cell>
          <cell r="G76">
            <v>0</v>
          </cell>
          <cell r="H76">
            <v>975.2</v>
          </cell>
          <cell r="I76">
            <v>594.38</v>
          </cell>
          <cell r="J76">
            <v>0</v>
          </cell>
          <cell r="K76">
            <v>380.82</v>
          </cell>
          <cell r="L76">
            <v>39.049999999999997</v>
          </cell>
          <cell r="M76">
            <v>0.06</v>
          </cell>
        </row>
        <row r="77">
          <cell r="A77" t="str">
            <v>GARDENLIFE</v>
          </cell>
          <cell r="B77">
            <v>5</v>
          </cell>
          <cell r="C77">
            <v>972.58</v>
          </cell>
          <cell r="D77">
            <v>97.26</v>
          </cell>
          <cell r="E77">
            <v>0</v>
          </cell>
          <cell r="F77">
            <v>0</v>
          </cell>
          <cell r="G77">
            <v>0</v>
          </cell>
          <cell r="H77">
            <v>972.58</v>
          </cell>
          <cell r="I77">
            <v>617.02</v>
          </cell>
          <cell r="J77">
            <v>0</v>
          </cell>
          <cell r="K77">
            <v>355.56</v>
          </cell>
          <cell r="L77">
            <v>36.56</v>
          </cell>
          <cell r="M77">
            <v>0.06</v>
          </cell>
        </row>
        <row r="78">
          <cell r="A78" t="str">
            <v>TRAMONTINA NORDESTE</v>
          </cell>
          <cell r="B78">
            <v>5</v>
          </cell>
          <cell r="C78">
            <v>936.27</v>
          </cell>
          <cell r="D78">
            <v>85.12</v>
          </cell>
          <cell r="E78">
            <v>0</v>
          </cell>
          <cell r="F78">
            <v>0</v>
          </cell>
          <cell r="G78">
            <v>0</v>
          </cell>
          <cell r="H78">
            <v>936.27</v>
          </cell>
          <cell r="I78">
            <v>626.24</v>
          </cell>
          <cell r="J78">
            <v>0</v>
          </cell>
          <cell r="K78">
            <v>310.02999999999997</v>
          </cell>
          <cell r="L78">
            <v>33.11</v>
          </cell>
          <cell r="M78">
            <v>0.06</v>
          </cell>
        </row>
        <row r="79">
          <cell r="A79" t="str">
            <v>STARRETT INDUSTRIA E COMERCIO</v>
          </cell>
          <cell r="B79">
            <v>9</v>
          </cell>
          <cell r="C79">
            <v>922.83</v>
          </cell>
          <cell r="D79">
            <v>17.41</v>
          </cell>
          <cell r="E79">
            <v>0</v>
          </cell>
          <cell r="F79">
            <v>0</v>
          </cell>
          <cell r="G79">
            <v>0</v>
          </cell>
          <cell r="H79">
            <v>922.83</v>
          </cell>
          <cell r="I79">
            <v>531.91999999999996</v>
          </cell>
          <cell r="J79">
            <v>0</v>
          </cell>
          <cell r="K79">
            <v>390.91</v>
          </cell>
          <cell r="L79">
            <v>42.36</v>
          </cell>
          <cell r="M79">
            <v>0.05</v>
          </cell>
        </row>
        <row r="80">
          <cell r="A80" t="str">
            <v>SECALUX</v>
          </cell>
          <cell r="B80">
            <v>4</v>
          </cell>
          <cell r="C80">
            <v>828.23</v>
          </cell>
          <cell r="D80">
            <v>63.71</v>
          </cell>
          <cell r="E80">
            <v>0</v>
          </cell>
          <cell r="F80">
            <v>0</v>
          </cell>
          <cell r="G80">
            <v>25.9</v>
          </cell>
          <cell r="H80">
            <v>802.33</v>
          </cell>
          <cell r="I80">
            <v>529.47</v>
          </cell>
          <cell r="J80">
            <v>15.06</v>
          </cell>
          <cell r="K80">
            <v>287.92</v>
          </cell>
          <cell r="L80">
            <v>35.409999999999997</v>
          </cell>
          <cell r="M80">
            <v>0.05</v>
          </cell>
        </row>
        <row r="81">
          <cell r="A81" t="str">
            <v>DUDA</v>
          </cell>
          <cell r="B81">
            <v>4</v>
          </cell>
          <cell r="C81">
            <v>821.58</v>
          </cell>
          <cell r="D81">
            <v>29.13</v>
          </cell>
          <cell r="E81">
            <v>0</v>
          </cell>
          <cell r="F81">
            <v>0</v>
          </cell>
          <cell r="G81">
            <v>0</v>
          </cell>
          <cell r="H81">
            <v>821.58</v>
          </cell>
          <cell r="I81">
            <v>545.48400000000004</v>
          </cell>
          <cell r="J81">
            <v>0</v>
          </cell>
          <cell r="K81">
            <v>276.096</v>
          </cell>
          <cell r="L81">
            <v>33.61</v>
          </cell>
          <cell r="M81">
            <v>0.05</v>
          </cell>
        </row>
        <row r="82">
          <cell r="A82" t="str">
            <v>BOTAFOGO</v>
          </cell>
          <cell r="B82">
            <v>1</v>
          </cell>
          <cell r="C82">
            <v>775.9</v>
          </cell>
          <cell r="D82">
            <v>775.9</v>
          </cell>
          <cell r="E82">
            <v>0</v>
          </cell>
          <cell r="F82">
            <v>0</v>
          </cell>
          <cell r="G82">
            <v>0</v>
          </cell>
          <cell r="H82">
            <v>775.9</v>
          </cell>
          <cell r="I82">
            <v>534.42999999999995</v>
          </cell>
          <cell r="J82">
            <v>0</v>
          </cell>
          <cell r="K82">
            <v>241.47</v>
          </cell>
          <cell r="L82">
            <v>31.12</v>
          </cell>
          <cell r="M82">
            <v>0.05</v>
          </cell>
        </row>
        <row r="83">
          <cell r="A83" t="str">
            <v>FRANKE</v>
          </cell>
          <cell r="B83">
            <v>2</v>
          </cell>
          <cell r="C83">
            <v>774.8</v>
          </cell>
          <cell r="D83">
            <v>387.4</v>
          </cell>
          <cell r="E83">
            <v>0</v>
          </cell>
          <cell r="F83">
            <v>0</v>
          </cell>
          <cell r="G83">
            <v>0</v>
          </cell>
          <cell r="H83">
            <v>774.8</v>
          </cell>
          <cell r="I83">
            <v>438.59</v>
          </cell>
          <cell r="J83">
            <v>0</v>
          </cell>
          <cell r="K83">
            <v>336.21</v>
          </cell>
          <cell r="L83">
            <v>43.39</v>
          </cell>
          <cell r="M83">
            <v>0.05</v>
          </cell>
        </row>
        <row r="84">
          <cell r="A84" t="str">
            <v>PADRAO FORTE</v>
          </cell>
          <cell r="B84">
            <v>3</v>
          </cell>
          <cell r="C84">
            <v>747.34</v>
          </cell>
          <cell r="D84">
            <v>46.71</v>
          </cell>
          <cell r="E84">
            <v>0</v>
          </cell>
          <cell r="F84">
            <v>0</v>
          </cell>
          <cell r="G84">
            <v>0</v>
          </cell>
          <cell r="H84">
            <v>747.34</v>
          </cell>
          <cell r="I84">
            <v>447.55</v>
          </cell>
          <cell r="J84">
            <v>0</v>
          </cell>
          <cell r="K84">
            <v>299.79000000000002</v>
          </cell>
          <cell r="L84">
            <v>40.11</v>
          </cell>
          <cell r="M84">
            <v>0.04</v>
          </cell>
        </row>
        <row r="85">
          <cell r="A85" t="str">
            <v>TRAMONTINA</v>
          </cell>
          <cell r="B85">
            <v>6</v>
          </cell>
          <cell r="C85">
            <v>746.7</v>
          </cell>
          <cell r="D85">
            <v>32.47</v>
          </cell>
          <cell r="E85">
            <v>0</v>
          </cell>
          <cell r="F85">
            <v>0</v>
          </cell>
          <cell r="G85">
            <v>0</v>
          </cell>
          <cell r="H85">
            <v>746.7</v>
          </cell>
          <cell r="I85">
            <v>422.33</v>
          </cell>
          <cell r="J85">
            <v>0</v>
          </cell>
          <cell r="K85">
            <v>324.37</v>
          </cell>
          <cell r="L85">
            <v>43.44</v>
          </cell>
          <cell r="M85">
            <v>0.04</v>
          </cell>
        </row>
        <row r="86">
          <cell r="A86" t="str">
            <v>J LOBATO</v>
          </cell>
          <cell r="B86">
            <v>4</v>
          </cell>
          <cell r="C86">
            <v>727.19</v>
          </cell>
          <cell r="D86">
            <v>21.39</v>
          </cell>
          <cell r="E86">
            <v>0</v>
          </cell>
          <cell r="F86">
            <v>0</v>
          </cell>
          <cell r="G86">
            <v>0</v>
          </cell>
          <cell r="H86">
            <v>727.19</v>
          </cell>
          <cell r="I86">
            <v>332.1</v>
          </cell>
          <cell r="J86">
            <v>0</v>
          </cell>
          <cell r="K86">
            <v>395.09</v>
          </cell>
          <cell r="L86">
            <v>54.33</v>
          </cell>
          <cell r="M86">
            <v>0.04</v>
          </cell>
        </row>
        <row r="87">
          <cell r="A87" t="str">
            <v>ARCELORMITTAL</v>
          </cell>
          <cell r="B87">
            <v>4</v>
          </cell>
          <cell r="C87">
            <v>719.93</v>
          </cell>
          <cell r="D87">
            <v>51.42</v>
          </cell>
          <cell r="E87">
            <v>0</v>
          </cell>
          <cell r="F87">
            <v>0</v>
          </cell>
          <cell r="G87">
            <v>0</v>
          </cell>
          <cell r="H87">
            <v>719.93</v>
          </cell>
          <cell r="I87">
            <v>426.8</v>
          </cell>
          <cell r="J87">
            <v>0</v>
          </cell>
          <cell r="K87">
            <v>293.13</v>
          </cell>
          <cell r="L87">
            <v>40.72</v>
          </cell>
          <cell r="M87">
            <v>0.04</v>
          </cell>
        </row>
        <row r="88">
          <cell r="A88" t="str">
            <v>COZIMAX</v>
          </cell>
          <cell r="B88">
            <v>3</v>
          </cell>
          <cell r="C88">
            <v>704.96</v>
          </cell>
          <cell r="D88">
            <v>140.99</v>
          </cell>
          <cell r="E88">
            <v>0</v>
          </cell>
          <cell r="F88">
            <v>0</v>
          </cell>
          <cell r="G88">
            <v>0</v>
          </cell>
          <cell r="H88">
            <v>704.96</v>
          </cell>
          <cell r="I88">
            <v>432.6</v>
          </cell>
          <cell r="J88">
            <v>0</v>
          </cell>
          <cell r="K88">
            <v>272.36</v>
          </cell>
          <cell r="L88">
            <v>38.630000000000003</v>
          </cell>
          <cell r="M88">
            <v>0.04</v>
          </cell>
        </row>
        <row r="89">
          <cell r="A89" t="str">
            <v>ARAFORROS</v>
          </cell>
          <cell r="B89">
            <v>3</v>
          </cell>
          <cell r="C89">
            <v>613.70000000000005</v>
          </cell>
          <cell r="D89">
            <v>204.57</v>
          </cell>
          <cell r="E89">
            <v>0</v>
          </cell>
          <cell r="F89">
            <v>0</v>
          </cell>
          <cell r="G89">
            <v>0</v>
          </cell>
          <cell r="H89">
            <v>613.70000000000005</v>
          </cell>
          <cell r="I89">
            <v>383.2</v>
          </cell>
          <cell r="J89">
            <v>0</v>
          </cell>
          <cell r="K89">
            <v>230.5</v>
          </cell>
          <cell r="L89">
            <v>37.56</v>
          </cell>
          <cell r="M89">
            <v>0.04</v>
          </cell>
        </row>
        <row r="90">
          <cell r="A90" t="str">
            <v>GERDAU</v>
          </cell>
          <cell r="B90">
            <v>6</v>
          </cell>
          <cell r="C90">
            <v>567.04999999999995</v>
          </cell>
          <cell r="D90">
            <v>25.78</v>
          </cell>
          <cell r="E90">
            <v>0</v>
          </cell>
          <cell r="F90">
            <v>0</v>
          </cell>
          <cell r="G90">
            <v>0</v>
          </cell>
          <cell r="H90">
            <v>567.04999999999995</v>
          </cell>
          <cell r="I90">
            <v>306.54000000000002</v>
          </cell>
          <cell r="J90">
            <v>0</v>
          </cell>
          <cell r="K90">
            <v>260.51</v>
          </cell>
          <cell r="L90">
            <v>45.94</v>
          </cell>
          <cell r="M90">
            <v>0.03</v>
          </cell>
        </row>
        <row r="91">
          <cell r="A91" t="str">
            <v>BRASFORT</v>
          </cell>
          <cell r="B91">
            <v>3</v>
          </cell>
          <cell r="C91">
            <v>566.91</v>
          </cell>
          <cell r="D91">
            <v>15.32</v>
          </cell>
          <cell r="E91">
            <v>0</v>
          </cell>
          <cell r="F91">
            <v>0</v>
          </cell>
          <cell r="G91">
            <v>0</v>
          </cell>
          <cell r="H91">
            <v>566.91</v>
          </cell>
          <cell r="I91">
            <v>336.73</v>
          </cell>
          <cell r="J91">
            <v>0</v>
          </cell>
          <cell r="K91">
            <v>230.18</v>
          </cell>
          <cell r="L91">
            <v>40.6</v>
          </cell>
          <cell r="M91">
            <v>0.03</v>
          </cell>
        </row>
        <row r="92">
          <cell r="A92" t="str">
            <v>STAM</v>
          </cell>
          <cell r="B92">
            <v>2</v>
          </cell>
          <cell r="C92">
            <v>550.4</v>
          </cell>
          <cell r="D92">
            <v>78.63</v>
          </cell>
          <cell r="E92">
            <v>0</v>
          </cell>
          <cell r="F92">
            <v>0</v>
          </cell>
          <cell r="G92">
            <v>0</v>
          </cell>
          <cell r="H92">
            <v>550.4</v>
          </cell>
          <cell r="I92">
            <v>305.7</v>
          </cell>
          <cell r="J92">
            <v>0</v>
          </cell>
          <cell r="K92">
            <v>244.7</v>
          </cell>
          <cell r="L92">
            <v>44.46</v>
          </cell>
          <cell r="M92">
            <v>0.03</v>
          </cell>
        </row>
        <row r="93">
          <cell r="A93" t="str">
            <v>ONDULINE</v>
          </cell>
          <cell r="B93">
            <v>4</v>
          </cell>
          <cell r="C93">
            <v>516.82000000000005</v>
          </cell>
          <cell r="D93">
            <v>51.68</v>
          </cell>
          <cell r="E93">
            <v>0</v>
          </cell>
          <cell r="F93">
            <v>0</v>
          </cell>
          <cell r="G93">
            <v>0</v>
          </cell>
          <cell r="H93">
            <v>516.82000000000005</v>
          </cell>
          <cell r="I93">
            <v>311.38</v>
          </cell>
          <cell r="J93">
            <v>0</v>
          </cell>
          <cell r="K93">
            <v>205.44</v>
          </cell>
          <cell r="L93">
            <v>39.75</v>
          </cell>
          <cell r="M93">
            <v>0.03</v>
          </cell>
        </row>
        <row r="94">
          <cell r="A94" t="str">
            <v>KALIPSO</v>
          </cell>
          <cell r="B94">
            <v>4</v>
          </cell>
          <cell r="C94">
            <v>509.88</v>
          </cell>
          <cell r="D94">
            <v>10.199999999999999</v>
          </cell>
          <cell r="E94">
            <v>0</v>
          </cell>
          <cell r="F94">
            <v>0</v>
          </cell>
          <cell r="G94">
            <v>0</v>
          </cell>
          <cell r="H94">
            <v>509.88</v>
          </cell>
          <cell r="I94">
            <v>248.24</v>
          </cell>
          <cell r="J94">
            <v>0</v>
          </cell>
          <cell r="K94">
            <v>261.64</v>
          </cell>
          <cell r="L94">
            <v>51.31</v>
          </cell>
          <cell r="M94">
            <v>0.03</v>
          </cell>
        </row>
        <row r="95">
          <cell r="A95" t="str">
            <v>LGMAIS</v>
          </cell>
          <cell r="B95">
            <v>1</v>
          </cell>
          <cell r="C95">
            <v>499.8</v>
          </cell>
          <cell r="D95">
            <v>249.9</v>
          </cell>
          <cell r="E95">
            <v>0</v>
          </cell>
          <cell r="F95">
            <v>0</v>
          </cell>
          <cell r="G95">
            <v>0</v>
          </cell>
          <cell r="H95">
            <v>499.8</v>
          </cell>
          <cell r="I95">
            <v>306.06</v>
          </cell>
          <cell r="J95">
            <v>0</v>
          </cell>
          <cell r="K95">
            <v>193.74</v>
          </cell>
          <cell r="L95">
            <v>38.76</v>
          </cell>
          <cell r="M95">
            <v>0.03</v>
          </cell>
        </row>
        <row r="96">
          <cell r="A96" t="str">
            <v>Max-Giro</v>
          </cell>
          <cell r="B96">
            <v>4</v>
          </cell>
          <cell r="C96">
            <v>491.59</v>
          </cell>
          <cell r="D96">
            <v>11.99</v>
          </cell>
          <cell r="E96">
            <v>0</v>
          </cell>
          <cell r="F96">
            <v>0</v>
          </cell>
          <cell r="G96">
            <v>0</v>
          </cell>
          <cell r="H96">
            <v>491.59</v>
          </cell>
          <cell r="I96">
            <v>276.27</v>
          </cell>
          <cell r="J96">
            <v>0</v>
          </cell>
          <cell r="K96">
            <v>215.32</v>
          </cell>
          <cell r="L96">
            <v>43.8</v>
          </cell>
          <cell r="M96">
            <v>0.03</v>
          </cell>
        </row>
        <row r="97">
          <cell r="A97" t="str">
            <v>EPLAST</v>
          </cell>
          <cell r="B97">
            <v>2</v>
          </cell>
          <cell r="C97">
            <v>442.16</v>
          </cell>
          <cell r="D97">
            <v>36.85</v>
          </cell>
          <cell r="E97">
            <v>0</v>
          </cell>
          <cell r="F97">
            <v>0</v>
          </cell>
          <cell r="G97">
            <v>254.66</v>
          </cell>
          <cell r="H97">
            <v>187.5</v>
          </cell>
          <cell r="I97">
            <v>296.52</v>
          </cell>
          <cell r="J97">
            <v>172.97</v>
          </cell>
          <cell r="K97">
            <v>63.95</v>
          </cell>
          <cell r="L97">
            <v>23.76</v>
          </cell>
          <cell r="M97">
            <v>0.03</v>
          </cell>
        </row>
        <row r="98">
          <cell r="A98" t="str">
            <v>RHPE</v>
          </cell>
          <cell r="B98">
            <v>3</v>
          </cell>
          <cell r="C98">
            <v>426.92</v>
          </cell>
          <cell r="D98">
            <v>85.38</v>
          </cell>
          <cell r="E98">
            <v>0</v>
          </cell>
          <cell r="F98">
            <v>0</v>
          </cell>
          <cell r="G98">
            <v>0</v>
          </cell>
          <cell r="H98">
            <v>426.92</v>
          </cell>
          <cell r="I98">
            <v>266.7</v>
          </cell>
          <cell r="J98">
            <v>0</v>
          </cell>
          <cell r="K98">
            <v>160.22</v>
          </cell>
          <cell r="L98">
            <v>37.53</v>
          </cell>
          <cell r="M98">
            <v>0.03</v>
          </cell>
        </row>
        <row r="99">
          <cell r="A99" t="str">
            <v>FORTLINE</v>
          </cell>
          <cell r="B99">
            <v>2</v>
          </cell>
          <cell r="C99">
            <v>419.7</v>
          </cell>
          <cell r="D99">
            <v>139.9</v>
          </cell>
          <cell r="E99">
            <v>0</v>
          </cell>
          <cell r="F99">
            <v>0</v>
          </cell>
          <cell r="G99">
            <v>0</v>
          </cell>
          <cell r="H99">
            <v>419.7</v>
          </cell>
          <cell r="I99">
            <v>256.16000000000003</v>
          </cell>
          <cell r="J99">
            <v>0</v>
          </cell>
          <cell r="K99">
            <v>163.54</v>
          </cell>
          <cell r="L99">
            <v>38.97</v>
          </cell>
          <cell r="M99">
            <v>0.02</v>
          </cell>
        </row>
        <row r="100">
          <cell r="A100" t="str">
            <v>TRAMONTINA ELETRIK S.A.</v>
          </cell>
          <cell r="B100">
            <v>5</v>
          </cell>
          <cell r="C100">
            <v>357.79</v>
          </cell>
          <cell r="D100">
            <v>14.91</v>
          </cell>
          <cell r="E100">
            <v>0</v>
          </cell>
          <cell r="F100">
            <v>0</v>
          </cell>
          <cell r="G100">
            <v>0</v>
          </cell>
          <cell r="H100">
            <v>357.79</v>
          </cell>
          <cell r="I100">
            <v>226.21</v>
          </cell>
          <cell r="J100">
            <v>0</v>
          </cell>
          <cell r="K100">
            <v>131.58000000000001</v>
          </cell>
          <cell r="L100">
            <v>36.78</v>
          </cell>
          <cell r="M100">
            <v>0.02</v>
          </cell>
        </row>
        <row r="101">
          <cell r="A101" t="str">
            <v>INCESA</v>
          </cell>
          <cell r="B101">
            <v>1</v>
          </cell>
          <cell r="C101">
            <v>336.75</v>
          </cell>
          <cell r="D101">
            <v>44.9</v>
          </cell>
          <cell r="E101">
            <v>0</v>
          </cell>
          <cell r="F101">
            <v>0</v>
          </cell>
          <cell r="G101">
            <v>0</v>
          </cell>
          <cell r="H101">
            <v>336.75</v>
          </cell>
          <cell r="I101">
            <v>141.82499999999999</v>
          </cell>
          <cell r="J101">
            <v>0</v>
          </cell>
          <cell r="K101">
            <v>194.92500000000001</v>
          </cell>
          <cell r="L101">
            <v>57.88</v>
          </cell>
          <cell r="M101">
            <v>0.02</v>
          </cell>
        </row>
        <row r="102">
          <cell r="A102" t="str">
            <v>EXTRALUX</v>
          </cell>
          <cell r="B102">
            <v>3</v>
          </cell>
          <cell r="C102">
            <v>317.8</v>
          </cell>
          <cell r="D102">
            <v>28.89</v>
          </cell>
          <cell r="E102">
            <v>0</v>
          </cell>
          <cell r="F102">
            <v>0</v>
          </cell>
          <cell r="G102">
            <v>0</v>
          </cell>
          <cell r="H102">
            <v>317.8</v>
          </cell>
          <cell r="I102">
            <v>191.85</v>
          </cell>
          <cell r="J102">
            <v>0</v>
          </cell>
          <cell r="K102">
            <v>125.95</v>
          </cell>
          <cell r="L102">
            <v>39.630000000000003</v>
          </cell>
          <cell r="M102">
            <v>0.02</v>
          </cell>
        </row>
        <row r="103">
          <cell r="A103" t="str">
            <v>EXTRALUZ</v>
          </cell>
          <cell r="B103">
            <v>5</v>
          </cell>
          <cell r="C103">
            <v>307.60000000000002</v>
          </cell>
          <cell r="D103">
            <v>16.190000000000001</v>
          </cell>
          <cell r="E103">
            <v>0</v>
          </cell>
          <cell r="F103">
            <v>0</v>
          </cell>
          <cell r="G103">
            <v>0</v>
          </cell>
          <cell r="H103">
            <v>307.60000000000002</v>
          </cell>
          <cell r="I103">
            <v>189.62</v>
          </cell>
          <cell r="J103">
            <v>0</v>
          </cell>
          <cell r="K103">
            <v>117.98</v>
          </cell>
          <cell r="L103">
            <v>38.36</v>
          </cell>
          <cell r="M103">
            <v>0.02</v>
          </cell>
        </row>
        <row r="104">
          <cell r="A104" t="str">
            <v>OVERTIME</v>
          </cell>
          <cell r="B104">
            <v>2</v>
          </cell>
          <cell r="C104">
            <v>289.95</v>
          </cell>
          <cell r="D104">
            <v>32.22</v>
          </cell>
          <cell r="E104">
            <v>0</v>
          </cell>
          <cell r="F104">
            <v>0</v>
          </cell>
          <cell r="G104">
            <v>10.9</v>
          </cell>
          <cell r="H104">
            <v>279.05</v>
          </cell>
          <cell r="I104">
            <v>175.48</v>
          </cell>
          <cell r="J104">
            <v>6.45</v>
          </cell>
          <cell r="K104">
            <v>110.02</v>
          </cell>
          <cell r="L104">
            <v>38.81</v>
          </cell>
          <cell r="M104">
            <v>0.02</v>
          </cell>
        </row>
        <row r="105">
          <cell r="A105" t="str">
            <v>PADOVA</v>
          </cell>
          <cell r="B105">
            <v>4</v>
          </cell>
          <cell r="C105">
            <v>240.9</v>
          </cell>
          <cell r="D105">
            <v>21.9</v>
          </cell>
          <cell r="E105">
            <v>0</v>
          </cell>
          <cell r="F105">
            <v>0</v>
          </cell>
          <cell r="G105">
            <v>0</v>
          </cell>
          <cell r="H105">
            <v>240.9</v>
          </cell>
          <cell r="I105">
            <v>147.94</v>
          </cell>
          <cell r="J105">
            <v>0</v>
          </cell>
          <cell r="K105">
            <v>92.96</v>
          </cell>
          <cell r="L105">
            <v>38.590000000000003</v>
          </cell>
          <cell r="M105">
            <v>0.01</v>
          </cell>
        </row>
        <row r="106">
          <cell r="A106" t="str">
            <v>ORBI QUIMICA LTDA</v>
          </cell>
          <cell r="B106">
            <v>5</v>
          </cell>
          <cell r="C106">
            <v>237.7</v>
          </cell>
          <cell r="D106">
            <v>13.98</v>
          </cell>
          <cell r="E106">
            <v>0</v>
          </cell>
          <cell r="F106">
            <v>0</v>
          </cell>
          <cell r="G106">
            <v>0</v>
          </cell>
          <cell r="H106">
            <v>237.7</v>
          </cell>
          <cell r="I106">
            <v>133.97</v>
          </cell>
          <cell r="J106">
            <v>0</v>
          </cell>
          <cell r="K106">
            <v>103.73</v>
          </cell>
          <cell r="L106">
            <v>43.64</v>
          </cell>
          <cell r="M106">
            <v>0.01</v>
          </cell>
        </row>
        <row r="107">
          <cell r="A107" t="str">
            <v>COMFORT DOOR</v>
          </cell>
          <cell r="B107">
            <v>4</v>
          </cell>
          <cell r="C107">
            <v>218.3</v>
          </cell>
          <cell r="D107">
            <v>24.26</v>
          </cell>
          <cell r="E107">
            <v>0</v>
          </cell>
          <cell r="F107">
            <v>0</v>
          </cell>
          <cell r="G107">
            <v>0</v>
          </cell>
          <cell r="H107">
            <v>218.3</v>
          </cell>
          <cell r="I107">
            <v>120.44</v>
          </cell>
          <cell r="J107">
            <v>0</v>
          </cell>
          <cell r="K107">
            <v>97.86</v>
          </cell>
          <cell r="L107">
            <v>44.83</v>
          </cell>
          <cell r="M107">
            <v>0.01</v>
          </cell>
        </row>
        <row r="108">
          <cell r="A108" t="str">
            <v>ATTENA</v>
          </cell>
          <cell r="B108">
            <v>2</v>
          </cell>
          <cell r="C108">
            <v>190.1</v>
          </cell>
          <cell r="D108">
            <v>31.68</v>
          </cell>
          <cell r="E108">
            <v>0</v>
          </cell>
          <cell r="F108">
            <v>0</v>
          </cell>
          <cell r="G108">
            <v>0</v>
          </cell>
          <cell r="H108">
            <v>190.1</v>
          </cell>
          <cell r="I108">
            <v>219.1</v>
          </cell>
          <cell r="J108">
            <v>0</v>
          </cell>
          <cell r="K108">
            <v>-29</v>
          </cell>
          <cell r="L108">
            <v>0</v>
          </cell>
          <cell r="M108">
            <v>0.01</v>
          </cell>
        </row>
        <row r="109">
          <cell r="A109" t="str">
            <v>BOSCH</v>
          </cell>
          <cell r="B109">
            <v>2</v>
          </cell>
          <cell r="C109">
            <v>180.1</v>
          </cell>
          <cell r="D109">
            <v>60.03</v>
          </cell>
          <cell r="E109">
            <v>0</v>
          </cell>
          <cell r="F109">
            <v>0</v>
          </cell>
          <cell r="G109">
            <v>0</v>
          </cell>
          <cell r="H109">
            <v>180.1</v>
          </cell>
          <cell r="I109">
            <v>120.85</v>
          </cell>
          <cell r="J109">
            <v>0</v>
          </cell>
          <cell r="K109">
            <v>59.25</v>
          </cell>
          <cell r="L109">
            <v>32.9</v>
          </cell>
          <cell r="M109">
            <v>0.01</v>
          </cell>
        </row>
        <row r="110">
          <cell r="A110" t="str">
            <v>PINTSILK</v>
          </cell>
          <cell r="B110">
            <v>2</v>
          </cell>
          <cell r="C110">
            <v>160.9</v>
          </cell>
          <cell r="D110">
            <v>80.45</v>
          </cell>
          <cell r="E110">
            <v>0</v>
          </cell>
          <cell r="F110">
            <v>0</v>
          </cell>
          <cell r="G110">
            <v>0</v>
          </cell>
          <cell r="H110">
            <v>160.9</v>
          </cell>
          <cell r="I110">
            <v>88.24</v>
          </cell>
          <cell r="J110">
            <v>0</v>
          </cell>
          <cell r="K110">
            <v>72.66</v>
          </cell>
          <cell r="L110">
            <v>45.16</v>
          </cell>
          <cell r="M110">
            <v>0.01</v>
          </cell>
        </row>
        <row r="111">
          <cell r="A111" t="str">
            <v>KAPAZI</v>
          </cell>
          <cell r="B111">
            <v>3</v>
          </cell>
          <cell r="C111">
            <v>153.86000000000001</v>
          </cell>
          <cell r="D111">
            <v>38.47</v>
          </cell>
          <cell r="E111">
            <v>0</v>
          </cell>
          <cell r="F111">
            <v>0</v>
          </cell>
          <cell r="G111">
            <v>0</v>
          </cell>
          <cell r="H111">
            <v>153.86000000000001</v>
          </cell>
          <cell r="I111">
            <v>97.46</v>
          </cell>
          <cell r="J111">
            <v>0</v>
          </cell>
          <cell r="K111">
            <v>56.4</v>
          </cell>
          <cell r="L111">
            <v>36.659999999999997</v>
          </cell>
          <cell r="M111">
            <v>0.01</v>
          </cell>
        </row>
        <row r="112">
          <cell r="A112" t="str">
            <v>GABRIELLA</v>
          </cell>
          <cell r="B112">
            <v>1</v>
          </cell>
          <cell r="C112">
            <v>139.30000000000001</v>
          </cell>
          <cell r="D112">
            <v>19.899999999999999</v>
          </cell>
          <cell r="E112">
            <v>0</v>
          </cell>
          <cell r="F112">
            <v>0</v>
          </cell>
          <cell r="G112">
            <v>0</v>
          </cell>
          <cell r="H112">
            <v>139.30000000000001</v>
          </cell>
          <cell r="I112">
            <v>78.260000000000005</v>
          </cell>
          <cell r="J112">
            <v>0</v>
          </cell>
          <cell r="K112">
            <v>61.04</v>
          </cell>
          <cell r="L112">
            <v>43.82</v>
          </cell>
          <cell r="M112">
            <v>0.01</v>
          </cell>
        </row>
        <row r="113">
          <cell r="A113" t="str">
            <v>EMPLAC</v>
          </cell>
          <cell r="B113">
            <v>4</v>
          </cell>
          <cell r="C113">
            <v>129.19999999999999</v>
          </cell>
          <cell r="D113">
            <v>8.08</v>
          </cell>
          <cell r="E113">
            <v>0</v>
          </cell>
          <cell r="F113">
            <v>0</v>
          </cell>
          <cell r="G113">
            <v>6.5</v>
          </cell>
          <cell r="H113">
            <v>122.7</v>
          </cell>
          <cell r="I113">
            <v>60.76</v>
          </cell>
          <cell r="J113">
            <v>3.06</v>
          </cell>
          <cell r="K113">
            <v>65</v>
          </cell>
          <cell r="L113">
            <v>51.53</v>
          </cell>
          <cell r="M113">
            <v>0.01</v>
          </cell>
        </row>
        <row r="114">
          <cell r="A114" t="str">
            <v>MASCOTE</v>
          </cell>
          <cell r="B114">
            <v>5</v>
          </cell>
          <cell r="C114">
            <v>124.4</v>
          </cell>
          <cell r="D114">
            <v>4.78</v>
          </cell>
          <cell r="E114">
            <v>0</v>
          </cell>
          <cell r="F114">
            <v>0</v>
          </cell>
          <cell r="G114">
            <v>0</v>
          </cell>
          <cell r="H114">
            <v>124.4</v>
          </cell>
          <cell r="I114">
            <v>52.93</v>
          </cell>
          <cell r="J114">
            <v>0</v>
          </cell>
          <cell r="K114">
            <v>71.47</v>
          </cell>
          <cell r="L114">
            <v>57.45</v>
          </cell>
          <cell r="M114">
            <v>0.01</v>
          </cell>
        </row>
        <row r="115">
          <cell r="A115" t="str">
            <v>LEDAN</v>
          </cell>
          <cell r="B115">
            <v>3</v>
          </cell>
          <cell r="C115">
            <v>114.18</v>
          </cell>
          <cell r="D115">
            <v>3</v>
          </cell>
          <cell r="E115">
            <v>0</v>
          </cell>
          <cell r="F115">
            <v>0</v>
          </cell>
          <cell r="G115">
            <v>0</v>
          </cell>
          <cell r="H115">
            <v>114.18</v>
          </cell>
          <cell r="I115">
            <v>72.34</v>
          </cell>
          <cell r="J115">
            <v>0</v>
          </cell>
          <cell r="K115">
            <v>41.84</v>
          </cell>
          <cell r="L115">
            <v>36.64</v>
          </cell>
          <cell r="M115">
            <v>0.01</v>
          </cell>
        </row>
        <row r="116">
          <cell r="A116" t="str">
            <v>TOP MIX</v>
          </cell>
          <cell r="B116">
            <v>1</v>
          </cell>
          <cell r="C116">
            <v>106.82</v>
          </cell>
          <cell r="D116">
            <v>106.82</v>
          </cell>
          <cell r="E116">
            <v>0</v>
          </cell>
          <cell r="F116">
            <v>0</v>
          </cell>
          <cell r="G116">
            <v>0</v>
          </cell>
          <cell r="H116">
            <v>106.82</v>
          </cell>
          <cell r="I116">
            <v>47.47</v>
          </cell>
          <cell r="J116">
            <v>0</v>
          </cell>
          <cell r="K116">
            <v>59.35</v>
          </cell>
          <cell r="L116">
            <v>55.56</v>
          </cell>
          <cell r="M116">
            <v>0.01</v>
          </cell>
        </row>
        <row r="117">
          <cell r="A117" t="str">
            <v>CHEMONE</v>
          </cell>
          <cell r="B117">
            <v>3</v>
          </cell>
          <cell r="C117">
            <v>89.2</v>
          </cell>
          <cell r="D117">
            <v>11.15</v>
          </cell>
          <cell r="E117">
            <v>0</v>
          </cell>
          <cell r="F117">
            <v>0</v>
          </cell>
          <cell r="G117">
            <v>0</v>
          </cell>
          <cell r="H117">
            <v>89.2</v>
          </cell>
          <cell r="I117">
            <v>49.76</v>
          </cell>
          <cell r="J117">
            <v>0</v>
          </cell>
          <cell r="K117">
            <v>39.44</v>
          </cell>
          <cell r="L117">
            <v>44.22</v>
          </cell>
          <cell r="M117">
            <v>0.01</v>
          </cell>
        </row>
        <row r="118">
          <cell r="A118" t="str">
            <v xml:space="preserve"> RESISWAL</v>
          </cell>
          <cell r="B118">
            <v>1</v>
          </cell>
          <cell r="C118">
            <v>77.8</v>
          </cell>
          <cell r="D118">
            <v>38.9</v>
          </cell>
          <cell r="E118">
            <v>0</v>
          </cell>
          <cell r="F118">
            <v>0</v>
          </cell>
          <cell r="G118">
            <v>0</v>
          </cell>
          <cell r="H118">
            <v>77.8</v>
          </cell>
          <cell r="I118">
            <v>43.08</v>
          </cell>
          <cell r="J118">
            <v>0</v>
          </cell>
          <cell r="K118">
            <v>34.72</v>
          </cell>
          <cell r="L118">
            <v>44.63</v>
          </cell>
          <cell r="M118">
            <v>0</v>
          </cell>
        </row>
        <row r="119">
          <cell r="A119" t="str">
            <v>ANJO TINTAS E SOLVENTES</v>
          </cell>
          <cell r="B119">
            <v>1</v>
          </cell>
          <cell r="C119">
            <v>39.9</v>
          </cell>
          <cell r="D119">
            <v>39.9</v>
          </cell>
          <cell r="E119">
            <v>0</v>
          </cell>
          <cell r="F119">
            <v>0</v>
          </cell>
          <cell r="G119">
            <v>0</v>
          </cell>
          <cell r="H119">
            <v>39.9</v>
          </cell>
          <cell r="I119">
            <v>22.31</v>
          </cell>
          <cell r="J119">
            <v>0</v>
          </cell>
          <cell r="K119">
            <v>17.59</v>
          </cell>
          <cell r="L119">
            <v>44.09</v>
          </cell>
          <cell r="M119">
            <v>0</v>
          </cell>
        </row>
        <row r="120">
          <cell r="A120" t="str">
            <v>PHILIPS ILUMINACAO LA</v>
          </cell>
          <cell r="B120">
            <v>2</v>
          </cell>
          <cell r="C120">
            <v>35.4</v>
          </cell>
          <cell r="D120">
            <v>8.85</v>
          </cell>
          <cell r="E120">
            <v>0</v>
          </cell>
          <cell r="F120">
            <v>0</v>
          </cell>
          <cell r="G120">
            <v>0</v>
          </cell>
          <cell r="H120">
            <v>35.4</v>
          </cell>
          <cell r="I120">
            <v>21.11</v>
          </cell>
          <cell r="J120">
            <v>0</v>
          </cell>
          <cell r="K120">
            <v>14.29</v>
          </cell>
          <cell r="L120">
            <v>40.369999999999997</v>
          </cell>
          <cell r="M120">
            <v>0</v>
          </cell>
        </row>
        <row r="121">
          <cell r="A121" t="str">
            <v>ANJO QUIMICA DO BRASIL LTDA</v>
          </cell>
          <cell r="B121">
            <v>1</v>
          </cell>
          <cell r="C121">
            <v>29.9</v>
          </cell>
          <cell r="D121">
            <v>29.9</v>
          </cell>
          <cell r="E121">
            <v>0</v>
          </cell>
          <cell r="F121">
            <v>0</v>
          </cell>
          <cell r="G121">
            <v>0</v>
          </cell>
          <cell r="H121">
            <v>29.9</v>
          </cell>
          <cell r="I121">
            <v>17.57</v>
          </cell>
          <cell r="J121">
            <v>0</v>
          </cell>
          <cell r="K121">
            <v>12.33</v>
          </cell>
          <cell r="L121">
            <v>41.24</v>
          </cell>
          <cell r="M121">
            <v>0</v>
          </cell>
        </row>
        <row r="122">
          <cell r="A122" t="str">
            <v>INCA</v>
          </cell>
          <cell r="B122">
            <v>4</v>
          </cell>
          <cell r="C122">
            <v>28.7</v>
          </cell>
          <cell r="D122">
            <v>2.0499999999999998</v>
          </cell>
          <cell r="E122">
            <v>0</v>
          </cell>
          <cell r="F122">
            <v>0</v>
          </cell>
          <cell r="G122">
            <v>0</v>
          </cell>
          <cell r="H122">
            <v>28.7</v>
          </cell>
          <cell r="I122">
            <v>14.04</v>
          </cell>
          <cell r="J122">
            <v>0</v>
          </cell>
          <cell r="K122">
            <v>14.66</v>
          </cell>
          <cell r="L122">
            <v>51.08</v>
          </cell>
          <cell r="M122">
            <v>0</v>
          </cell>
        </row>
        <row r="123">
          <cell r="A123" t="str">
            <v>NOVA FIXACAO</v>
          </cell>
          <cell r="B123">
            <v>1</v>
          </cell>
          <cell r="C123">
            <v>10.199999999999999</v>
          </cell>
          <cell r="D123">
            <v>1.7</v>
          </cell>
          <cell r="E123">
            <v>0</v>
          </cell>
          <cell r="F123">
            <v>0</v>
          </cell>
          <cell r="G123">
            <v>0</v>
          </cell>
          <cell r="H123">
            <v>10.199999999999999</v>
          </cell>
          <cell r="I123">
            <v>5.82</v>
          </cell>
          <cell r="J123">
            <v>0</v>
          </cell>
          <cell r="K123">
            <v>4.38</v>
          </cell>
          <cell r="L123">
            <v>42.94</v>
          </cell>
          <cell r="M123">
            <v>0</v>
          </cell>
        </row>
        <row r="124">
          <cell r="A124" t="str">
            <v>outros</v>
          </cell>
          <cell r="B124">
            <v>0</v>
          </cell>
          <cell r="C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JAN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ARIELLE</v>
          </cell>
          <cell r="B2">
            <v>231</v>
          </cell>
          <cell r="C2">
            <v>228733.62119999999</v>
          </cell>
          <cell r="D2">
            <v>28.46</v>
          </cell>
          <cell r="E2">
            <v>0</v>
          </cell>
          <cell r="F2">
            <v>0</v>
          </cell>
          <cell r="G2">
            <v>8478.1190000000006</v>
          </cell>
          <cell r="H2">
            <v>220255.50219999999</v>
          </cell>
          <cell r="I2">
            <v>142544.84909999999</v>
          </cell>
          <cell r="J2">
            <v>5245.6593000000003</v>
          </cell>
          <cell r="K2">
            <v>82956.312399999995</v>
          </cell>
          <cell r="L2">
            <v>37.119999999999997</v>
          </cell>
          <cell r="M2">
            <v>16.04</v>
          </cell>
        </row>
        <row r="3">
          <cell r="A3" t="str">
            <v>INCENOR</v>
          </cell>
          <cell r="B3">
            <v>128</v>
          </cell>
          <cell r="C3">
            <v>142416.0607</v>
          </cell>
          <cell r="D3">
            <v>31.93</v>
          </cell>
          <cell r="E3">
            <v>0</v>
          </cell>
          <cell r="F3">
            <v>0</v>
          </cell>
          <cell r="G3">
            <v>1881.5441000000001</v>
          </cell>
          <cell r="H3">
            <v>140534.5166</v>
          </cell>
          <cell r="I3">
            <v>93249.1584</v>
          </cell>
          <cell r="J3">
            <v>1221.3563999999999</v>
          </cell>
          <cell r="K3">
            <v>48506.714599999999</v>
          </cell>
          <cell r="L3">
            <v>34.35</v>
          </cell>
          <cell r="M3">
            <v>9.99</v>
          </cell>
        </row>
        <row r="4">
          <cell r="A4" t="str">
            <v>DO MESTRE</v>
          </cell>
          <cell r="B4">
            <v>294</v>
          </cell>
          <cell r="C4">
            <v>104410.02</v>
          </cell>
          <cell r="D4">
            <v>20.69</v>
          </cell>
          <cell r="E4">
            <v>0</v>
          </cell>
          <cell r="F4">
            <v>0</v>
          </cell>
          <cell r="G4">
            <v>1085.76</v>
          </cell>
          <cell r="H4">
            <v>103324.26</v>
          </cell>
          <cell r="I4">
            <v>64535.91</v>
          </cell>
          <cell r="J4">
            <v>639.29999999999995</v>
          </cell>
          <cell r="K4">
            <v>39427.65</v>
          </cell>
          <cell r="L4">
            <v>37.99</v>
          </cell>
          <cell r="M4">
            <v>7.32</v>
          </cell>
        </row>
        <row r="5">
          <cell r="A5" t="str">
            <v>IQUINE</v>
          </cell>
          <cell r="B5">
            <v>77</v>
          </cell>
          <cell r="C5">
            <v>98873.879199999996</v>
          </cell>
          <cell r="D5">
            <v>24.25</v>
          </cell>
          <cell r="E5">
            <v>0</v>
          </cell>
          <cell r="F5">
            <v>0</v>
          </cell>
          <cell r="G5">
            <v>2295.451</v>
          </cell>
          <cell r="H5">
            <v>96578.428199999995</v>
          </cell>
          <cell r="I5">
            <v>58630.818399999996</v>
          </cell>
          <cell r="J5">
            <v>1294.5920000000001</v>
          </cell>
          <cell r="K5">
            <v>39242.201800000003</v>
          </cell>
          <cell r="L5">
            <v>40.22</v>
          </cell>
          <cell r="M5">
            <v>6.93</v>
          </cell>
        </row>
        <row r="6">
          <cell r="A6" t="str">
            <v>POINTER</v>
          </cell>
          <cell r="B6">
            <v>111</v>
          </cell>
          <cell r="C6">
            <v>93383.926999999996</v>
          </cell>
          <cell r="D6">
            <v>37.909999999999997</v>
          </cell>
          <cell r="E6">
            <v>0</v>
          </cell>
          <cell r="F6">
            <v>0</v>
          </cell>
          <cell r="G6">
            <v>820.38</v>
          </cell>
          <cell r="H6">
            <v>92563.547000000006</v>
          </cell>
          <cell r="I6">
            <v>57111.5363</v>
          </cell>
          <cell r="J6">
            <v>521.02599999999995</v>
          </cell>
          <cell r="K6">
            <v>35973.036699999997</v>
          </cell>
          <cell r="L6">
            <v>38.74</v>
          </cell>
          <cell r="M6">
            <v>6.55</v>
          </cell>
        </row>
        <row r="7">
          <cell r="A7" t="str">
            <v>MEGAÓ</v>
          </cell>
          <cell r="B7">
            <v>73</v>
          </cell>
          <cell r="C7">
            <v>78996.33</v>
          </cell>
          <cell r="D7">
            <v>62.5</v>
          </cell>
          <cell r="E7">
            <v>0</v>
          </cell>
          <cell r="F7">
            <v>0</v>
          </cell>
          <cell r="G7">
            <v>1090.3900000000001</v>
          </cell>
          <cell r="H7">
            <v>77905.94</v>
          </cell>
          <cell r="I7">
            <v>48645.63</v>
          </cell>
          <cell r="J7">
            <v>648.57000000000005</v>
          </cell>
          <cell r="K7">
            <v>29908.880000000001</v>
          </cell>
          <cell r="L7">
            <v>38.17</v>
          </cell>
          <cell r="M7">
            <v>5.54</v>
          </cell>
        </row>
        <row r="8">
          <cell r="A8" t="str">
            <v>ROCA</v>
          </cell>
          <cell r="B8">
            <v>70</v>
          </cell>
          <cell r="C8">
            <v>53831.15</v>
          </cell>
          <cell r="D8">
            <v>157.4</v>
          </cell>
          <cell r="E8">
            <v>0</v>
          </cell>
          <cell r="F8">
            <v>0</v>
          </cell>
          <cell r="G8">
            <v>876.52</v>
          </cell>
          <cell r="H8">
            <v>52954.63</v>
          </cell>
          <cell r="I8">
            <v>36860.5</v>
          </cell>
          <cell r="J8">
            <v>606.37</v>
          </cell>
          <cell r="K8">
            <v>16700.5</v>
          </cell>
          <cell r="L8">
            <v>31.38</v>
          </cell>
          <cell r="M8">
            <v>3.77</v>
          </cell>
        </row>
        <row r="9">
          <cell r="A9" t="str">
            <v>FORTLEV</v>
          </cell>
          <cell r="B9">
            <v>63</v>
          </cell>
          <cell r="C9">
            <v>50089.61</v>
          </cell>
          <cell r="D9">
            <v>17.829999999999998</v>
          </cell>
          <cell r="E9">
            <v>0</v>
          </cell>
          <cell r="F9">
            <v>0</v>
          </cell>
          <cell r="G9">
            <v>598.41</v>
          </cell>
          <cell r="H9">
            <v>49491.199999999997</v>
          </cell>
          <cell r="I9">
            <v>34717.32</v>
          </cell>
          <cell r="J9">
            <v>400.55</v>
          </cell>
          <cell r="K9">
            <v>15174.43</v>
          </cell>
          <cell r="L9">
            <v>30.54</v>
          </cell>
          <cell r="M9">
            <v>3.51</v>
          </cell>
        </row>
        <row r="10">
          <cell r="A10" t="str">
            <v>ETERNIT</v>
          </cell>
          <cell r="B10">
            <v>48</v>
          </cell>
          <cell r="C10">
            <v>49155.5</v>
          </cell>
          <cell r="D10">
            <v>52.24</v>
          </cell>
          <cell r="E10">
            <v>0</v>
          </cell>
          <cell r="F10">
            <v>0</v>
          </cell>
          <cell r="G10">
            <v>0</v>
          </cell>
          <cell r="H10">
            <v>49155.5</v>
          </cell>
          <cell r="I10">
            <v>37099.03</v>
          </cell>
          <cell r="J10">
            <v>0</v>
          </cell>
          <cell r="K10">
            <v>12056.47</v>
          </cell>
          <cell r="L10">
            <v>24.53</v>
          </cell>
          <cell r="M10">
            <v>3.45</v>
          </cell>
        </row>
        <row r="11">
          <cell r="A11" t="str">
            <v>PAMESA</v>
          </cell>
          <cell r="B11">
            <v>59</v>
          </cell>
          <cell r="C11">
            <v>44356.361199999999</v>
          </cell>
          <cell r="D11">
            <v>29.84</v>
          </cell>
          <cell r="E11">
            <v>0</v>
          </cell>
          <cell r="F11">
            <v>0</v>
          </cell>
          <cell r="G11">
            <v>205.32</v>
          </cell>
          <cell r="H11">
            <v>44151.0412</v>
          </cell>
          <cell r="I11">
            <v>32345.704399999999</v>
          </cell>
          <cell r="J11">
            <v>136.7148</v>
          </cell>
          <cell r="K11">
            <v>11942.051600000001</v>
          </cell>
          <cell r="L11">
            <v>27.01</v>
          </cell>
          <cell r="M11">
            <v>3.11</v>
          </cell>
        </row>
        <row r="12">
          <cell r="A12" t="str">
            <v>QUALITY</v>
          </cell>
          <cell r="B12">
            <v>47</v>
          </cell>
          <cell r="C12">
            <v>37332.33</v>
          </cell>
          <cell r="D12">
            <v>274.5</v>
          </cell>
          <cell r="E12">
            <v>0</v>
          </cell>
          <cell r="F12">
            <v>0</v>
          </cell>
          <cell r="G12">
            <v>2390.6</v>
          </cell>
          <cell r="H12">
            <v>34941.730000000003</v>
          </cell>
          <cell r="I12">
            <v>22357.02</v>
          </cell>
          <cell r="J12">
            <v>1467.77</v>
          </cell>
          <cell r="K12">
            <v>14052.48</v>
          </cell>
          <cell r="L12">
            <v>39.18</v>
          </cell>
          <cell r="M12">
            <v>2.62</v>
          </cell>
        </row>
        <row r="13">
          <cell r="A13" t="str">
            <v>WEBER QUARTZOLIT</v>
          </cell>
          <cell r="B13">
            <v>126</v>
          </cell>
          <cell r="C13">
            <v>35431.61</v>
          </cell>
          <cell r="D13">
            <v>33.08</v>
          </cell>
          <cell r="E13">
            <v>0</v>
          </cell>
          <cell r="F13">
            <v>0</v>
          </cell>
          <cell r="G13">
            <v>40.799999999999997</v>
          </cell>
          <cell r="H13">
            <v>35390.81</v>
          </cell>
          <cell r="I13">
            <v>22673.59</v>
          </cell>
          <cell r="J13">
            <v>24.82</v>
          </cell>
          <cell r="K13">
            <v>12742.04</v>
          </cell>
          <cell r="L13">
            <v>35.99</v>
          </cell>
          <cell r="M13">
            <v>2.48</v>
          </cell>
        </row>
        <row r="14">
          <cell r="A14" t="str">
            <v>TECNOGRES</v>
          </cell>
          <cell r="B14">
            <v>24</v>
          </cell>
          <cell r="C14">
            <v>27496.660199999998</v>
          </cell>
          <cell r="D14">
            <v>61.1</v>
          </cell>
          <cell r="E14">
            <v>0</v>
          </cell>
          <cell r="F14">
            <v>0</v>
          </cell>
          <cell r="G14">
            <v>2976.1950000000002</v>
          </cell>
          <cell r="H14">
            <v>24520.465199999999</v>
          </cell>
          <cell r="I14">
            <v>17263.572800000002</v>
          </cell>
          <cell r="J14">
            <v>1771.0704000000001</v>
          </cell>
          <cell r="K14">
            <v>9027.9627999999993</v>
          </cell>
          <cell r="L14">
            <v>35.090000000000003</v>
          </cell>
          <cell r="M14">
            <v>1.93</v>
          </cell>
        </row>
        <row r="15">
          <cell r="A15" t="str">
            <v>CARMELO FIOR</v>
          </cell>
          <cell r="B15">
            <v>29</v>
          </cell>
          <cell r="C15">
            <v>23945.306</v>
          </cell>
          <cell r="D15">
            <v>63.28</v>
          </cell>
          <cell r="E15">
            <v>0</v>
          </cell>
          <cell r="F15">
            <v>0</v>
          </cell>
          <cell r="G15">
            <v>0</v>
          </cell>
          <cell r="H15">
            <v>23945.306</v>
          </cell>
          <cell r="I15">
            <v>7755.3519999999999</v>
          </cell>
          <cell r="J15">
            <v>0</v>
          </cell>
          <cell r="K15">
            <v>16189.954</v>
          </cell>
          <cell r="L15">
            <v>67.61</v>
          </cell>
          <cell r="M15">
            <v>1.68</v>
          </cell>
        </row>
        <row r="16">
          <cell r="A16" t="str">
            <v>ATLAS</v>
          </cell>
          <cell r="B16">
            <v>78</v>
          </cell>
          <cell r="C16">
            <v>22365.279999999999</v>
          </cell>
          <cell r="D16">
            <v>17.309999999999999</v>
          </cell>
          <cell r="E16">
            <v>0</v>
          </cell>
          <cell r="F16">
            <v>0</v>
          </cell>
          <cell r="G16">
            <v>137.9</v>
          </cell>
          <cell r="H16">
            <v>22227.38</v>
          </cell>
          <cell r="I16">
            <v>11889.53</v>
          </cell>
          <cell r="J16">
            <v>80.05</v>
          </cell>
          <cell r="K16">
            <v>10417.9</v>
          </cell>
          <cell r="L16">
            <v>46.75</v>
          </cell>
          <cell r="M16">
            <v>1.57</v>
          </cell>
        </row>
        <row r="17">
          <cell r="A17" t="str">
            <v>COBRECOM</v>
          </cell>
          <cell r="B17">
            <v>18</v>
          </cell>
          <cell r="C17">
            <v>19319.34</v>
          </cell>
          <cell r="D17">
            <v>147.47999999999999</v>
          </cell>
          <cell r="E17">
            <v>0</v>
          </cell>
          <cell r="F17">
            <v>0</v>
          </cell>
          <cell r="G17">
            <v>0</v>
          </cell>
          <cell r="H17">
            <v>19319.34</v>
          </cell>
          <cell r="I17">
            <v>13440.55</v>
          </cell>
          <cell r="J17">
            <v>0</v>
          </cell>
          <cell r="K17">
            <v>5878.79</v>
          </cell>
          <cell r="L17">
            <v>30.43</v>
          </cell>
          <cell r="M17">
            <v>1.35</v>
          </cell>
        </row>
        <row r="18">
          <cell r="A18" t="str">
            <v>GHEL'PLUS</v>
          </cell>
          <cell r="B18">
            <v>24</v>
          </cell>
          <cell r="C18">
            <v>14304.18</v>
          </cell>
          <cell r="D18">
            <v>123.31</v>
          </cell>
          <cell r="E18">
            <v>0</v>
          </cell>
          <cell r="F18">
            <v>0</v>
          </cell>
          <cell r="G18">
            <v>594.78</v>
          </cell>
          <cell r="H18">
            <v>13709.4</v>
          </cell>
          <cell r="I18">
            <v>8951.31</v>
          </cell>
          <cell r="J18">
            <v>385.89</v>
          </cell>
          <cell r="K18">
            <v>5143.9799999999996</v>
          </cell>
          <cell r="L18">
            <v>36.96</v>
          </cell>
          <cell r="M18">
            <v>1</v>
          </cell>
        </row>
        <row r="19">
          <cell r="A19" t="str">
            <v>INTECH MACHINE</v>
          </cell>
          <cell r="B19">
            <v>26</v>
          </cell>
          <cell r="C19">
            <v>13888.87</v>
          </cell>
          <cell r="D19">
            <v>201.29</v>
          </cell>
          <cell r="E19">
            <v>0</v>
          </cell>
          <cell r="F19">
            <v>0</v>
          </cell>
          <cell r="G19">
            <v>169</v>
          </cell>
          <cell r="H19">
            <v>13719.87</v>
          </cell>
          <cell r="I19">
            <v>8868.58</v>
          </cell>
          <cell r="J19">
            <v>111.12</v>
          </cell>
          <cell r="K19">
            <v>4962.41</v>
          </cell>
          <cell r="L19">
            <v>36.020000000000003</v>
          </cell>
          <cell r="M19">
            <v>0.97</v>
          </cell>
        </row>
        <row r="20">
          <cell r="A20" t="str">
            <v>KDK PORTAS</v>
          </cell>
          <cell r="B20">
            <v>29</v>
          </cell>
          <cell r="C20">
            <v>13613.03</v>
          </cell>
          <cell r="D20">
            <v>164.01</v>
          </cell>
          <cell r="E20">
            <v>0</v>
          </cell>
          <cell r="F20">
            <v>0</v>
          </cell>
          <cell r="G20">
            <v>898.96</v>
          </cell>
          <cell r="H20">
            <v>12714.07</v>
          </cell>
          <cell r="I20">
            <v>7693.59</v>
          </cell>
          <cell r="J20">
            <v>465</v>
          </cell>
          <cell r="K20">
            <v>5485.48</v>
          </cell>
          <cell r="L20">
            <v>41.72</v>
          </cell>
          <cell r="M20">
            <v>0.95</v>
          </cell>
        </row>
        <row r="21">
          <cell r="A21" t="str">
            <v>MEC-TRONIC</v>
          </cell>
          <cell r="B21">
            <v>33</v>
          </cell>
          <cell r="C21">
            <v>13566.09</v>
          </cell>
          <cell r="D21">
            <v>10.77</v>
          </cell>
          <cell r="E21">
            <v>0</v>
          </cell>
          <cell r="F21">
            <v>0</v>
          </cell>
          <cell r="G21">
            <v>44.9</v>
          </cell>
          <cell r="H21">
            <v>13521.19</v>
          </cell>
          <cell r="I21">
            <v>6980.18</v>
          </cell>
          <cell r="J21">
            <v>21.03</v>
          </cell>
          <cell r="K21">
            <v>6562.04</v>
          </cell>
          <cell r="L21">
            <v>48.45</v>
          </cell>
          <cell r="M21">
            <v>0.95</v>
          </cell>
        </row>
        <row r="22">
          <cell r="A22" t="str">
            <v>METAIS LEAO</v>
          </cell>
          <cell r="B22">
            <v>42</v>
          </cell>
          <cell r="C22">
            <v>12489.14</v>
          </cell>
          <cell r="D22">
            <v>51.19</v>
          </cell>
          <cell r="E22">
            <v>0</v>
          </cell>
          <cell r="F22">
            <v>0</v>
          </cell>
          <cell r="G22">
            <v>185.8</v>
          </cell>
          <cell r="H22">
            <v>12303.34</v>
          </cell>
          <cell r="I22">
            <v>7673.36</v>
          </cell>
          <cell r="J22">
            <v>120.53</v>
          </cell>
          <cell r="K22">
            <v>4750.51</v>
          </cell>
          <cell r="L22">
            <v>38.409999999999997</v>
          </cell>
          <cell r="M22">
            <v>0.88</v>
          </cell>
        </row>
        <row r="23">
          <cell r="A23" t="str">
            <v>ANAUGER</v>
          </cell>
          <cell r="B23">
            <v>15</v>
          </cell>
          <cell r="C23">
            <v>12218.75</v>
          </cell>
          <cell r="D23">
            <v>321.55</v>
          </cell>
          <cell r="E23">
            <v>0</v>
          </cell>
          <cell r="F23">
            <v>0</v>
          </cell>
          <cell r="G23">
            <v>448.9</v>
          </cell>
          <cell r="H23">
            <v>11769.85</v>
          </cell>
          <cell r="I23">
            <v>8298.81</v>
          </cell>
          <cell r="J23">
            <v>291.45</v>
          </cell>
          <cell r="K23">
            <v>3762.49</v>
          </cell>
          <cell r="L23">
            <v>31.55</v>
          </cell>
          <cell r="M23">
            <v>0.86</v>
          </cell>
        </row>
        <row r="24">
          <cell r="A24" t="str">
            <v>BLACK DECKER</v>
          </cell>
          <cell r="B24">
            <v>35</v>
          </cell>
          <cell r="C24">
            <v>12116.87</v>
          </cell>
          <cell r="D24">
            <v>35.33</v>
          </cell>
          <cell r="E24">
            <v>0</v>
          </cell>
          <cell r="F24">
            <v>0</v>
          </cell>
          <cell r="G24">
            <v>416.5</v>
          </cell>
          <cell r="H24">
            <v>11700.37</v>
          </cell>
          <cell r="I24">
            <v>7451.22</v>
          </cell>
          <cell r="J24">
            <v>276.35000000000002</v>
          </cell>
          <cell r="K24">
            <v>4525.5</v>
          </cell>
          <cell r="L24">
            <v>38.22</v>
          </cell>
          <cell r="M24">
            <v>0.85</v>
          </cell>
        </row>
        <row r="25">
          <cell r="A25" t="str">
            <v>GRANPLAST</v>
          </cell>
          <cell r="B25">
            <v>42</v>
          </cell>
          <cell r="C25">
            <v>11619.62</v>
          </cell>
          <cell r="D25">
            <v>21.4</v>
          </cell>
          <cell r="E25">
            <v>0</v>
          </cell>
          <cell r="F25">
            <v>0</v>
          </cell>
          <cell r="G25">
            <v>189.3</v>
          </cell>
          <cell r="H25">
            <v>11430.32</v>
          </cell>
          <cell r="I25">
            <v>6709.42</v>
          </cell>
          <cell r="J25">
            <v>109.33</v>
          </cell>
          <cell r="K25">
            <v>4830.2299999999996</v>
          </cell>
          <cell r="L25">
            <v>41.96</v>
          </cell>
          <cell r="M25">
            <v>0.81</v>
          </cell>
        </row>
        <row r="26">
          <cell r="A26" t="str">
            <v>SILVANA</v>
          </cell>
          <cell r="B26">
            <v>30</v>
          </cell>
          <cell r="C26">
            <v>9874.57</v>
          </cell>
          <cell r="D26">
            <v>22.6</v>
          </cell>
          <cell r="E26">
            <v>0</v>
          </cell>
          <cell r="F26">
            <v>0</v>
          </cell>
          <cell r="G26">
            <v>64</v>
          </cell>
          <cell r="H26">
            <v>9810.57</v>
          </cell>
          <cell r="I26">
            <v>5789.98</v>
          </cell>
          <cell r="J26">
            <v>38.520000000000003</v>
          </cell>
          <cell r="K26">
            <v>4059.11</v>
          </cell>
          <cell r="L26">
            <v>41.27</v>
          </cell>
          <cell r="M26">
            <v>0.69</v>
          </cell>
        </row>
        <row r="27">
          <cell r="A27" t="str">
            <v>PORTO RICO</v>
          </cell>
          <cell r="B27">
            <v>9</v>
          </cell>
          <cell r="C27">
            <v>9636.2999999999993</v>
          </cell>
          <cell r="D27">
            <v>28.51</v>
          </cell>
          <cell r="E27">
            <v>0</v>
          </cell>
          <cell r="F27">
            <v>0</v>
          </cell>
          <cell r="G27">
            <v>0</v>
          </cell>
          <cell r="H27">
            <v>9636.2999999999993</v>
          </cell>
          <cell r="I27">
            <v>5799</v>
          </cell>
          <cell r="J27">
            <v>0</v>
          </cell>
          <cell r="K27">
            <v>3837.3</v>
          </cell>
          <cell r="L27">
            <v>39.82</v>
          </cell>
          <cell r="M27">
            <v>0.68</v>
          </cell>
        </row>
        <row r="28">
          <cell r="A28" t="str">
            <v>Perfilplast Industria e Comerc</v>
          </cell>
          <cell r="B28">
            <v>24</v>
          </cell>
          <cell r="C28">
            <v>8574.8459999999995</v>
          </cell>
          <cell r="D28">
            <v>67.099999999999994</v>
          </cell>
          <cell r="E28">
            <v>0</v>
          </cell>
          <cell r="F28">
            <v>0</v>
          </cell>
          <cell r="G28">
            <v>123.6</v>
          </cell>
          <cell r="H28">
            <v>8451.2459999999992</v>
          </cell>
          <cell r="I28">
            <v>5479.1360000000004</v>
          </cell>
          <cell r="J28">
            <v>80.84</v>
          </cell>
          <cell r="K28">
            <v>3052.95</v>
          </cell>
          <cell r="L28">
            <v>35.94</v>
          </cell>
          <cell r="M28">
            <v>0.6</v>
          </cell>
        </row>
        <row r="29">
          <cell r="A29" t="str">
            <v>LORENZETTI</v>
          </cell>
          <cell r="B29">
            <v>16</v>
          </cell>
          <cell r="C29">
            <v>7994.43</v>
          </cell>
          <cell r="D29">
            <v>74.709999999999994</v>
          </cell>
          <cell r="E29">
            <v>0</v>
          </cell>
          <cell r="F29">
            <v>0</v>
          </cell>
          <cell r="G29">
            <v>396.5</v>
          </cell>
          <cell r="H29">
            <v>7597.93</v>
          </cell>
          <cell r="I29">
            <v>5010.62</v>
          </cell>
          <cell r="J29">
            <v>254.1</v>
          </cell>
          <cell r="K29">
            <v>2841.41</v>
          </cell>
          <cell r="L29">
            <v>36.71</v>
          </cell>
          <cell r="M29">
            <v>0.56000000000000005</v>
          </cell>
        </row>
        <row r="30">
          <cell r="A30" t="str">
            <v>PADO</v>
          </cell>
          <cell r="B30">
            <v>14</v>
          </cell>
          <cell r="C30">
            <v>7713.17</v>
          </cell>
          <cell r="D30">
            <v>48.21</v>
          </cell>
          <cell r="E30">
            <v>0</v>
          </cell>
          <cell r="F30">
            <v>0</v>
          </cell>
          <cell r="G30">
            <v>82.9</v>
          </cell>
          <cell r="H30">
            <v>7630.27</v>
          </cell>
          <cell r="I30">
            <v>4268.83</v>
          </cell>
          <cell r="J30">
            <v>43.58</v>
          </cell>
          <cell r="K30">
            <v>3405.02</v>
          </cell>
          <cell r="L30">
            <v>44.4</v>
          </cell>
          <cell r="M30">
            <v>0.54</v>
          </cell>
        </row>
        <row r="31">
          <cell r="A31" t="str">
            <v>VIQUA</v>
          </cell>
          <cell r="B31">
            <v>22</v>
          </cell>
          <cell r="C31">
            <v>7231.96</v>
          </cell>
          <cell r="D31">
            <v>38.47</v>
          </cell>
          <cell r="E31">
            <v>0</v>
          </cell>
          <cell r="F31">
            <v>0</v>
          </cell>
          <cell r="G31">
            <v>176.5</v>
          </cell>
          <cell r="H31">
            <v>7055.46</v>
          </cell>
          <cell r="I31">
            <v>4527.3100000000004</v>
          </cell>
          <cell r="J31">
            <v>111.54</v>
          </cell>
          <cell r="K31">
            <v>2639.69</v>
          </cell>
          <cell r="L31">
            <v>37.07</v>
          </cell>
          <cell r="M31">
            <v>0.51</v>
          </cell>
        </row>
        <row r="32">
          <cell r="A32" t="str">
            <v>NITROLUX</v>
          </cell>
          <cell r="B32">
            <v>22</v>
          </cell>
          <cell r="C32">
            <v>7130.74</v>
          </cell>
          <cell r="D32">
            <v>25.2</v>
          </cell>
          <cell r="E32">
            <v>0</v>
          </cell>
          <cell r="F32">
            <v>0</v>
          </cell>
          <cell r="G32">
            <v>92.48</v>
          </cell>
          <cell r="H32">
            <v>7038.26</v>
          </cell>
          <cell r="I32">
            <v>3970.03</v>
          </cell>
          <cell r="J32">
            <v>48.49</v>
          </cell>
          <cell r="K32">
            <v>3116.72</v>
          </cell>
          <cell r="L32">
            <v>44.01</v>
          </cell>
          <cell r="M32">
            <v>0.5</v>
          </cell>
        </row>
        <row r="33">
          <cell r="A33" t="str">
            <v>MULT MIX IMPORTADORA</v>
          </cell>
          <cell r="B33">
            <v>32</v>
          </cell>
          <cell r="C33">
            <v>6933.59</v>
          </cell>
          <cell r="D33">
            <v>16.59</v>
          </cell>
          <cell r="E33">
            <v>0</v>
          </cell>
          <cell r="F33">
            <v>0</v>
          </cell>
          <cell r="G33">
            <v>6.9</v>
          </cell>
          <cell r="H33">
            <v>6926.69</v>
          </cell>
          <cell r="I33">
            <v>3672.82</v>
          </cell>
          <cell r="J33">
            <v>3.64</v>
          </cell>
          <cell r="K33">
            <v>3257.51</v>
          </cell>
          <cell r="L33">
            <v>47.01</v>
          </cell>
          <cell r="M33">
            <v>0.49</v>
          </cell>
        </row>
        <row r="34">
          <cell r="A34" t="str">
            <v>VEDACIT</v>
          </cell>
          <cell r="B34">
            <v>16</v>
          </cell>
          <cell r="C34">
            <v>6416.26</v>
          </cell>
          <cell r="D34">
            <v>55.79</v>
          </cell>
          <cell r="E34">
            <v>0</v>
          </cell>
          <cell r="F34">
            <v>0</v>
          </cell>
          <cell r="G34">
            <v>63.56</v>
          </cell>
          <cell r="H34">
            <v>6352.7</v>
          </cell>
          <cell r="I34">
            <v>3707.96</v>
          </cell>
          <cell r="J34">
            <v>46.61</v>
          </cell>
          <cell r="K34">
            <v>2691.35</v>
          </cell>
          <cell r="L34">
            <v>42.25</v>
          </cell>
          <cell r="M34">
            <v>0.45</v>
          </cell>
        </row>
        <row r="35">
          <cell r="A35" t="str">
            <v>TOP MIX</v>
          </cell>
          <cell r="B35">
            <v>3</v>
          </cell>
          <cell r="C35">
            <v>6062.05</v>
          </cell>
          <cell r="D35">
            <v>1010.34</v>
          </cell>
          <cell r="E35">
            <v>0</v>
          </cell>
          <cell r="F35">
            <v>0</v>
          </cell>
          <cell r="G35">
            <v>0</v>
          </cell>
          <cell r="H35">
            <v>6062.05</v>
          </cell>
          <cell r="I35">
            <v>3057.12</v>
          </cell>
          <cell r="J35">
            <v>0</v>
          </cell>
          <cell r="K35">
            <v>3004.93</v>
          </cell>
          <cell r="L35">
            <v>49.57</v>
          </cell>
          <cell r="M35">
            <v>0.43</v>
          </cell>
        </row>
        <row r="36">
          <cell r="A36" t="str">
            <v>CERBRAS</v>
          </cell>
          <cell r="B36">
            <v>10</v>
          </cell>
          <cell r="C36">
            <v>5999.6634000000004</v>
          </cell>
          <cell r="D36">
            <v>45.07</v>
          </cell>
          <cell r="E36">
            <v>0</v>
          </cell>
          <cell r="F36">
            <v>0</v>
          </cell>
          <cell r="G36">
            <v>0</v>
          </cell>
          <cell r="H36">
            <v>5999.6634000000004</v>
          </cell>
          <cell r="I36">
            <v>3903.4056</v>
          </cell>
          <cell r="J36">
            <v>0</v>
          </cell>
          <cell r="K36">
            <v>2096.2577999999999</v>
          </cell>
          <cell r="L36">
            <v>34.94</v>
          </cell>
          <cell r="M36">
            <v>0.42</v>
          </cell>
        </row>
        <row r="37">
          <cell r="A37" t="str">
            <v>METALURGICA MOR S/A</v>
          </cell>
          <cell r="B37">
            <v>8</v>
          </cell>
          <cell r="C37">
            <v>5436.94</v>
          </cell>
          <cell r="D37">
            <v>104.56</v>
          </cell>
          <cell r="E37">
            <v>0</v>
          </cell>
          <cell r="F37">
            <v>0</v>
          </cell>
          <cell r="G37">
            <v>0</v>
          </cell>
          <cell r="H37">
            <v>5436.94</v>
          </cell>
          <cell r="I37">
            <v>3241.75</v>
          </cell>
          <cell r="J37">
            <v>0</v>
          </cell>
          <cell r="K37">
            <v>2195.19</v>
          </cell>
          <cell r="L37">
            <v>40.380000000000003</v>
          </cell>
          <cell r="M37">
            <v>0.38</v>
          </cell>
        </row>
        <row r="38">
          <cell r="A38" t="str">
            <v>LEDVANCE</v>
          </cell>
          <cell r="B38">
            <v>21</v>
          </cell>
          <cell r="C38">
            <v>5416.46</v>
          </cell>
          <cell r="D38">
            <v>9.34</v>
          </cell>
          <cell r="E38">
            <v>0</v>
          </cell>
          <cell r="F38">
            <v>0</v>
          </cell>
          <cell r="G38">
            <v>140.5</v>
          </cell>
          <cell r="H38">
            <v>5275.96</v>
          </cell>
          <cell r="I38">
            <v>3033.74</v>
          </cell>
          <cell r="J38">
            <v>70.150000000000006</v>
          </cell>
          <cell r="K38">
            <v>2312.37</v>
          </cell>
          <cell r="L38">
            <v>43.25</v>
          </cell>
          <cell r="M38">
            <v>0.38</v>
          </cell>
        </row>
        <row r="39">
          <cell r="A39" t="str">
            <v>LEGRAND</v>
          </cell>
          <cell r="B39">
            <v>10</v>
          </cell>
          <cell r="C39">
            <v>5245.57</v>
          </cell>
          <cell r="D39">
            <v>16.71</v>
          </cell>
          <cell r="E39">
            <v>0</v>
          </cell>
          <cell r="F39">
            <v>0</v>
          </cell>
          <cell r="G39">
            <v>39.5</v>
          </cell>
          <cell r="H39">
            <v>5206.07</v>
          </cell>
          <cell r="I39">
            <v>3161.3</v>
          </cell>
          <cell r="J39">
            <v>25.73</v>
          </cell>
          <cell r="K39">
            <v>2070.5</v>
          </cell>
          <cell r="L39">
            <v>39.67</v>
          </cell>
          <cell r="M39">
            <v>0.37</v>
          </cell>
        </row>
        <row r="40">
          <cell r="A40" t="str">
            <v>LUCONI</v>
          </cell>
          <cell r="B40">
            <v>50</v>
          </cell>
          <cell r="C40">
            <v>4949.25</v>
          </cell>
          <cell r="D40">
            <v>11.07</v>
          </cell>
          <cell r="E40">
            <v>0</v>
          </cell>
          <cell r="F40">
            <v>0</v>
          </cell>
          <cell r="G40">
            <v>85.8</v>
          </cell>
          <cell r="H40">
            <v>4863.45</v>
          </cell>
          <cell r="I40">
            <v>2485.7399999999998</v>
          </cell>
          <cell r="J40">
            <v>38.369999999999997</v>
          </cell>
          <cell r="K40">
            <v>2416.08</v>
          </cell>
          <cell r="L40">
            <v>49.2</v>
          </cell>
          <cell r="M40">
            <v>0.35</v>
          </cell>
        </row>
        <row r="41">
          <cell r="A41" t="str">
            <v>AVANT</v>
          </cell>
          <cell r="B41">
            <v>20</v>
          </cell>
          <cell r="C41">
            <v>4809.5600000000004</v>
          </cell>
          <cell r="D41">
            <v>28.46</v>
          </cell>
          <cell r="E41">
            <v>0</v>
          </cell>
          <cell r="F41">
            <v>0</v>
          </cell>
          <cell r="G41">
            <v>253.7</v>
          </cell>
          <cell r="H41">
            <v>4555.8599999999997</v>
          </cell>
          <cell r="I41">
            <v>2466.17</v>
          </cell>
          <cell r="J41">
            <v>139.05000000000001</v>
          </cell>
          <cell r="K41">
            <v>2228.7399999999998</v>
          </cell>
          <cell r="L41">
            <v>47.72</v>
          </cell>
          <cell r="M41">
            <v>0.34</v>
          </cell>
        </row>
        <row r="42">
          <cell r="A42" t="str">
            <v>PULVITEC</v>
          </cell>
          <cell r="B42">
            <v>48</v>
          </cell>
          <cell r="C42">
            <v>4798.71</v>
          </cell>
          <cell r="D42">
            <v>8.4499999999999993</v>
          </cell>
          <cell r="E42">
            <v>0</v>
          </cell>
          <cell r="F42">
            <v>0</v>
          </cell>
          <cell r="G42">
            <v>17.8</v>
          </cell>
          <cell r="H42">
            <v>4780.91</v>
          </cell>
          <cell r="I42">
            <v>2401.83</v>
          </cell>
          <cell r="J42">
            <v>10.14</v>
          </cell>
          <cell r="K42">
            <v>2389.2199999999998</v>
          </cell>
          <cell r="L42">
            <v>49.89</v>
          </cell>
          <cell r="M42">
            <v>0.34</v>
          </cell>
        </row>
        <row r="43">
          <cell r="A43" t="str">
            <v>FRANKLIN</v>
          </cell>
          <cell r="B43">
            <v>6</v>
          </cell>
          <cell r="C43">
            <v>4760.3</v>
          </cell>
          <cell r="D43">
            <v>595.04</v>
          </cell>
          <cell r="E43">
            <v>0</v>
          </cell>
          <cell r="F43">
            <v>0</v>
          </cell>
          <cell r="G43">
            <v>829.9</v>
          </cell>
          <cell r="H43">
            <v>3930.4</v>
          </cell>
          <cell r="I43">
            <v>2908.78</v>
          </cell>
          <cell r="J43">
            <v>472.21</v>
          </cell>
          <cell r="K43">
            <v>1493.83</v>
          </cell>
          <cell r="L43">
            <v>34.840000000000003</v>
          </cell>
          <cell r="M43">
            <v>0.33</v>
          </cell>
        </row>
        <row r="44">
          <cell r="A44" t="str">
            <v>BLUKIT</v>
          </cell>
          <cell r="B44">
            <v>32</v>
          </cell>
          <cell r="C44">
            <v>4461.03</v>
          </cell>
          <cell r="D44">
            <v>17.920000000000002</v>
          </cell>
          <cell r="E44">
            <v>0</v>
          </cell>
          <cell r="F44">
            <v>0</v>
          </cell>
          <cell r="G44">
            <v>0</v>
          </cell>
          <cell r="H44">
            <v>4461.03</v>
          </cell>
          <cell r="I44">
            <v>2810.3</v>
          </cell>
          <cell r="J44">
            <v>0</v>
          </cell>
          <cell r="K44">
            <v>1650.73</v>
          </cell>
          <cell r="L44">
            <v>37</v>
          </cell>
          <cell r="M44">
            <v>0.31</v>
          </cell>
        </row>
        <row r="45">
          <cell r="A45" t="str">
            <v>EXATRON</v>
          </cell>
          <cell r="B45">
            <v>11</v>
          </cell>
          <cell r="C45">
            <v>4406.66</v>
          </cell>
          <cell r="D45">
            <v>51.84</v>
          </cell>
          <cell r="E45">
            <v>0</v>
          </cell>
          <cell r="F45">
            <v>0</v>
          </cell>
          <cell r="G45">
            <v>58.9</v>
          </cell>
          <cell r="H45">
            <v>4347.76</v>
          </cell>
          <cell r="I45">
            <v>2667.76</v>
          </cell>
          <cell r="J45">
            <v>36.44</v>
          </cell>
          <cell r="K45">
            <v>1716.44</v>
          </cell>
          <cell r="L45">
            <v>39.28</v>
          </cell>
          <cell r="M45">
            <v>0.31</v>
          </cell>
        </row>
        <row r="46">
          <cell r="A46" t="str">
            <v>BELLA PIA</v>
          </cell>
          <cell r="B46">
            <v>9</v>
          </cell>
          <cell r="C46">
            <v>4288.63</v>
          </cell>
          <cell r="D46">
            <v>214.43</v>
          </cell>
          <cell r="E46">
            <v>0</v>
          </cell>
          <cell r="F46">
            <v>0</v>
          </cell>
          <cell r="G46">
            <v>177.9</v>
          </cell>
          <cell r="H46">
            <v>4110.7299999999996</v>
          </cell>
          <cell r="I46">
            <v>2491.69</v>
          </cell>
          <cell r="J46">
            <v>96.77</v>
          </cell>
          <cell r="K46">
            <v>1715.81</v>
          </cell>
          <cell r="L46">
            <v>40.93</v>
          </cell>
          <cell r="M46">
            <v>0.3</v>
          </cell>
        </row>
        <row r="47">
          <cell r="A47" t="str">
            <v>CENSI</v>
          </cell>
          <cell r="B47">
            <v>18</v>
          </cell>
          <cell r="C47">
            <v>4109.21</v>
          </cell>
          <cell r="D47">
            <v>34.82</v>
          </cell>
          <cell r="E47">
            <v>0</v>
          </cell>
          <cell r="F47">
            <v>0</v>
          </cell>
          <cell r="G47">
            <v>248.8</v>
          </cell>
          <cell r="H47">
            <v>3860.41</v>
          </cell>
          <cell r="I47">
            <v>2541.94</v>
          </cell>
          <cell r="J47">
            <v>150.22</v>
          </cell>
          <cell r="K47">
            <v>1468.69</v>
          </cell>
          <cell r="L47">
            <v>37.1</v>
          </cell>
          <cell r="M47">
            <v>0.28999999999999998</v>
          </cell>
        </row>
        <row r="48">
          <cell r="A48" t="str">
            <v>NORTON</v>
          </cell>
          <cell r="B48">
            <v>31</v>
          </cell>
          <cell r="C48">
            <v>4039.12</v>
          </cell>
          <cell r="D48">
            <v>2.91</v>
          </cell>
          <cell r="E48">
            <v>0</v>
          </cell>
          <cell r="F48">
            <v>0</v>
          </cell>
          <cell r="G48">
            <v>13.5</v>
          </cell>
          <cell r="H48">
            <v>4025.62</v>
          </cell>
          <cell r="I48">
            <v>2159.66</v>
          </cell>
          <cell r="J48">
            <v>7.7</v>
          </cell>
          <cell r="K48">
            <v>1873.66</v>
          </cell>
          <cell r="L48">
            <v>46.48</v>
          </cell>
          <cell r="M48">
            <v>0.28000000000000003</v>
          </cell>
        </row>
        <row r="49">
          <cell r="A49" t="str">
            <v>ADERE</v>
          </cell>
          <cell r="B49">
            <v>30</v>
          </cell>
          <cell r="C49">
            <v>3989.15</v>
          </cell>
          <cell r="D49">
            <v>9.85</v>
          </cell>
          <cell r="E49">
            <v>0</v>
          </cell>
          <cell r="F49">
            <v>0</v>
          </cell>
          <cell r="G49">
            <v>0</v>
          </cell>
          <cell r="H49">
            <v>3989.15</v>
          </cell>
          <cell r="I49">
            <v>2435.4</v>
          </cell>
          <cell r="J49">
            <v>0</v>
          </cell>
          <cell r="K49">
            <v>1553.75</v>
          </cell>
          <cell r="L49">
            <v>38.950000000000003</v>
          </cell>
          <cell r="M49">
            <v>0.28000000000000003</v>
          </cell>
        </row>
        <row r="50">
          <cell r="A50" t="str">
            <v>PRATEFIX</v>
          </cell>
          <cell r="B50">
            <v>8</v>
          </cell>
          <cell r="C50">
            <v>3766.62</v>
          </cell>
          <cell r="D50">
            <v>38.049999999999997</v>
          </cell>
          <cell r="E50">
            <v>0</v>
          </cell>
          <cell r="F50">
            <v>0</v>
          </cell>
          <cell r="G50">
            <v>98.8</v>
          </cell>
          <cell r="H50">
            <v>3667.82</v>
          </cell>
          <cell r="I50">
            <v>1992.36</v>
          </cell>
          <cell r="J50">
            <v>54.9</v>
          </cell>
          <cell r="K50">
            <v>1730.36</v>
          </cell>
          <cell r="L50">
            <v>46.62</v>
          </cell>
          <cell r="M50">
            <v>0.26</v>
          </cell>
        </row>
        <row r="51">
          <cell r="A51" t="str">
            <v>KRONA</v>
          </cell>
          <cell r="B51">
            <v>33</v>
          </cell>
          <cell r="C51">
            <v>3721.77</v>
          </cell>
          <cell r="D51">
            <v>5.25</v>
          </cell>
          <cell r="E51">
            <v>0</v>
          </cell>
          <cell r="F51">
            <v>0</v>
          </cell>
          <cell r="G51">
            <v>199.17</v>
          </cell>
          <cell r="H51">
            <v>3522.6</v>
          </cell>
          <cell r="I51">
            <v>2093.29</v>
          </cell>
          <cell r="J51">
            <v>123.06</v>
          </cell>
          <cell r="K51">
            <v>1552.37</v>
          </cell>
          <cell r="L51">
            <v>43.14</v>
          </cell>
          <cell r="M51">
            <v>0.26</v>
          </cell>
        </row>
        <row r="52">
          <cell r="A52" t="str">
            <v>REALLE</v>
          </cell>
          <cell r="B52">
            <v>4</v>
          </cell>
          <cell r="C52">
            <v>3529.7964000000002</v>
          </cell>
          <cell r="D52">
            <v>30.78</v>
          </cell>
          <cell r="E52">
            <v>0</v>
          </cell>
          <cell r="F52">
            <v>0</v>
          </cell>
          <cell r="G52">
            <v>0</v>
          </cell>
          <cell r="H52">
            <v>3529.7964000000002</v>
          </cell>
          <cell r="I52">
            <v>2437.9704000000002</v>
          </cell>
          <cell r="J52">
            <v>0</v>
          </cell>
          <cell r="K52">
            <v>1091.826</v>
          </cell>
          <cell r="L52">
            <v>30.93</v>
          </cell>
          <cell r="M52">
            <v>0.25</v>
          </cell>
        </row>
        <row r="53">
          <cell r="A53" t="str">
            <v>MYPA</v>
          </cell>
          <cell r="B53">
            <v>22</v>
          </cell>
          <cell r="C53">
            <v>3471</v>
          </cell>
          <cell r="D53">
            <v>13.88</v>
          </cell>
          <cell r="E53">
            <v>0</v>
          </cell>
          <cell r="F53">
            <v>0</v>
          </cell>
          <cell r="G53">
            <v>27.9</v>
          </cell>
          <cell r="H53">
            <v>3443.1</v>
          </cell>
          <cell r="I53">
            <v>1907.79</v>
          </cell>
          <cell r="J53">
            <v>14.57</v>
          </cell>
          <cell r="K53">
            <v>1549.88</v>
          </cell>
          <cell r="L53">
            <v>44.84</v>
          </cell>
          <cell r="M53">
            <v>0.24</v>
          </cell>
        </row>
        <row r="54">
          <cell r="A54" t="str">
            <v>BOGNAR</v>
          </cell>
          <cell r="B54">
            <v>11</v>
          </cell>
          <cell r="C54">
            <v>3388.44</v>
          </cell>
          <cell r="D54">
            <v>56.47</v>
          </cell>
          <cell r="E54">
            <v>0</v>
          </cell>
          <cell r="F54">
            <v>0</v>
          </cell>
          <cell r="G54">
            <v>0</v>
          </cell>
          <cell r="H54">
            <v>3388.44</v>
          </cell>
          <cell r="I54">
            <v>2408.41</v>
          </cell>
          <cell r="J54">
            <v>0</v>
          </cell>
          <cell r="K54">
            <v>980.03</v>
          </cell>
          <cell r="L54">
            <v>28.92</v>
          </cell>
          <cell r="M54">
            <v>0.24</v>
          </cell>
        </row>
        <row r="55">
          <cell r="A55" t="str">
            <v>MGM</v>
          </cell>
          <cell r="B55">
            <v>9</v>
          </cell>
          <cell r="C55">
            <v>3323.1</v>
          </cell>
          <cell r="D55">
            <v>302.10000000000002</v>
          </cell>
          <cell r="E55">
            <v>0</v>
          </cell>
          <cell r="F55">
            <v>0</v>
          </cell>
          <cell r="G55">
            <v>0</v>
          </cell>
          <cell r="H55">
            <v>3323.1</v>
          </cell>
          <cell r="I55">
            <v>2015.11</v>
          </cell>
          <cell r="J55">
            <v>0</v>
          </cell>
          <cell r="K55">
            <v>1307.99</v>
          </cell>
          <cell r="L55">
            <v>39.36</v>
          </cell>
          <cell r="M55">
            <v>0.23</v>
          </cell>
        </row>
        <row r="56">
          <cell r="A56" t="str">
            <v>BRASFORMA</v>
          </cell>
          <cell r="B56">
            <v>10</v>
          </cell>
          <cell r="C56">
            <v>3015.96</v>
          </cell>
          <cell r="D56">
            <v>43.71</v>
          </cell>
          <cell r="E56">
            <v>0</v>
          </cell>
          <cell r="F56">
            <v>0</v>
          </cell>
          <cell r="G56">
            <v>53.9</v>
          </cell>
          <cell r="H56">
            <v>2962.06</v>
          </cell>
          <cell r="I56">
            <v>1805.2</v>
          </cell>
          <cell r="J56">
            <v>35.520000000000003</v>
          </cell>
          <cell r="K56">
            <v>1192.3800000000001</v>
          </cell>
          <cell r="L56">
            <v>40.01</v>
          </cell>
          <cell r="M56">
            <v>0.21</v>
          </cell>
        </row>
        <row r="57">
          <cell r="A57" t="str">
            <v>PLASTMAR IND E COM</v>
          </cell>
          <cell r="B57">
            <v>8</v>
          </cell>
          <cell r="C57">
            <v>2891.69</v>
          </cell>
          <cell r="D57">
            <v>56.7</v>
          </cell>
          <cell r="E57">
            <v>0</v>
          </cell>
          <cell r="F57">
            <v>0</v>
          </cell>
          <cell r="G57">
            <v>0</v>
          </cell>
          <cell r="H57">
            <v>2891.69</v>
          </cell>
          <cell r="I57">
            <v>1636.31</v>
          </cell>
          <cell r="J57">
            <v>0</v>
          </cell>
          <cell r="K57">
            <v>1255.3800000000001</v>
          </cell>
          <cell r="L57">
            <v>43.41</v>
          </cell>
          <cell r="M57">
            <v>0.2</v>
          </cell>
        </row>
        <row r="58">
          <cell r="A58" t="str">
            <v>DOCOL METAIS</v>
          </cell>
          <cell r="B58">
            <v>12</v>
          </cell>
          <cell r="C58">
            <v>2295.5</v>
          </cell>
          <cell r="D58">
            <v>65.59</v>
          </cell>
          <cell r="E58">
            <v>0</v>
          </cell>
          <cell r="F58">
            <v>0</v>
          </cell>
          <cell r="G58">
            <v>390.5</v>
          </cell>
          <cell r="H58">
            <v>1905</v>
          </cell>
          <cell r="I58">
            <v>1292.02</v>
          </cell>
          <cell r="J58">
            <v>204.62</v>
          </cell>
          <cell r="K58">
            <v>817.6</v>
          </cell>
          <cell r="L58">
            <v>39.1</v>
          </cell>
          <cell r="M58">
            <v>0.16</v>
          </cell>
        </row>
        <row r="59">
          <cell r="A59" t="str">
            <v>Momfort</v>
          </cell>
          <cell r="B59">
            <v>12</v>
          </cell>
          <cell r="C59">
            <v>2258.3000000000002</v>
          </cell>
          <cell r="D59">
            <v>34.22</v>
          </cell>
          <cell r="E59">
            <v>0</v>
          </cell>
          <cell r="F59">
            <v>0</v>
          </cell>
          <cell r="G59">
            <v>37.4</v>
          </cell>
          <cell r="H59">
            <v>2220.9</v>
          </cell>
          <cell r="I59">
            <v>1271.29</v>
          </cell>
          <cell r="J59">
            <v>21.25</v>
          </cell>
          <cell r="K59">
            <v>970.86</v>
          </cell>
          <cell r="L59">
            <v>43.4</v>
          </cell>
          <cell r="M59">
            <v>0.16</v>
          </cell>
        </row>
        <row r="60">
          <cell r="A60" t="str">
            <v>METALOSA</v>
          </cell>
          <cell r="B60">
            <v>2</v>
          </cell>
          <cell r="C60">
            <v>2245</v>
          </cell>
          <cell r="D60">
            <v>224.5</v>
          </cell>
          <cell r="E60">
            <v>0</v>
          </cell>
          <cell r="F60">
            <v>0</v>
          </cell>
          <cell r="G60">
            <v>0</v>
          </cell>
          <cell r="H60">
            <v>2245</v>
          </cell>
          <cell r="I60">
            <v>1238.83</v>
          </cell>
          <cell r="J60">
            <v>0</v>
          </cell>
          <cell r="K60">
            <v>1006.17</v>
          </cell>
          <cell r="L60">
            <v>44.82</v>
          </cell>
          <cell r="M60">
            <v>0.16</v>
          </cell>
        </row>
        <row r="61">
          <cell r="A61" t="str">
            <v>NAWA COM ATAC VAR PROD LAR E L</v>
          </cell>
          <cell r="B61">
            <v>4</v>
          </cell>
          <cell r="C61">
            <v>2193.8000000000002</v>
          </cell>
          <cell r="D61">
            <v>274.23</v>
          </cell>
          <cell r="E61">
            <v>0</v>
          </cell>
          <cell r="F61">
            <v>0</v>
          </cell>
          <cell r="G61">
            <v>0</v>
          </cell>
          <cell r="H61">
            <v>2193.8000000000002</v>
          </cell>
          <cell r="I61">
            <v>1263</v>
          </cell>
          <cell r="J61">
            <v>0</v>
          </cell>
          <cell r="K61">
            <v>930.8</v>
          </cell>
          <cell r="L61">
            <v>42.43</v>
          </cell>
          <cell r="M61">
            <v>0.15</v>
          </cell>
        </row>
        <row r="62">
          <cell r="A62" t="str">
            <v>PRATIMIX</v>
          </cell>
          <cell r="B62">
            <v>28</v>
          </cell>
          <cell r="C62">
            <v>2122.81</v>
          </cell>
          <cell r="D62">
            <v>10.01</v>
          </cell>
          <cell r="E62">
            <v>0</v>
          </cell>
          <cell r="F62">
            <v>0</v>
          </cell>
          <cell r="G62">
            <v>12.5</v>
          </cell>
          <cell r="H62">
            <v>2110.31</v>
          </cell>
          <cell r="I62">
            <v>1233.43</v>
          </cell>
          <cell r="J62">
            <v>6.76</v>
          </cell>
          <cell r="K62">
            <v>883.64</v>
          </cell>
          <cell r="L62">
            <v>41.76</v>
          </cell>
          <cell r="M62">
            <v>0.15</v>
          </cell>
        </row>
        <row r="63">
          <cell r="A63" t="str">
            <v>CORTAG</v>
          </cell>
          <cell r="B63">
            <v>20</v>
          </cell>
          <cell r="C63">
            <v>1993.93</v>
          </cell>
          <cell r="D63">
            <v>12.62</v>
          </cell>
          <cell r="E63">
            <v>0</v>
          </cell>
          <cell r="F63">
            <v>0</v>
          </cell>
          <cell r="G63">
            <v>0</v>
          </cell>
          <cell r="H63">
            <v>1993.93</v>
          </cell>
          <cell r="I63">
            <v>1120.3699999999999</v>
          </cell>
          <cell r="J63">
            <v>0</v>
          </cell>
          <cell r="K63">
            <v>873.56</v>
          </cell>
          <cell r="L63">
            <v>43.81</v>
          </cell>
          <cell r="M63">
            <v>0.14000000000000001</v>
          </cell>
        </row>
        <row r="64">
          <cell r="A64" t="str">
            <v>BEMFIXA</v>
          </cell>
          <cell r="B64">
            <v>12</v>
          </cell>
          <cell r="C64">
            <v>1875.29</v>
          </cell>
          <cell r="D64">
            <v>11.5</v>
          </cell>
          <cell r="E64">
            <v>0</v>
          </cell>
          <cell r="F64">
            <v>0</v>
          </cell>
          <cell r="G64">
            <v>0</v>
          </cell>
          <cell r="H64">
            <v>1875.29</v>
          </cell>
          <cell r="I64">
            <v>1124.26</v>
          </cell>
          <cell r="J64">
            <v>0</v>
          </cell>
          <cell r="K64">
            <v>751.03</v>
          </cell>
          <cell r="L64">
            <v>40.049999999999997</v>
          </cell>
          <cell r="M64">
            <v>0.13</v>
          </cell>
        </row>
        <row r="65">
          <cell r="A65" t="str">
            <v>HERC</v>
          </cell>
          <cell r="B65">
            <v>16</v>
          </cell>
          <cell r="C65">
            <v>1870.5</v>
          </cell>
          <cell r="D65">
            <v>23.98</v>
          </cell>
          <cell r="E65">
            <v>0</v>
          </cell>
          <cell r="F65">
            <v>0</v>
          </cell>
          <cell r="G65">
            <v>0</v>
          </cell>
          <cell r="H65">
            <v>1870.5</v>
          </cell>
          <cell r="I65">
            <v>1030.81</v>
          </cell>
          <cell r="J65">
            <v>0</v>
          </cell>
          <cell r="K65">
            <v>839.69</v>
          </cell>
          <cell r="L65">
            <v>44.89</v>
          </cell>
          <cell r="M65">
            <v>0.13</v>
          </cell>
        </row>
        <row r="66">
          <cell r="A66" t="str">
            <v>ASTRA</v>
          </cell>
          <cell r="B66">
            <v>14</v>
          </cell>
          <cell r="C66">
            <v>1859.12</v>
          </cell>
          <cell r="D66">
            <v>17.71</v>
          </cell>
          <cell r="E66">
            <v>0</v>
          </cell>
          <cell r="F66">
            <v>0</v>
          </cell>
          <cell r="G66">
            <v>0</v>
          </cell>
          <cell r="H66">
            <v>1859.12</v>
          </cell>
          <cell r="I66">
            <v>1060.99</v>
          </cell>
          <cell r="J66">
            <v>0</v>
          </cell>
          <cell r="K66">
            <v>798.13</v>
          </cell>
          <cell r="L66">
            <v>42.93</v>
          </cell>
          <cell r="M66">
            <v>0.13</v>
          </cell>
        </row>
        <row r="67">
          <cell r="A67" t="str">
            <v>BOTAFOGO</v>
          </cell>
          <cell r="B67">
            <v>2</v>
          </cell>
          <cell r="C67">
            <v>1574.45</v>
          </cell>
          <cell r="D67">
            <v>524.82000000000005</v>
          </cell>
          <cell r="E67">
            <v>0</v>
          </cell>
          <cell r="F67">
            <v>0</v>
          </cell>
          <cell r="G67">
            <v>0</v>
          </cell>
          <cell r="H67">
            <v>1574.45</v>
          </cell>
          <cell r="I67">
            <v>1018.51</v>
          </cell>
          <cell r="J67">
            <v>0</v>
          </cell>
          <cell r="K67">
            <v>555.94000000000005</v>
          </cell>
          <cell r="L67">
            <v>35.31</v>
          </cell>
          <cell r="M67">
            <v>0.11</v>
          </cell>
        </row>
        <row r="68">
          <cell r="A68" t="str">
            <v>VONDER</v>
          </cell>
          <cell r="B68">
            <v>9</v>
          </cell>
          <cell r="C68">
            <v>1435.99</v>
          </cell>
          <cell r="D68">
            <v>24.34</v>
          </cell>
          <cell r="E68">
            <v>0</v>
          </cell>
          <cell r="F68">
            <v>0</v>
          </cell>
          <cell r="G68">
            <v>15.9</v>
          </cell>
          <cell r="H68">
            <v>1420.09</v>
          </cell>
          <cell r="I68">
            <v>804.47</v>
          </cell>
          <cell r="J68">
            <v>7.18</v>
          </cell>
          <cell r="K68">
            <v>622.79999999999995</v>
          </cell>
          <cell r="L68">
            <v>43.59</v>
          </cell>
          <cell r="M68">
            <v>0.1</v>
          </cell>
        </row>
        <row r="69">
          <cell r="A69" t="str">
            <v>TAF</v>
          </cell>
          <cell r="B69">
            <v>5</v>
          </cell>
          <cell r="C69">
            <v>1433.46</v>
          </cell>
          <cell r="D69">
            <v>18.149999999999999</v>
          </cell>
          <cell r="E69">
            <v>0</v>
          </cell>
          <cell r="F69">
            <v>0</v>
          </cell>
          <cell r="G69">
            <v>8.9</v>
          </cell>
          <cell r="H69">
            <v>1424.56</v>
          </cell>
          <cell r="I69">
            <v>788.13</v>
          </cell>
          <cell r="J69">
            <v>5.31</v>
          </cell>
          <cell r="K69">
            <v>641.74</v>
          </cell>
          <cell r="L69">
            <v>44.94</v>
          </cell>
          <cell r="M69">
            <v>0.1</v>
          </cell>
        </row>
        <row r="70">
          <cell r="A70" t="str">
            <v>ELIZABETH PORC.</v>
          </cell>
          <cell r="B70">
            <v>3</v>
          </cell>
          <cell r="C70">
            <v>1360.7739999999999</v>
          </cell>
          <cell r="D70">
            <v>53.57</v>
          </cell>
          <cell r="E70">
            <v>0</v>
          </cell>
          <cell r="F70">
            <v>0</v>
          </cell>
          <cell r="G70">
            <v>0</v>
          </cell>
          <cell r="H70">
            <v>1360.7739999999999</v>
          </cell>
          <cell r="I70">
            <v>869.30600000000004</v>
          </cell>
          <cell r="J70">
            <v>0</v>
          </cell>
          <cell r="K70">
            <v>491.46800000000002</v>
          </cell>
          <cell r="L70">
            <v>36.119999999999997</v>
          </cell>
          <cell r="M70">
            <v>0.1</v>
          </cell>
        </row>
        <row r="71">
          <cell r="A71" t="str">
            <v>STARRETT INDUSTRIA E COMERCIO</v>
          </cell>
          <cell r="B71">
            <v>7</v>
          </cell>
          <cell r="C71">
            <v>1276.56</v>
          </cell>
          <cell r="D71">
            <v>24.55</v>
          </cell>
          <cell r="E71">
            <v>0</v>
          </cell>
          <cell r="F71">
            <v>0</v>
          </cell>
          <cell r="G71">
            <v>0</v>
          </cell>
          <cell r="H71">
            <v>1276.56</v>
          </cell>
          <cell r="I71">
            <v>725.19</v>
          </cell>
          <cell r="J71">
            <v>0</v>
          </cell>
          <cell r="K71">
            <v>551.37</v>
          </cell>
          <cell r="L71">
            <v>43.19</v>
          </cell>
          <cell r="M71">
            <v>0.09</v>
          </cell>
        </row>
        <row r="72">
          <cell r="A72" t="str">
            <v>HIDRACOR</v>
          </cell>
          <cell r="B72">
            <v>11</v>
          </cell>
          <cell r="C72">
            <v>1274.4000000000001</v>
          </cell>
          <cell r="D72">
            <v>3.89</v>
          </cell>
          <cell r="E72">
            <v>0</v>
          </cell>
          <cell r="F72">
            <v>0</v>
          </cell>
          <cell r="G72">
            <v>0</v>
          </cell>
          <cell r="H72">
            <v>1274.4000000000001</v>
          </cell>
          <cell r="I72">
            <v>472.25</v>
          </cell>
          <cell r="J72">
            <v>0</v>
          </cell>
          <cell r="K72">
            <v>802.15</v>
          </cell>
          <cell r="L72">
            <v>62.94</v>
          </cell>
          <cell r="M72">
            <v>0.09</v>
          </cell>
        </row>
        <row r="73">
          <cell r="A73" t="str">
            <v>MARLUVAS</v>
          </cell>
          <cell r="B73">
            <v>3</v>
          </cell>
          <cell r="C73">
            <v>1239.5</v>
          </cell>
          <cell r="D73">
            <v>82.63</v>
          </cell>
          <cell r="E73">
            <v>0</v>
          </cell>
          <cell r="F73">
            <v>0</v>
          </cell>
          <cell r="G73">
            <v>0</v>
          </cell>
          <cell r="H73">
            <v>1239.5</v>
          </cell>
          <cell r="I73">
            <v>742.78</v>
          </cell>
          <cell r="J73">
            <v>0</v>
          </cell>
          <cell r="K73">
            <v>496.72</v>
          </cell>
          <cell r="L73">
            <v>40.07</v>
          </cell>
          <cell r="M73">
            <v>0.09</v>
          </cell>
        </row>
        <row r="74">
          <cell r="A74" t="str">
            <v>ALIANÇA</v>
          </cell>
          <cell r="B74">
            <v>2</v>
          </cell>
          <cell r="C74">
            <v>1121.9000000000001</v>
          </cell>
          <cell r="D74">
            <v>53.42</v>
          </cell>
          <cell r="E74">
            <v>0</v>
          </cell>
          <cell r="F74">
            <v>0</v>
          </cell>
          <cell r="G74">
            <v>0</v>
          </cell>
          <cell r="H74">
            <v>1121.9000000000001</v>
          </cell>
          <cell r="I74">
            <v>704.92</v>
          </cell>
          <cell r="J74">
            <v>0</v>
          </cell>
          <cell r="K74">
            <v>416.98</v>
          </cell>
          <cell r="L74">
            <v>37.17</v>
          </cell>
          <cell r="M74">
            <v>0.08</v>
          </cell>
        </row>
        <row r="75">
          <cell r="A75" t="str">
            <v>J LOBATO</v>
          </cell>
          <cell r="B75">
            <v>7</v>
          </cell>
          <cell r="C75">
            <v>778.94</v>
          </cell>
          <cell r="D75">
            <v>24.34</v>
          </cell>
          <cell r="E75">
            <v>0</v>
          </cell>
          <cell r="F75">
            <v>0</v>
          </cell>
          <cell r="G75">
            <v>0</v>
          </cell>
          <cell r="H75">
            <v>778.94</v>
          </cell>
          <cell r="I75">
            <v>353.8</v>
          </cell>
          <cell r="J75">
            <v>0</v>
          </cell>
          <cell r="K75">
            <v>425.14</v>
          </cell>
          <cell r="L75">
            <v>54.58</v>
          </cell>
          <cell r="M75">
            <v>0.05</v>
          </cell>
        </row>
        <row r="76">
          <cell r="A76" t="str">
            <v>ULTRACLEAN</v>
          </cell>
          <cell r="B76">
            <v>7</v>
          </cell>
          <cell r="C76">
            <v>690</v>
          </cell>
          <cell r="D76">
            <v>23</v>
          </cell>
          <cell r="E76">
            <v>0</v>
          </cell>
          <cell r="F76">
            <v>0</v>
          </cell>
          <cell r="G76">
            <v>0</v>
          </cell>
          <cell r="H76">
            <v>690</v>
          </cell>
          <cell r="I76">
            <v>409.68</v>
          </cell>
          <cell r="J76">
            <v>0</v>
          </cell>
          <cell r="K76">
            <v>280.32</v>
          </cell>
          <cell r="L76">
            <v>40.630000000000003</v>
          </cell>
          <cell r="M76">
            <v>0.05</v>
          </cell>
        </row>
        <row r="77">
          <cell r="A77" t="str">
            <v>SECALUX</v>
          </cell>
          <cell r="B77">
            <v>5</v>
          </cell>
          <cell r="C77">
            <v>617.4</v>
          </cell>
          <cell r="D77">
            <v>61.74</v>
          </cell>
          <cell r="E77">
            <v>0</v>
          </cell>
          <cell r="F77">
            <v>0</v>
          </cell>
          <cell r="G77">
            <v>25.9</v>
          </cell>
          <cell r="H77">
            <v>591.5</v>
          </cell>
          <cell r="I77">
            <v>380.51</v>
          </cell>
          <cell r="J77">
            <v>15.09</v>
          </cell>
          <cell r="K77">
            <v>226.08</v>
          </cell>
          <cell r="L77">
            <v>37.54</v>
          </cell>
          <cell r="M77">
            <v>0.04</v>
          </cell>
        </row>
        <row r="78">
          <cell r="A78" t="str">
            <v>DUDA</v>
          </cell>
          <cell r="B78">
            <v>4</v>
          </cell>
          <cell r="C78">
            <v>617.38</v>
          </cell>
          <cell r="D78">
            <v>29.68</v>
          </cell>
          <cell r="E78">
            <v>0</v>
          </cell>
          <cell r="F78">
            <v>0</v>
          </cell>
          <cell r="G78">
            <v>59.8</v>
          </cell>
          <cell r="H78">
            <v>557.58000000000004</v>
          </cell>
          <cell r="I78">
            <v>413.69400000000002</v>
          </cell>
          <cell r="J78">
            <v>40.520000000000003</v>
          </cell>
          <cell r="K78">
            <v>184.40600000000001</v>
          </cell>
          <cell r="L78">
            <v>31.97</v>
          </cell>
          <cell r="M78">
            <v>0.04</v>
          </cell>
        </row>
        <row r="79">
          <cell r="A79" t="str">
            <v>TRAMONTINA</v>
          </cell>
          <cell r="B79">
            <v>4</v>
          </cell>
          <cell r="C79">
            <v>616.82000000000005</v>
          </cell>
          <cell r="D79">
            <v>38.549999999999997</v>
          </cell>
          <cell r="E79">
            <v>0</v>
          </cell>
          <cell r="F79">
            <v>0</v>
          </cell>
          <cell r="G79">
            <v>0</v>
          </cell>
          <cell r="H79">
            <v>616.82000000000005</v>
          </cell>
          <cell r="I79">
            <v>348.02</v>
          </cell>
          <cell r="J79">
            <v>0</v>
          </cell>
          <cell r="K79">
            <v>268.8</v>
          </cell>
          <cell r="L79">
            <v>43.58</v>
          </cell>
          <cell r="M79">
            <v>0.04</v>
          </cell>
        </row>
        <row r="80">
          <cell r="A80" t="str">
            <v>PADRAO FORTE</v>
          </cell>
          <cell r="B80">
            <v>4</v>
          </cell>
          <cell r="C80">
            <v>577.5</v>
          </cell>
          <cell r="D80">
            <v>57.75</v>
          </cell>
          <cell r="E80">
            <v>0</v>
          </cell>
          <cell r="F80">
            <v>0</v>
          </cell>
          <cell r="G80">
            <v>0</v>
          </cell>
          <cell r="H80">
            <v>577.5</v>
          </cell>
          <cell r="I80">
            <v>339.65</v>
          </cell>
          <cell r="J80">
            <v>0</v>
          </cell>
          <cell r="K80">
            <v>237.85</v>
          </cell>
          <cell r="L80">
            <v>41.19</v>
          </cell>
          <cell r="M80">
            <v>0.04</v>
          </cell>
        </row>
        <row r="81">
          <cell r="A81" t="str">
            <v>ILUMI</v>
          </cell>
          <cell r="B81">
            <v>4</v>
          </cell>
          <cell r="C81">
            <v>552.59</v>
          </cell>
          <cell r="D81">
            <v>13.81</v>
          </cell>
          <cell r="E81">
            <v>0</v>
          </cell>
          <cell r="F81">
            <v>0</v>
          </cell>
          <cell r="G81">
            <v>20.8</v>
          </cell>
          <cell r="H81">
            <v>531.79</v>
          </cell>
          <cell r="I81">
            <v>313.19</v>
          </cell>
          <cell r="J81">
            <v>11.6</v>
          </cell>
          <cell r="K81">
            <v>230.2</v>
          </cell>
          <cell r="L81">
            <v>42.55</v>
          </cell>
          <cell r="M81">
            <v>0.04</v>
          </cell>
        </row>
        <row r="82">
          <cell r="A82" t="str">
            <v>PRECON</v>
          </cell>
          <cell r="B82">
            <v>3</v>
          </cell>
          <cell r="C82">
            <v>531.6</v>
          </cell>
          <cell r="D82">
            <v>132.9</v>
          </cell>
          <cell r="E82">
            <v>0</v>
          </cell>
          <cell r="F82">
            <v>0</v>
          </cell>
          <cell r="G82">
            <v>0</v>
          </cell>
          <cell r="H82">
            <v>531.6</v>
          </cell>
          <cell r="I82">
            <v>335.89</v>
          </cell>
          <cell r="J82">
            <v>0</v>
          </cell>
          <cell r="K82">
            <v>195.71</v>
          </cell>
          <cell r="L82">
            <v>36.82</v>
          </cell>
          <cell r="M82">
            <v>0.04</v>
          </cell>
        </row>
        <row r="83">
          <cell r="A83" t="str">
            <v>GERDAU</v>
          </cell>
          <cell r="B83">
            <v>7</v>
          </cell>
          <cell r="C83">
            <v>494.45</v>
          </cell>
          <cell r="D83">
            <v>27.47</v>
          </cell>
          <cell r="E83">
            <v>0</v>
          </cell>
          <cell r="F83">
            <v>0</v>
          </cell>
          <cell r="G83">
            <v>0</v>
          </cell>
          <cell r="H83">
            <v>494.45</v>
          </cell>
          <cell r="I83">
            <v>263.54000000000002</v>
          </cell>
          <cell r="J83">
            <v>0</v>
          </cell>
          <cell r="K83">
            <v>230.91</v>
          </cell>
          <cell r="L83">
            <v>46.7</v>
          </cell>
          <cell r="M83">
            <v>0.03</v>
          </cell>
        </row>
        <row r="84">
          <cell r="A84" t="str">
            <v>COZIMAX</v>
          </cell>
          <cell r="B84">
            <v>2</v>
          </cell>
          <cell r="C84">
            <v>445.2</v>
          </cell>
          <cell r="D84">
            <v>148.4</v>
          </cell>
          <cell r="E84">
            <v>0</v>
          </cell>
          <cell r="F84">
            <v>0</v>
          </cell>
          <cell r="G84">
            <v>0</v>
          </cell>
          <cell r="H84">
            <v>445.2</v>
          </cell>
          <cell r="I84">
            <v>265.16000000000003</v>
          </cell>
          <cell r="J84">
            <v>0</v>
          </cell>
          <cell r="K84">
            <v>180.04</v>
          </cell>
          <cell r="L84">
            <v>40.44</v>
          </cell>
          <cell r="M84">
            <v>0.03</v>
          </cell>
        </row>
        <row r="85">
          <cell r="A85" t="str">
            <v>Max-Giro</v>
          </cell>
          <cell r="B85">
            <v>6</v>
          </cell>
          <cell r="C85">
            <v>430.01</v>
          </cell>
          <cell r="D85">
            <v>13.44</v>
          </cell>
          <cell r="E85">
            <v>0</v>
          </cell>
          <cell r="F85">
            <v>0</v>
          </cell>
          <cell r="G85">
            <v>0</v>
          </cell>
          <cell r="H85">
            <v>430.01</v>
          </cell>
          <cell r="I85">
            <v>235.29</v>
          </cell>
          <cell r="J85">
            <v>0</v>
          </cell>
          <cell r="K85">
            <v>194.72</v>
          </cell>
          <cell r="L85">
            <v>45.28</v>
          </cell>
          <cell r="M85">
            <v>0.03</v>
          </cell>
        </row>
        <row r="86">
          <cell r="A86" t="str">
            <v>LEDAN</v>
          </cell>
          <cell r="B86">
            <v>4</v>
          </cell>
          <cell r="C86">
            <v>410.01</v>
          </cell>
          <cell r="D86">
            <v>20.5</v>
          </cell>
          <cell r="E86">
            <v>0</v>
          </cell>
          <cell r="F86">
            <v>0</v>
          </cell>
          <cell r="G86">
            <v>0</v>
          </cell>
          <cell r="H86">
            <v>410.01</v>
          </cell>
          <cell r="I86">
            <v>252.31</v>
          </cell>
          <cell r="J86">
            <v>0</v>
          </cell>
          <cell r="K86">
            <v>157.69999999999999</v>
          </cell>
          <cell r="L86">
            <v>38.46</v>
          </cell>
          <cell r="M86">
            <v>0.03</v>
          </cell>
        </row>
        <row r="87">
          <cell r="A87" t="str">
            <v>ARCELORMITTAL</v>
          </cell>
          <cell r="B87">
            <v>3</v>
          </cell>
          <cell r="C87">
            <v>363.8</v>
          </cell>
          <cell r="D87">
            <v>30.32</v>
          </cell>
          <cell r="E87">
            <v>0</v>
          </cell>
          <cell r="F87">
            <v>0</v>
          </cell>
          <cell r="G87">
            <v>0</v>
          </cell>
          <cell r="H87">
            <v>363.8</v>
          </cell>
          <cell r="I87">
            <v>216.56</v>
          </cell>
          <cell r="J87">
            <v>0</v>
          </cell>
          <cell r="K87">
            <v>147.24</v>
          </cell>
          <cell r="L87">
            <v>40.47</v>
          </cell>
          <cell r="M87">
            <v>0.03</v>
          </cell>
        </row>
        <row r="88">
          <cell r="A88" t="str">
            <v>KALIPSO</v>
          </cell>
          <cell r="B88">
            <v>6</v>
          </cell>
          <cell r="C88">
            <v>360.1</v>
          </cell>
          <cell r="D88">
            <v>8.57</v>
          </cell>
          <cell r="E88">
            <v>0</v>
          </cell>
          <cell r="F88">
            <v>0</v>
          </cell>
          <cell r="G88">
            <v>18.5</v>
          </cell>
          <cell r="H88">
            <v>341.6</v>
          </cell>
          <cell r="I88">
            <v>162.28</v>
          </cell>
          <cell r="J88">
            <v>8.39</v>
          </cell>
          <cell r="K88">
            <v>187.71</v>
          </cell>
          <cell r="L88">
            <v>53.37</v>
          </cell>
          <cell r="M88">
            <v>0.03</v>
          </cell>
        </row>
        <row r="89">
          <cell r="A89" t="str">
            <v>ULTRA CLEAN</v>
          </cell>
          <cell r="B89">
            <v>3</v>
          </cell>
          <cell r="C89">
            <v>326.60000000000002</v>
          </cell>
          <cell r="D89">
            <v>23.33</v>
          </cell>
          <cell r="E89">
            <v>0</v>
          </cell>
          <cell r="F89">
            <v>0</v>
          </cell>
          <cell r="G89">
            <v>0</v>
          </cell>
          <cell r="H89">
            <v>326.60000000000002</v>
          </cell>
          <cell r="I89">
            <v>201.84</v>
          </cell>
          <cell r="J89">
            <v>0</v>
          </cell>
          <cell r="K89">
            <v>124.76</v>
          </cell>
          <cell r="L89">
            <v>38.200000000000003</v>
          </cell>
          <cell r="M89">
            <v>0.02</v>
          </cell>
        </row>
        <row r="90">
          <cell r="A90" t="str">
            <v>ORBI QUIMICA LTDA</v>
          </cell>
          <cell r="B90">
            <v>4</v>
          </cell>
          <cell r="C90">
            <v>321.58999999999997</v>
          </cell>
          <cell r="D90">
            <v>12.86</v>
          </cell>
          <cell r="E90">
            <v>0</v>
          </cell>
          <cell r="F90">
            <v>0</v>
          </cell>
          <cell r="G90">
            <v>0</v>
          </cell>
          <cell r="H90">
            <v>321.58999999999997</v>
          </cell>
          <cell r="I90">
            <v>182.56</v>
          </cell>
          <cell r="J90">
            <v>0</v>
          </cell>
          <cell r="K90">
            <v>139.03</v>
          </cell>
          <cell r="L90">
            <v>43.23</v>
          </cell>
          <cell r="M90">
            <v>0.02</v>
          </cell>
        </row>
        <row r="91">
          <cell r="A91" t="str">
            <v>ONDULINE</v>
          </cell>
          <cell r="B91">
            <v>3</v>
          </cell>
          <cell r="C91">
            <v>305.42</v>
          </cell>
          <cell r="D91">
            <v>61.08</v>
          </cell>
          <cell r="E91">
            <v>0</v>
          </cell>
          <cell r="F91">
            <v>0</v>
          </cell>
          <cell r="G91">
            <v>0</v>
          </cell>
          <cell r="H91">
            <v>305.42</v>
          </cell>
          <cell r="I91">
            <v>178.67</v>
          </cell>
          <cell r="J91">
            <v>0</v>
          </cell>
          <cell r="K91">
            <v>126.75</v>
          </cell>
          <cell r="L91">
            <v>41.5</v>
          </cell>
          <cell r="M91">
            <v>0.02</v>
          </cell>
        </row>
        <row r="92">
          <cell r="A92" t="str">
            <v>CHEMONE</v>
          </cell>
          <cell r="B92">
            <v>2</v>
          </cell>
          <cell r="C92">
            <v>285.8</v>
          </cell>
          <cell r="D92">
            <v>31.76</v>
          </cell>
          <cell r="E92">
            <v>0</v>
          </cell>
          <cell r="F92">
            <v>0</v>
          </cell>
          <cell r="G92">
            <v>0</v>
          </cell>
          <cell r="H92">
            <v>285.8</v>
          </cell>
          <cell r="I92">
            <v>152.93</v>
          </cell>
          <cell r="J92">
            <v>0</v>
          </cell>
          <cell r="K92">
            <v>132.87</v>
          </cell>
          <cell r="L92">
            <v>46.49</v>
          </cell>
          <cell r="M92">
            <v>0.02</v>
          </cell>
        </row>
        <row r="93">
          <cell r="A93" t="str">
            <v>PINTSILK</v>
          </cell>
          <cell r="B93">
            <v>3</v>
          </cell>
          <cell r="C93">
            <v>276.62</v>
          </cell>
          <cell r="D93">
            <v>92.21</v>
          </cell>
          <cell r="E93">
            <v>0</v>
          </cell>
          <cell r="F93">
            <v>0</v>
          </cell>
          <cell r="G93">
            <v>0</v>
          </cell>
          <cell r="H93">
            <v>276.62</v>
          </cell>
          <cell r="I93">
            <v>158.47999999999999</v>
          </cell>
          <cell r="J93">
            <v>0</v>
          </cell>
          <cell r="K93">
            <v>118.14</v>
          </cell>
          <cell r="L93">
            <v>42.71</v>
          </cell>
          <cell r="M93">
            <v>0.02</v>
          </cell>
        </row>
        <row r="94">
          <cell r="A94" t="str">
            <v>BRASFORT</v>
          </cell>
          <cell r="B94">
            <v>5</v>
          </cell>
          <cell r="C94">
            <v>234.17</v>
          </cell>
          <cell r="D94">
            <v>13.77</v>
          </cell>
          <cell r="E94">
            <v>0</v>
          </cell>
          <cell r="F94">
            <v>0</v>
          </cell>
          <cell r="G94">
            <v>0</v>
          </cell>
          <cell r="H94">
            <v>234.17</v>
          </cell>
          <cell r="I94">
            <v>138.69</v>
          </cell>
          <cell r="J94">
            <v>0</v>
          </cell>
          <cell r="K94">
            <v>95.48</v>
          </cell>
          <cell r="L94">
            <v>40.770000000000003</v>
          </cell>
          <cell r="M94">
            <v>0.02</v>
          </cell>
        </row>
        <row r="95">
          <cell r="A95" t="str">
            <v>OVERTIME</v>
          </cell>
          <cell r="B95">
            <v>3</v>
          </cell>
          <cell r="C95">
            <v>208.8</v>
          </cell>
          <cell r="D95">
            <v>29.83</v>
          </cell>
          <cell r="E95">
            <v>0</v>
          </cell>
          <cell r="F95">
            <v>0</v>
          </cell>
          <cell r="G95">
            <v>21.8</v>
          </cell>
          <cell r="H95">
            <v>187</v>
          </cell>
          <cell r="I95">
            <v>125.76</v>
          </cell>
          <cell r="J95">
            <v>12.9</v>
          </cell>
          <cell r="K95">
            <v>74.14</v>
          </cell>
          <cell r="L95">
            <v>37.85</v>
          </cell>
          <cell r="M95">
            <v>0.01</v>
          </cell>
        </row>
        <row r="96">
          <cell r="A96" t="str">
            <v>COMFORT DOOR</v>
          </cell>
          <cell r="B96">
            <v>2</v>
          </cell>
          <cell r="C96">
            <v>190.6</v>
          </cell>
          <cell r="D96">
            <v>27.23</v>
          </cell>
          <cell r="E96">
            <v>0</v>
          </cell>
          <cell r="F96">
            <v>0</v>
          </cell>
          <cell r="G96">
            <v>0</v>
          </cell>
          <cell r="H96">
            <v>190.6</v>
          </cell>
          <cell r="I96">
            <v>102.56</v>
          </cell>
          <cell r="J96">
            <v>0</v>
          </cell>
          <cell r="K96">
            <v>88.04</v>
          </cell>
          <cell r="L96">
            <v>46.19</v>
          </cell>
          <cell r="M96">
            <v>0.01</v>
          </cell>
        </row>
        <row r="97">
          <cell r="A97" t="str">
            <v>BOSCH</v>
          </cell>
          <cell r="B97">
            <v>3</v>
          </cell>
          <cell r="C97">
            <v>178.6</v>
          </cell>
          <cell r="D97">
            <v>44.65</v>
          </cell>
          <cell r="E97">
            <v>0</v>
          </cell>
          <cell r="F97">
            <v>0</v>
          </cell>
          <cell r="G97">
            <v>0</v>
          </cell>
          <cell r="H97">
            <v>178.6</v>
          </cell>
          <cell r="I97">
            <v>109.07</v>
          </cell>
          <cell r="J97">
            <v>0</v>
          </cell>
          <cell r="K97">
            <v>69.53</v>
          </cell>
          <cell r="L97">
            <v>38.93</v>
          </cell>
          <cell r="M97">
            <v>0.01</v>
          </cell>
        </row>
        <row r="98">
          <cell r="A98" t="str">
            <v>TRAMONTINA NORDESTE</v>
          </cell>
          <cell r="B98">
            <v>3</v>
          </cell>
          <cell r="C98">
            <v>159.6</v>
          </cell>
          <cell r="D98">
            <v>22.8</v>
          </cell>
          <cell r="E98">
            <v>0</v>
          </cell>
          <cell r="F98">
            <v>0</v>
          </cell>
          <cell r="G98">
            <v>0</v>
          </cell>
          <cell r="H98">
            <v>159.6</v>
          </cell>
          <cell r="I98">
            <v>109.39</v>
          </cell>
          <cell r="J98">
            <v>0</v>
          </cell>
          <cell r="K98">
            <v>50.21</v>
          </cell>
          <cell r="L98">
            <v>31.46</v>
          </cell>
          <cell r="M98">
            <v>0.01</v>
          </cell>
        </row>
        <row r="99">
          <cell r="A99" t="str">
            <v>LGMAIS</v>
          </cell>
          <cell r="B99">
            <v>1</v>
          </cell>
          <cell r="C99">
            <v>152.9</v>
          </cell>
          <cell r="D99">
            <v>152.9</v>
          </cell>
          <cell r="E99">
            <v>0</v>
          </cell>
          <cell r="F99">
            <v>0</v>
          </cell>
          <cell r="G99">
            <v>0</v>
          </cell>
          <cell r="H99">
            <v>152.9</v>
          </cell>
          <cell r="I99">
            <v>85.46</v>
          </cell>
          <cell r="J99">
            <v>0</v>
          </cell>
          <cell r="K99">
            <v>67.44</v>
          </cell>
          <cell r="L99">
            <v>44.11</v>
          </cell>
          <cell r="M99">
            <v>0.01</v>
          </cell>
        </row>
        <row r="100">
          <cell r="A100" t="str">
            <v>EXTRALUZ</v>
          </cell>
          <cell r="B100">
            <v>3</v>
          </cell>
          <cell r="C100">
            <v>148.6</v>
          </cell>
          <cell r="D100">
            <v>16.510000000000002</v>
          </cell>
          <cell r="E100">
            <v>0</v>
          </cell>
          <cell r="F100">
            <v>0</v>
          </cell>
          <cell r="G100">
            <v>21.4</v>
          </cell>
          <cell r="H100">
            <v>127.2</v>
          </cell>
          <cell r="I100">
            <v>93.48</v>
          </cell>
          <cell r="J100">
            <v>13.52</v>
          </cell>
          <cell r="K100">
            <v>47.24</v>
          </cell>
          <cell r="L100">
            <v>34.97</v>
          </cell>
          <cell r="M100">
            <v>0.01</v>
          </cell>
        </row>
        <row r="101">
          <cell r="A101" t="str">
            <v>NOVA FIXACAO</v>
          </cell>
          <cell r="B101">
            <v>3</v>
          </cell>
          <cell r="C101">
            <v>145.9</v>
          </cell>
          <cell r="D101">
            <v>2.15</v>
          </cell>
          <cell r="E101">
            <v>0</v>
          </cell>
          <cell r="F101">
            <v>0</v>
          </cell>
          <cell r="G101">
            <v>99.5</v>
          </cell>
          <cell r="H101">
            <v>46.4</v>
          </cell>
          <cell r="I101">
            <v>84.58</v>
          </cell>
          <cell r="J101">
            <v>58</v>
          </cell>
          <cell r="K101">
            <v>19.82</v>
          </cell>
          <cell r="L101">
            <v>22.55</v>
          </cell>
          <cell r="M101">
            <v>0.01</v>
          </cell>
        </row>
        <row r="102">
          <cell r="A102" t="str">
            <v>CRIVAL</v>
          </cell>
          <cell r="B102">
            <v>1</v>
          </cell>
          <cell r="C102">
            <v>129.9</v>
          </cell>
          <cell r="D102">
            <v>129.9</v>
          </cell>
          <cell r="E102">
            <v>0</v>
          </cell>
          <cell r="F102">
            <v>0</v>
          </cell>
          <cell r="G102">
            <v>0</v>
          </cell>
          <cell r="H102">
            <v>129.9</v>
          </cell>
          <cell r="I102">
            <v>74.150000000000006</v>
          </cell>
          <cell r="J102">
            <v>0</v>
          </cell>
          <cell r="K102">
            <v>55.75</v>
          </cell>
          <cell r="L102">
            <v>42.92</v>
          </cell>
          <cell r="M102">
            <v>0.01</v>
          </cell>
        </row>
        <row r="103">
          <cell r="A103" t="str">
            <v>PADOVA</v>
          </cell>
          <cell r="B103">
            <v>3</v>
          </cell>
          <cell r="C103">
            <v>109.68</v>
          </cell>
          <cell r="D103">
            <v>18.28</v>
          </cell>
          <cell r="E103">
            <v>0</v>
          </cell>
          <cell r="F103">
            <v>0</v>
          </cell>
          <cell r="G103">
            <v>0</v>
          </cell>
          <cell r="H103">
            <v>109.68</v>
          </cell>
          <cell r="I103">
            <v>67.98</v>
          </cell>
          <cell r="J103">
            <v>0</v>
          </cell>
          <cell r="K103">
            <v>41.7</v>
          </cell>
          <cell r="L103">
            <v>38.020000000000003</v>
          </cell>
          <cell r="M103">
            <v>0.01</v>
          </cell>
        </row>
        <row r="104">
          <cell r="A104" t="str">
            <v>EMPLAC</v>
          </cell>
          <cell r="B104">
            <v>4</v>
          </cell>
          <cell r="C104">
            <v>105.9</v>
          </cell>
          <cell r="D104">
            <v>7.06</v>
          </cell>
          <cell r="E104">
            <v>0</v>
          </cell>
          <cell r="F104">
            <v>0</v>
          </cell>
          <cell r="G104">
            <v>0</v>
          </cell>
          <cell r="H104">
            <v>105.9</v>
          </cell>
          <cell r="I104">
            <v>47.56</v>
          </cell>
          <cell r="J104">
            <v>0</v>
          </cell>
          <cell r="K104">
            <v>58.34</v>
          </cell>
          <cell r="L104">
            <v>55.09</v>
          </cell>
          <cell r="M104">
            <v>0.01</v>
          </cell>
        </row>
        <row r="105">
          <cell r="A105" t="str">
            <v>GARDENLIFE</v>
          </cell>
          <cell r="B105">
            <v>1</v>
          </cell>
          <cell r="C105">
            <v>89.8</v>
          </cell>
          <cell r="D105">
            <v>44.9</v>
          </cell>
          <cell r="E105">
            <v>0</v>
          </cell>
          <cell r="F105">
            <v>0</v>
          </cell>
          <cell r="G105">
            <v>0</v>
          </cell>
          <cell r="H105">
            <v>89.8</v>
          </cell>
          <cell r="I105">
            <v>57.94</v>
          </cell>
          <cell r="J105">
            <v>0</v>
          </cell>
          <cell r="K105">
            <v>31.86</v>
          </cell>
          <cell r="L105">
            <v>35.479999999999997</v>
          </cell>
          <cell r="M105">
            <v>0.01</v>
          </cell>
        </row>
        <row r="106">
          <cell r="A106" t="str">
            <v>RHPE</v>
          </cell>
          <cell r="B106">
            <v>1</v>
          </cell>
          <cell r="C106">
            <v>85.9</v>
          </cell>
          <cell r="D106">
            <v>85.9</v>
          </cell>
          <cell r="E106">
            <v>0</v>
          </cell>
          <cell r="F106">
            <v>0</v>
          </cell>
          <cell r="G106">
            <v>0</v>
          </cell>
          <cell r="H106">
            <v>85.9</v>
          </cell>
          <cell r="I106">
            <v>53.34</v>
          </cell>
          <cell r="J106">
            <v>0</v>
          </cell>
          <cell r="K106">
            <v>32.56</v>
          </cell>
          <cell r="L106">
            <v>37.9</v>
          </cell>
          <cell r="M106">
            <v>0.01</v>
          </cell>
        </row>
        <row r="107">
          <cell r="A107" t="str">
            <v>MASCOTE</v>
          </cell>
          <cell r="B107">
            <v>3</v>
          </cell>
          <cell r="C107">
            <v>83.7</v>
          </cell>
          <cell r="D107">
            <v>4.6500000000000004</v>
          </cell>
          <cell r="E107">
            <v>0</v>
          </cell>
          <cell r="F107">
            <v>0</v>
          </cell>
          <cell r="G107">
            <v>0</v>
          </cell>
          <cell r="H107">
            <v>83.7</v>
          </cell>
          <cell r="I107">
            <v>36.42</v>
          </cell>
          <cell r="J107">
            <v>0</v>
          </cell>
          <cell r="K107">
            <v>47.28</v>
          </cell>
          <cell r="L107">
            <v>56.49</v>
          </cell>
          <cell r="M107">
            <v>0.01</v>
          </cell>
        </row>
        <row r="108">
          <cell r="A108" t="str">
            <v>BRASILIT</v>
          </cell>
          <cell r="B108">
            <v>1</v>
          </cell>
          <cell r="C108">
            <v>77.900000000000006</v>
          </cell>
          <cell r="D108">
            <v>77.900000000000006</v>
          </cell>
          <cell r="E108">
            <v>0</v>
          </cell>
          <cell r="F108">
            <v>0</v>
          </cell>
          <cell r="G108">
            <v>0</v>
          </cell>
          <cell r="H108">
            <v>77.900000000000006</v>
          </cell>
          <cell r="I108">
            <v>49.9</v>
          </cell>
          <cell r="J108">
            <v>0</v>
          </cell>
          <cell r="K108">
            <v>28</v>
          </cell>
          <cell r="L108">
            <v>35.94</v>
          </cell>
          <cell r="M108">
            <v>0.01</v>
          </cell>
        </row>
        <row r="109">
          <cell r="A109" t="str">
            <v>RANCAN</v>
          </cell>
          <cell r="B109">
            <v>1</v>
          </cell>
          <cell r="C109">
            <v>59.9</v>
          </cell>
          <cell r="D109">
            <v>59.9</v>
          </cell>
          <cell r="E109">
            <v>0</v>
          </cell>
          <cell r="F109">
            <v>0</v>
          </cell>
          <cell r="G109">
            <v>0</v>
          </cell>
          <cell r="H109">
            <v>59.9</v>
          </cell>
          <cell r="I109">
            <v>33.78</v>
          </cell>
          <cell r="J109">
            <v>0</v>
          </cell>
          <cell r="K109">
            <v>26.12</v>
          </cell>
          <cell r="L109">
            <v>43.61</v>
          </cell>
          <cell r="M109">
            <v>0</v>
          </cell>
        </row>
        <row r="110">
          <cell r="A110" t="str">
            <v>INCA</v>
          </cell>
          <cell r="B110">
            <v>2</v>
          </cell>
          <cell r="C110">
            <v>51.8</v>
          </cell>
          <cell r="D110">
            <v>5.18</v>
          </cell>
          <cell r="E110">
            <v>0</v>
          </cell>
          <cell r="F110">
            <v>0</v>
          </cell>
          <cell r="G110">
            <v>0</v>
          </cell>
          <cell r="H110">
            <v>51.8</v>
          </cell>
          <cell r="I110">
            <v>26.71</v>
          </cell>
          <cell r="J110">
            <v>0</v>
          </cell>
          <cell r="K110">
            <v>25.09</v>
          </cell>
          <cell r="L110">
            <v>48.44</v>
          </cell>
          <cell r="M110">
            <v>0</v>
          </cell>
        </row>
        <row r="111">
          <cell r="A111" t="str">
            <v>STAM</v>
          </cell>
          <cell r="B111">
            <v>1</v>
          </cell>
          <cell r="C111">
            <v>50.4</v>
          </cell>
          <cell r="D111">
            <v>25.2</v>
          </cell>
          <cell r="E111">
            <v>0</v>
          </cell>
          <cell r="F111">
            <v>0</v>
          </cell>
          <cell r="G111">
            <v>20.9</v>
          </cell>
          <cell r="H111">
            <v>29.5</v>
          </cell>
          <cell r="I111">
            <v>27.73</v>
          </cell>
          <cell r="J111">
            <v>12.37</v>
          </cell>
          <cell r="K111">
            <v>14.14</v>
          </cell>
          <cell r="L111">
            <v>37.18</v>
          </cell>
          <cell r="M111">
            <v>0</v>
          </cell>
        </row>
        <row r="112">
          <cell r="A112" t="str">
            <v>TRAMONTINA ELETRIK S.A.</v>
          </cell>
          <cell r="B112">
            <v>2</v>
          </cell>
          <cell r="C112">
            <v>44.3</v>
          </cell>
          <cell r="D112">
            <v>22.15</v>
          </cell>
          <cell r="E112">
            <v>0</v>
          </cell>
          <cell r="F112">
            <v>0</v>
          </cell>
          <cell r="G112">
            <v>0</v>
          </cell>
          <cell r="H112">
            <v>44.3</v>
          </cell>
          <cell r="I112">
            <v>26.57</v>
          </cell>
          <cell r="J112">
            <v>0</v>
          </cell>
          <cell r="K112">
            <v>17.73</v>
          </cell>
          <cell r="L112">
            <v>40.020000000000003</v>
          </cell>
          <cell r="M112">
            <v>0</v>
          </cell>
        </row>
        <row r="113">
          <cell r="A113" t="str">
            <v>ATTENA</v>
          </cell>
          <cell r="B113">
            <v>1</v>
          </cell>
          <cell r="C113">
            <v>41.9</v>
          </cell>
          <cell r="D113">
            <v>41.9</v>
          </cell>
          <cell r="E113">
            <v>0</v>
          </cell>
          <cell r="F113">
            <v>0</v>
          </cell>
          <cell r="G113">
            <v>0</v>
          </cell>
          <cell r="H113">
            <v>41.9</v>
          </cell>
          <cell r="I113">
            <v>26.44</v>
          </cell>
          <cell r="J113">
            <v>0</v>
          </cell>
          <cell r="K113">
            <v>15.46</v>
          </cell>
          <cell r="L113">
            <v>36.9</v>
          </cell>
          <cell r="M113">
            <v>0</v>
          </cell>
        </row>
        <row r="114">
          <cell r="A114" t="str">
            <v>ANJO QUIMICA DO BRASIL LTDA</v>
          </cell>
          <cell r="B114">
            <v>1</v>
          </cell>
          <cell r="C114">
            <v>29.9</v>
          </cell>
          <cell r="D114">
            <v>29.9</v>
          </cell>
          <cell r="E114">
            <v>0</v>
          </cell>
          <cell r="F114">
            <v>0</v>
          </cell>
          <cell r="G114">
            <v>0</v>
          </cell>
          <cell r="H114">
            <v>29.9</v>
          </cell>
          <cell r="I114">
            <v>17.57</v>
          </cell>
          <cell r="J114">
            <v>0</v>
          </cell>
          <cell r="K114">
            <v>12.33</v>
          </cell>
          <cell r="L114">
            <v>41.24</v>
          </cell>
          <cell r="M114">
            <v>0</v>
          </cell>
        </row>
        <row r="115">
          <cell r="A115" t="str">
            <v>EXTRALUX</v>
          </cell>
          <cell r="B115">
            <v>1</v>
          </cell>
          <cell r="C115">
            <v>29.9</v>
          </cell>
          <cell r="D115">
            <v>29.9</v>
          </cell>
          <cell r="E115">
            <v>0</v>
          </cell>
          <cell r="F115">
            <v>0</v>
          </cell>
          <cell r="G115">
            <v>0</v>
          </cell>
          <cell r="H115">
            <v>29.9</v>
          </cell>
          <cell r="I115">
            <v>17.64</v>
          </cell>
          <cell r="J115">
            <v>0</v>
          </cell>
          <cell r="K115">
            <v>12.26</v>
          </cell>
          <cell r="L115">
            <v>41</v>
          </cell>
          <cell r="M115">
            <v>0</v>
          </cell>
        </row>
        <row r="116">
          <cell r="A116" t="str">
            <v>INJEPLAST</v>
          </cell>
          <cell r="B116">
            <v>1</v>
          </cell>
          <cell r="C116">
            <v>2.4</v>
          </cell>
          <cell r="D116">
            <v>0.4</v>
          </cell>
          <cell r="E116">
            <v>0</v>
          </cell>
          <cell r="F116">
            <v>0</v>
          </cell>
          <cell r="G116">
            <v>0</v>
          </cell>
          <cell r="H116">
            <v>2.4</v>
          </cell>
          <cell r="I116">
            <v>1.08</v>
          </cell>
          <cell r="J116">
            <v>0</v>
          </cell>
          <cell r="K116">
            <v>1.32</v>
          </cell>
          <cell r="L116">
            <v>55</v>
          </cell>
          <cell r="M116">
            <v>0</v>
          </cell>
        </row>
        <row r="117">
          <cell r="A117" t="str">
            <v>outros</v>
          </cell>
          <cell r="B117">
            <v>0</v>
          </cell>
          <cell r="C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2.609</v>
          </cell>
          <cell r="C118" t="str">
            <v>1.426.185,65</v>
          </cell>
          <cell r="E118" t="str">
            <v>0,00</v>
          </cell>
          <cell r="F118" t="str">
            <v>0,00</v>
          </cell>
          <cell r="G118" t="str">
            <v>29.831,84</v>
          </cell>
          <cell r="H118" t="str">
            <v>1.396.353,81</v>
          </cell>
          <cell r="I118" t="str">
            <v>887.373,66</v>
          </cell>
          <cell r="J118" t="str">
            <v>18.158,21</v>
          </cell>
          <cell r="K118" t="str">
            <v>527.138,35</v>
          </cell>
          <cell r="L118" t="str">
            <v>37,75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FEV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167</v>
          </cell>
          <cell r="C2">
            <v>189582.7617</v>
          </cell>
          <cell r="D2">
            <v>32.6</v>
          </cell>
          <cell r="E2">
            <v>0</v>
          </cell>
          <cell r="F2">
            <v>0</v>
          </cell>
          <cell r="G2">
            <v>108.5299</v>
          </cell>
          <cell r="H2">
            <v>189474.23180000001</v>
          </cell>
          <cell r="I2">
            <v>127004.2271</v>
          </cell>
          <cell r="J2">
            <v>61.965899999999998</v>
          </cell>
          <cell r="K2">
            <v>62531.970600000001</v>
          </cell>
          <cell r="L2">
            <v>32.99</v>
          </cell>
          <cell r="M2">
            <v>13.95</v>
          </cell>
        </row>
        <row r="3">
          <cell r="A3" t="str">
            <v>ARIELLE</v>
          </cell>
          <cell r="B3">
            <v>149</v>
          </cell>
          <cell r="C3">
            <v>122712.7439</v>
          </cell>
          <cell r="D3">
            <v>30.6</v>
          </cell>
          <cell r="E3">
            <v>0</v>
          </cell>
          <cell r="F3">
            <v>0</v>
          </cell>
          <cell r="G3">
            <v>4198.5596999999998</v>
          </cell>
          <cell r="H3">
            <v>118514.1842</v>
          </cell>
          <cell r="I3">
            <v>76265.248000000007</v>
          </cell>
          <cell r="J3">
            <v>2674.5585999999998</v>
          </cell>
          <cell r="K3">
            <v>44923.4948</v>
          </cell>
          <cell r="L3">
            <v>37.42</v>
          </cell>
          <cell r="M3">
            <v>9.0299999999999994</v>
          </cell>
        </row>
        <row r="4">
          <cell r="A4" t="str">
            <v>DO MESTRE</v>
          </cell>
          <cell r="B4">
            <v>293</v>
          </cell>
          <cell r="C4">
            <v>111328.99</v>
          </cell>
          <cell r="D4">
            <v>23.4</v>
          </cell>
          <cell r="E4">
            <v>0</v>
          </cell>
          <cell r="F4">
            <v>0</v>
          </cell>
          <cell r="G4">
            <v>788.15</v>
          </cell>
          <cell r="H4">
            <v>110540.84</v>
          </cell>
          <cell r="I4">
            <v>67966.55</v>
          </cell>
          <cell r="J4">
            <v>458.96</v>
          </cell>
          <cell r="K4">
            <v>43033.25</v>
          </cell>
          <cell r="L4">
            <v>38.81</v>
          </cell>
          <cell r="M4">
            <v>8.19</v>
          </cell>
        </row>
        <row r="5">
          <cell r="A5" t="str">
            <v>POINTER</v>
          </cell>
          <cell r="B5">
            <v>96</v>
          </cell>
          <cell r="C5">
            <v>90383.976899999994</v>
          </cell>
          <cell r="D5">
            <v>36.86</v>
          </cell>
          <cell r="E5">
            <v>0</v>
          </cell>
          <cell r="F5">
            <v>0</v>
          </cell>
          <cell r="G5">
            <v>2178.6426999999999</v>
          </cell>
          <cell r="H5">
            <v>88205.334199999998</v>
          </cell>
          <cell r="I5">
            <v>56041.074699999997</v>
          </cell>
          <cell r="J5">
            <v>1373.075</v>
          </cell>
          <cell r="K5">
            <v>33537.334499999997</v>
          </cell>
          <cell r="L5">
            <v>37.68</v>
          </cell>
          <cell r="M5">
            <v>6.65</v>
          </cell>
        </row>
        <row r="6">
          <cell r="A6" t="str">
            <v>ETERNIT</v>
          </cell>
          <cell r="B6">
            <v>69</v>
          </cell>
          <cell r="C6">
            <v>83825.84</v>
          </cell>
          <cell r="D6">
            <v>56.49</v>
          </cell>
          <cell r="E6">
            <v>0</v>
          </cell>
          <cell r="F6">
            <v>0</v>
          </cell>
          <cell r="G6">
            <v>1368.96</v>
          </cell>
          <cell r="H6">
            <v>82456.88</v>
          </cell>
          <cell r="I6">
            <v>61318.42</v>
          </cell>
          <cell r="J6">
            <v>1013.88</v>
          </cell>
          <cell r="K6">
            <v>22152.34</v>
          </cell>
          <cell r="L6">
            <v>26.75</v>
          </cell>
          <cell r="M6">
            <v>6.17</v>
          </cell>
        </row>
        <row r="7">
          <cell r="A7" t="str">
            <v>IQUINE</v>
          </cell>
          <cell r="B7">
            <v>55</v>
          </cell>
          <cell r="C7">
            <v>75385.698799999998</v>
          </cell>
          <cell r="D7">
            <v>51.83</v>
          </cell>
          <cell r="E7">
            <v>0</v>
          </cell>
          <cell r="F7">
            <v>0</v>
          </cell>
          <cell r="G7">
            <v>1511.3</v>
          </cell>
          <cell r="H7">
            <v>73874.398799999995</v>
          </cell>
          <cell r="I7">
            <v>45169.124100000001</v>
          </cell>
          <cell r="J7">
            <v>899.24</v>
          </cell>
          <cell r="K7">
            <v>29604.5147</v>
          </cell>
          <cell r="L7">
            <v>39.74</v>
          </cell>
          <cell r="M7">
            <v>5.55</v>
          </cell>
        </row>
        <row r="8">
          <cell r="A8" t="str">
            <v>FORTLEV</v>
          </cell>
          <cell r="B8">
            <v>81</v>
          </cell>
          <cell r="C8">
            <v>62379.25</v>
          </cell>
          <cell r="D8">
            <v>20.399999999999999</v>
          </cell>
          <cell r="E8">
            <v>0</v>
          </cell>
          <cell r="F8">
            <v>0</v>
          </cell>
          <cell r="G8">
            <v>750.3</v>
          </cell>
          <cell r="H8">
            <v>61628.95</v>
          </cell>
          <cell r="I8">
            <v>42566.400000000001</v>
          </cell>
          <cell r="J8">
            <v>548.21</v>
          </cell>
          <cell r="K8">
            <v>19610.759999999998</v>
          </cell>
          <cell r="L8">
            <v>31.72</v>
          </cell>
          <cell r="M8">
            <v>4.59</v>
          </cell>
        </row>
        <row r="9">
          <cell r="A9" t="str">
            <v>MEGAÓ</v>
          </cell>
          <cell r="B9">
            <v>60</v>
          </cell>
          <cell r="C9">
            <v>51095.8</v>
          </cell>
          <cell r="D9">
            <v>55.3</v>
          </cell>
          <cell r="E9">
            <v>0</v>
          </cell>
          <cell r="F9">
            <v>0</v>
          </cell>
          <cell r="G9">
            <v>206.5</v>
          </cell>
          <cell r="H9">
            <v>50889.3</v>
          </cell>
          <cell r="I9">
            <v>31297.16</v>
          </cell>
          <cell r="J9">
            <v>121.24</v>
          </cell>
          <cell r="K9">
            <v>19713.38</v>
          </cell>
          <cell r="L9">
            <v>38.67</v>
          </cell>
          <cell r="M9">
            <v>3.76</v>
          </cell>
        </row>
        <row r="10">
          <cell r="A10" t="str">
            <v>QUALITY</v>
          </cell>
          <cell r="B10">
            <v>60</v>
          </cell>
          <cell r="C10">
            <v>49485.4</v>
          </cell>
          <cell r="D10">
            <v>243.77</v>
          </cell>
          <cell r="E10">
            <v>0</v>
          </cell>
          <cell r="F10">
            <v>0</v>
          </cell>
          <cell r="G10">
            <v>1562.55</v>
          </cell>
          <cell r="H10">
            <v>47922.85</v>
          </cell>
          <cell r="I10">
            <v>30616.95</v>
          </cell>
          <cell r="J10">
            <v>948.83</v>
          </cell>
          <cell r="K10">
            <v>18254.73</v>
          </cell>
          <cell r="L10">
            <v>37.61</v>
          </cell>
          <cell r="M10">
            <v>3.64</v>
          </cell>
        </row>
        <row r="11">
          <cell r="A11" t="str">
            <v>WEBER QUARTZOLIT</v>
          </cell>
          <cell r="B11">
            <v>114</v>
          </cell>
          <cell r="C11">
            <v>42620.61</v>
          </cell>
          <cell r="D11">
            <v>32.61</v>
          </cell>
          <cell r="E11">
            <v>0</v>
          </cell>
          <cell r="F11">
            <v>0</v>
          </cell>
          <cell r="G11">
            <v>3245.91</v>
          </cell>
          <cell r="H11">
            <v>39374.699999999997</v>
          </cell>
          <cell r="I11">
            <v>26839.89</v>
          </cell>
          <cell r="J11">
            <v>2098.42</v>
          </cell>
          <cell r="K11">
            <v>14633.23</v>
          </cell>
          <cell r="L11">
            <v>36.11</v>
          </cell>
          <cell r="M11">
            <v>3.14</v>
          </cell>
        </row>
        <row r="12">
          <cell r="A12" t="str">
            <v>ROCA</v>
          </cell>
          <cell r="B12">
            <v>71</v>
          </cell>
          <cell r="C12">
            <v>42609.29</v>
          </cell>
          <cell r="D12">
            <v>160.79</v>
          </cell>
          <cell r="E12">
            <v>0</v>
          </cell>
          <cell r="F12">
            <v>0</v>
          </cell>
          <cell r="G12">
            <v>549.29999999999995</v>
          </cell>
          <cell r="H12">
            <v>42059.99</v>
          </cell>
          <cell r="I12">
            <v>29508.91</v>
          </cell>
          <cell r="J12">
            <v>372.94</v>
          </cell>
          <cell r="K12">
            <v>12924.02</v>
          </cell>
          <cell r="L12">
            <v>30.6</v>
          </cell>
          <cell r="M12">
            <v>3.14</v>
          </cell>
        </row>
        <row r="13">
          <cell r="A13" t="str">
            <v>TECNOGRES</v>
          </cell>
          <cell r="B13">
            <v>23</v>
          </cell>
          <cell r="C13">
            <v>39815.085599999999</v>
          </cell>
          <cell r="D13">
            <v>59.6</v>
          </cell>
          <cell r="E13">
            <v>0</v>
          </cell>
          <cell r="F13">
            <v>0</v>
          </cell>
          <cell r="G13">
            <v>92.88</v>
          </cell>
          <cell r="H13">
            <v>39722.205600000001</v>
          </cell>
          <cell r="I13">
            <v>25882.280699999999</v>
          </cell>
          <cell r="J13">
            <v>55.310400000000001</v>
          </cell>
          <cell r="K13">
            <v>13895.2353</v>
          </cell>
          <cell r="L13">
            <v>34.950000000000003</v>
          </cell>
          <cell r="M13">
            <v>2.93</v>
          </cell>
        </row>
        <row r="14">
          <cell r="A14" t="str">
            <v>PAMESA</v>
          </cell>
          <cell r="B14">
            <v>47</v>
          </cell>
          <cell r="C14">
            <v>32463.828799999999</v>
          </cell>
          <cell r="D14">
            <v>29.5</v>
          </cell>
          <cell r="E14">
            <v>0</v>
          </cell>
          <cell r="F14">
            <v>0</v>
          </cell>
          <cell r="G14">
            <v>264.60129999999998</v>
          </cell>
          <cell r="H14">
            <v>32199.227500000001</v>
          </cell>
          <cell r="I14">
            <v>21979.521000000001</v>
          </cell>
          <cell r="J14">
            <v>178.0384</v>
          </cell>
          <cell r="K14">
            <v>10397.7449</v>
          </cell>
          <cell r="L14">
            <v>32.21</v>
          </cell>
          <cell r="M14">
            <v>2.39</v>
          </cell>
        </row>
        <row r="15">
          <cell r="A15" t="str">
            <v>PORTO RICO</v>
          </cell>
          <cell r="B15">
            <v>37</v>
          </cell>
          <cell r="C15">
            <v>23580.720000000001</v>
          </cell>
          <cell r="D15">
            <v>25.3</v>
          </cell>
          <cell r="E15">
            <v>0</v>
          </cell>
          <cell r="F15">
            <v>0</v>
          </cell>
          <cell r="G15">
            <v>149.4</v>
          </cell>
          <cell r="H15">
            <v>23431.32</v>
          </cell>
          <cell r="I15">
            <v>16013.06</v>
          </cell>
          <cell r="J15">
            <v>103.08</v>
          </cell>
          <cell r="K15">
            <v>7521.34</v>
          </cell>
          <cell r="L15">
            <v>32.04</v>
          </cell>
          <cell r="M15">
            <v>1.74</v>
          </cell>
        </row>
        <row r="16">
          <cell r="A16" t="str">
            <v>COBRECOM</v>
          </cell>
          <cell r="B16">
            <v>22</v>
          </cell>
          <cell r="C16">
            <v>22712.83</v>
          </cell>
          <cell r="D16">
            <v>157.72999999999999</v>
          </cell>
          <cell r="E16">
            <v>0</v>
          </cell>
          <cell r="F16">
            <v>0</v>
          </cell>
          <cell r="G16">
            <v>308</v>
          </cell>
          <cell r="H16">
            <v>22404.83</v>
          </cell>
          <cell r="I16">
            <v>15826.74</v>
          </cell>
          <cell r="J16">
            <v>229.47</v>
          </cell>
          <cell r="K16">
            <v>6807.56</v>
          </cell>
          <cell r="L16">
            <v>30.28</v>
          </cell>
          <cell r="M16">
            <v>1.67</v>
          </cell>
        </row>
        <row r="17">
          <cell r="A17" t="str">
            <v>CARMELO FIOR</v>
          </cell>
          <cell r="B17">
            <v>17</v>
          </cell>
          <cell r="C17">
            <v>16779.95</v>
          </cell>
          <cell r="D17">
            <v>64.09</v>
          </cell>
          <cell r="E17">
            <v>0</v>
          </cell>
          <cell r="F17">
            <v>0</v>
          </cell>
          <cell r="G17">
            <v>0</v>
          </cell>
          <cell r="H17">
            <v>16779.95</v>
          </cell>
          <cell r="I17">
            <v>5573.7219999999998</v>
          </cell>
          <cell r="J17">
            <v>0</v>
          </cell>
          <cell r="K17">
            <v>11206.227999999999</v>
          </cell>
          <cell r="L17">
            <v>66.78</v>
          </cell>
          <cell r="M17">
            <v>1.23</v>
          </cell>
        </row>
        <row r="18">
          <cell r="A18" t="str">
            <v>ATLAS</v>
          </cell>
          <cell r="B18">
            <v>60</v>
          </cell>
          <cell r="C18">
            <v>16736.29</v>
          </cell>
          <cell r="D18">
            <v>18.25</v>
          </cell>
          <cell r="E18">
            <v>0</v>
          </cell>
          <cell r="F18">
            <v>0</v>
          </cell>
          <cell r="G18">
            <v>517.79999999999995</v>
          </cell>
          <cell r="H18">
            <v>16218.49</v>
          </cell>
          <cell r="I18">
            <v>9387.6200000000008</v>
          </cell>
          <cell r="J18">
            <v>279.22000000000003</v>
          </cell>
          <cell r="K18">
            <v>7110.09</v>
          </cell>
          <cell r="L18">
            <v>43.2</v>
          </cell>
          <cell r="M18">
            <v>1.23</v>
          </cell>
        </row>
        <row r="19">
          <cell r="A19" t="str">
            <v>METAIS LEAO</v>
          </cell>
          <cell r="B19">
            <v>54</v>
          </cell>
          <cell r="C19">
            <v>15146.47</v>
          </cell>
          <cell r="D19">
            <v>59.63</v>
          </cell>
          <cell r="E19">
            <v>0</v>
          </cell>
          <cell r="F19">
            <v>0</v>
          </cell>
          <cell r="G19">
            <v>250.6</v>
          </cell>
          <cell r="H19">
            <v>14895.87</v>
          </cell>
          <cell r="I19">
            <v>9225.49</v>
          </cell>
          <cell r="J19">
            <v>153.33000000000001</v>
          </cell>
          <cell r="K19">
            <v>5823.71</v>
          </cell>
          <cell r="L19">
            <v>38.840000000000003</v>
          </cell>
          <cell r="M19">
            <v>1.1100000000000001</v>
          </cell>
        </row>
        <row r="20">
          <cell r="A20" t="str">
            <v>BLACK DECKER</v>
          </cell>
          <cell r="B20">
            <v>26</v>
          </cell>
          <cell r="C20">
            <v>13867.22</v>
          </cell>
          <cell r="D20">
            <v>56.83</v>
          </cell>
          <cell r="E20">
            <v>0</v>
          </cell>
          <cell r="F20">
            <v>0</v>
          </cell>
          <cell r="G20">
            <v>59.2</v>
          </cell>
          <cell r="H20">
            <v>13808.02</v>
          </cell>
          <cell r="I20">
            <v>8850.81</v>
          </cell>
          <cell r="J20">
            <v>32.76</v>
          </cell>
          <cell r="K20">
            <v>4989.97</v>
          </cell>
          <cell r="L20">
            <v>36.07</v>
          </cell>
          <cell r="M20">
            <v>1.02</v>
          </cell>
        </row>
        <row r="21">
          <cell r="A21" t="str">
            <v>KDK PORTAS</v>
          </cell>
          <cell r="B21">
            <v>30</v>
          </cell>
          <cell r="C21">
            <v>12228.14</v>
          </cell>
          <cell r="D21">
            <v>172.23</v>
          </cell>
          <cell r="E21">
            <v>0</v>
          </cell>
          <cell r="F21">
            <v>0</v>
          </cell>
          <cell r="G21">
            <v>673.6</v>
          </cell>
          <cell r="H21">
            <v>11554.54</v>
          </cell>
          <cell r="I21">
            <v>6731.52</v>
          </cell>
          <cell r="J21">
            <v>367.06</v>
          </cell>
          <cell r="K21">
            <v>5190.08</v>
          </cell>
          <cell r="L21">
            <v>43.76</v>
          </cell>
          <cell r="M21">
            <v>0.9</v>
          </cell>
        </row>
        <row r="22">
          <cell r="A22" t="str">
            <v>MEC-TRONIC</v>
          </cell>
          <cell r="B22">
            <v>30</v>
          </cell>
          <cell r="C22">
            <v>11743.52</v>
          </cell>
          <cell r="D22">
            <v>10.48</v>
          </cell>
          <cell r="E22">
            <v>0</v>
          </cell>
          <cell r="F22">
            <v>0</v>
          </cell>
          <cell r="G22">
            <v>232.1</v>
          </cell>
          <cell r="H22">
            <v>11511.42</v>
          </cell>
          <cell r="I22">
            <v>5949.56</v>
          </cell>
          <cell r="J22">
            <v>133.78</v>
          </cell>
          <cell r="K22">
            <v>5695.64</v>
          </cell>
          <cell r="L22">
            <v>49.06</v>
          </cell>
          <cell r="M22">
            <v>0.86</v>
          </cell>
        </row>
        <row r="23">
          <cell r="A23" t="str">
            <v>LORENZETTI</v>
          </cell>
          <cell r="B23">
            <v>17</v>
          </cell>
          <cell r="C23">
            <v>11304.86</v>
          </cell>
          <cell r="D23">
            <v>75.87</v>
          </cell>
          <cell r="E23">
            <v>0</v>
          </cell>
          <cell r="F23">
            <v>0</v>
          </cell>
          <cell r="G23">
            <v>192.79</v>
          </cell>
          <cell r="H23">
            <v>11112.07</v>
          </cell>
          <cell r="I23">
            <v>7305.35</v>
          </cell>
          <cell r="J23">
            <v>125.26</v>
          </cell>
          <cell r="K23">
            <v>3931.98</v>
          </cell>
          <cell r="L23">
            <v>35.17</v>
          </cell>
          <cell r="M23">
            <v>0.83</v>
          </cell>
        </row>
        <row r="24">
          <cell r="A24" t="str">
            <v>GRANPLAST</v>
          </cell>
          <cell r="B24">
            <v>40</v>
          </cell>
          <cell r="C24">
            <v>10493.07</v>
          </cell>
          <cell r="D24">
            <v>13.81</v>
          </cell>
          <cell r="E24">
            <v>0</v>
          </cell>
          <cell r="F24">
            <v>0</v>
          </cell>
          <cell r="G24">
            <v>44.84</v>
          </cell>
          <cell r="H24">
            <v>10448.23</v>
          </cell>
          <cell r="I24">
            <v>6120.59</v>
          </cell>
          <cell r="J24">
            <v>24.37</v>
          </cell>
          <cell r="K24">
            <v>4352.01</v>
          </cell>
          <cell r="L24">
            <v>41.57</v>
          </cell>
          <cell r="M24">
            <v>0.77</v>
          </cell>
        </row>
        <row r="25">
          <cell r="A25" t="str">
            <v>NITROLUX</v>
          </cell>
          <cell r="B25">
            <v>20</v>
          </cell>
          <cell r="C25">
            <v>9569.16</v>
          </cell>
          <cell r="D25">
            <v>35.97</v>
          </cell>
          <cell r="E25">
            <v>0</v>
          </cell>
          <cell r="F25">
            <v>0</v>
          </cell>
          <cell r="G25">
            <v>63.99</v>
          </cell>
          <cell r="H25">
            <v>9505.17</v>
          </cell>
          <cell r="I25">
            <v>5123.18</v>
          </cell>
          <cell r="J25">
            <v>34.909999999999997</v>
          </cell>
          <cell r="K25">
            <v>4416.8999999999996</v>
          </cell>
          <cell r="L25">
            <v>46.33</v>
          </cell>
          <cell r="M25">
            <v>0.7</v>
          </cell>
        </row>
        <row r="26">
          <cell r="A26" t="str">
            <v>REALLE</v>
          </cell>
          <cell r="B26">
            <v>12</v>
          </cell>
          <cell r="C26">
            <v>9508.86</v>
          </cell>
          <cell r="D26">
            <v>31.44</v>
          </cell>
          <cell r="E26">
            <v>0</v>
          </cell>
          <cell r="F26">
            <v>0</v>
          </cell>
          <cell r="G26">
            <v>0</v>
          </cell>
          <cell r="H26">
            <v>9508.86</v>
          </cell>
          <cell r="I26">
            <v>6524.01</v>
          </cell>
          <cell r="J26">
            <v>0</v>
          </cell>
          <cell r="K26">
            <v>2984.85</v>
          </cell>
          <cell r="L26">
            <v>31.39</v>
          </cell>
          <cell r="M26">
            <v>0.7</v>
          </cell>
        </row>
        <row r="27">
          <cell r="A27" t="str">
            <v>SILVANA</v>
          </cell>
          <cell r="B27">
            <v>32</v>
          </cell>
          <cell r="C27">
            <v>9140.08</v>
          </cell>
          <cell r="D27">
            <v>33</v>
          </cell>
          <cell r="E27">
            <v>0</v>
          </cell>
          <cell r="F27">
            <v>0</v>
          </cell>
          <cell r="G27">
            <v>438.4</v>
          </cell>
          <cell r="H27">
            <v>8701.68</v>
          </cell>
          <cell r="I27">
            <v>5391.6</v>
          </cell>
          <cell r="J27">
            <v>253.85</v>
          </cell>
          <cell r="K27">
            <v>3563.93</v>
          </cell>
          <cell r="L27">
            <v>40.11</v>
          </cell>
          <cell r="M27">
            <v>0.67</v>
          </cell>
        </row>
        <row r="28">
          <cell r="A28" t="str">
            <v>LEDVANCE</v>
          </cell>
          <cell r="B28">
            <v>28</v>
          </cell>
          <cell r="C28">
            <v>9025.25</v>
          </cell>
          <cell r="D28">
            <v>7.5</v>
          </cell>
          <cell r="E28">
            <v>0</v>
          </cell>
          <cell r="F28">
            <v>0</v>
          </cell>
          <cell r="G28">
            <v>114.55</v>
          </cell>
          <cell r="H28">
            <v>8910.7000000000007</v>
          </cell>
          <cell r="I28">
            <v>5560.38</v>
          </cell>
          <cell r="J28">
            <v>65.48</v>
          </cell>
          <cell r="K28">
            <v>3415.8</v>
          </cell>
          <cell r="L28">
            <v>38.119999999999997</v>
          </cell>
          <cell r="M28">
            <v>0.66</v>
          </cell>
        </row>
        <row r="29">
          <cell r="A29" t="str">
            <v>INTECH MACHINE</v>
          </cell>
          <cell r="B29">
            <v>21</v>
          </cell>
          <cell r="C29">
            <v>8922.84</v>
          </cell>
          <cell r="D29">
            <v>228.79</v>
          </cell>
          <cell r="E29">
            <v>0</v>
          </cell>
          <cell r="F29">
            <v>0</v>
          </cell>
          <cell r="G29">
            <v>0</v>
          </cell>
          <cell r="H29">
            <v>8922.84</v>
          </cell>
          <cell r="I29">
            <v>5250.47</v>
          </cell>
          <cell r="J29">
            <v>0</v>
          </cell>
          <cell r="K29">
            <v>3672.37</v>
          </cell>
          <cell r="L29">
            <v>41.16</v>
          </cell>
          <cell r="M29">
            <v>0.66</v>
          </cell>
        </row>
        <row r="30">
          <cell r="A30" t="str">
            <v>VIQUA</v>
          </cell>
          <cell r="B30">
            <v>38</v>
          </cell>
          <cell r="C30">
            <v>8632.01</v>
          </cell>
          <cell r="D30">
            <v>37.53</v>
          </cell>
          <cell r="E30">
            <v>0</v>
          </cell>
          <cell r="F30">
            <v>0</v>
          </cell>
          <cell r="G30">
            <v>159.9</v>
          </cell>
          <cell r="H30">
            <v>8472.11</v>
          </cell>
          <cell r="I30">
            <v>5503.15</v>
          </cell>
          <cell r="J30">
            <v>105.99</v>
          </cell>
          <cell r="K30">
            <v>3074.95</v>
          </cell>
          <cell r="L30">
            <v>36.07</v>
          </cell>
          <cell r="M30">
            <v>0.64</v>
          </cell>
        </row>
        <row r="31">
          <cell r="A31" t="str">
            <v>GHEL'PLUS</v>
          </cell>
          <cell r="B31">
            <v>19</v>
          </cell>
          <cell r="C31">
            <v>8560.8799999999992</v>
          </cell>
          <cell r="D31">
            <v>107.01</v>
          </cell>
          <cell r="E31">
            <v>0</v>
          </cell>
          <cell r="F31">
            <v>0</v>
          </cell>
          <cell r="G31">
            <v>254.11</v>
          </cell>
          <cell r="H31">
            <v>8306.77</v>
          </cell>
          <cell r="I31">
            <v>5389.42</v>
          </cell>
          <cell r="J31">
            <v>159.97</v>
          </cell>
          <cell r="K31">
            <v>3077.32</v>
          </cell>
          <cell r="L31">
            <v>36.630000000000003</v>
          </cell>
          <cell r="M31">
            <v>0.63</v>
          </cell>
        </row>
        <row r="32">
          <cell r="A32" t="str">
            <v>PADO</v>
          </cell>
          <cell r="B32">
            <v>20</v>
          </cell>
          <cell r="C32">
            <v>8455.6299999999992</v>
          </cell>
          <cell r="D32">
            <v>47.5</v>
          </cell>
          <cell r="E32">
            <v>0</v>
          </cell>
          <cell r="F32">
            <v>0</v>
          </cell>
          <cell r="G32">
            <v>126.9</v>
          </cell>
          <cell r="H32">
            <v>8328.73</v>
          </cell>
          <cell r="I32">
            <v>4713.55</v>
          </cell>
          <cell r="J32">
            <v>66.8</v>
          </cell>
          <cell r="K32">
            <v>3681.98</v>
          </cell>
          <cell r="L32">
            <v>43.89</v>
          </cell>
          <cell r="M32">
            <v>0.62</v>
          </cell>
        </row>
        <row r="33">
          <cell r="A33" t="str">
            <v>ELIZABETH PORC.</v>
          </cell>
          <cell r="B33">
            <v>6</v>
          </cell>
          <cell r="C33">
            <v>6950.6598000000004</v>
          </cell>
          <cell r="D33">
            <v>50.73</v>
          </cell>
          <cell r="E33">
            <v>0</v>
          </cell>
          <cell r="F33">
            <v>0</v>
          </cell>
          <cell r="G33">
            <v>0</v>
          </cell>
          <cell r="H33">
            <v>6950.6598000000004</v>
          </cell>
          <cell r="I33">
            <v>4421.0496000000003</v>
          </cell>
          <cell r="J33">
            <v>0</v>
          </cell>
          <cell r="K33">
            <v>2529.6102000000001</v>
          </cell>
          <cell r="L33">
            <v>36.39</v>
          </cell>
          <cell r="M33">
            <v>0.51</v>
          </cell>
        </row>
        <row r="34">
          <cell r="A34" t="str">
            <v>BELLA PIA</v>
          </cell>
          <cell r="B34">
            <v>14</v>
          </cell>
          <cell r="C34">
            <v>6332.39</v>
          </cell>
          <cell r="D34">
            <v>211.08</v>
          </cell>
          <cell r="E34">
            <v>0</v>
          </cell>
          <cell r="F34">
            <v>0</v>
          </cell>
          <cell r="G34">
            <v>0</v>
          </cell>
          <cell r="H34">
            <v>6332.39</v>
          </cell>
          <cell r="I34">
            <v>3666.18</v>
          </cell>
          <cell r="J34">
            <v>0</v>
          </cell>
          <cell r="K34">
            <v>2666.21</v>
          </cell>
          <cell r="L34">
            <v>42.1</v>
          </cell>
          <cell r="M34">
            <v>0.47</v>
          </cell>
        </row>
        <row r="35">
          <cell r="A35" t="str">
            <v>MULT MIX IMPORTADORA</v>
          </cell>
          <cell r="B35">
            <v>36</v>
          </cell>
          <cell r="C35">
            <v>6059.2</v>
          </cell>
          <cell r="D35">
            <v>13.96</v>
          </cell>
          <cell r="E35">
            <v>0</v>
          </cell>
          <cell r="F35">
            <v>0</v>
          </cell>
          <cell r="G35">
            <v>0</v>
          </cell>
          <cell r="H35">
            <v>6059.2</v>
          </cell>
          <cell r="I35">
            <v>3258.88</v>
          </cell>
          <cell r="J35">
            <v>0</v>
          </cell>
          <cell r="K35">
            <v>2800.32</v>
          </cell>
          <cell r="L35">
            <v>46.22</v>
          </cell>
          <cell r="M35">
            <v>0.45</v>
          </cell>
        </row>
        <row r="36">
          <cell r="A36" t="str">
            <v>CERBRAS</v>
          </cell>
          <cell r="B36">
            <v>10</v>
          </cell>
          <cell r="C36">
            <v>5913.9795999999997</v>
          </cell>
          <cell r="D36">
            <v>44.78</v>
          </cell>
          <cell r="E36">
            <v>0</v>
          </cell>
          <cell r="F36">
            <v>0</v>
          </cell>
          <cell r="G36">
            <v>0</v>
          </cell>
          <cell r="H36">
            <v>5913.9795999999997</v>
          </cell>
          <cell r="I36">
            <v>3778.3038999999999</v>
          </cell>
          <cell r="J36">
            <v>0</v>
          </cell>
          <cell r="K36">
            <v>2135.6756999999998</v>
          </cell>
          <cell r="L36">
            <v>36.11</v>
          </cell>
          <cell r="M36">
            <v>0.44</v>
          </cell>
        </row>
        <row r="37">
          <cell r="A37" t="str">
            <v>BLUKIT</v>
          </cell>
          <cell r="B37">
            <v>40</v>
          </cell>
          <cell r="C37">
            <v>5055.7</v>
          </cell>
          <cell r="D37">
            <v>17.86</v>
          </cell>
          <cell r="E37">
            <v>0</v>
          </cell>
          <cell r="F37">
            <v>0</v>
          </cell>
          <cell r="G37">
            <v>75.150000000000006</v>
          </cell>
          <cell r="H37">
            <v>4980.55</v>
          </cell>
          <cell r="I37">
            <v>3299.36</v>
          </cell>
          <cell r="J37">
            <v>49.3</v>
          </cell>
          <cell r="K37">
            <v>1730.49</v>
          </cell>
          <cell r="L37">
            <v>34.57</v>
          </cell>
          <cell r="M37">
            <v>0.37</v>
          </cell>
        </row>
        <row r="38">
          <cell r="A38" t="str">
            <v>AVANT</v>
          </cell>
          <cell r="B38">
            <v>14</v>
          </cell>
          <cell r="C38">
            <v>4945.54</v>
          </cell>
          <cell r="D38">
            <v>39.56</v>
          </cell>
          <cell r="E38">
            <v>0</v>
          </cell>
          <cell r="F38">
            <v>0</v>
          </cell>
          <cell r="G38">
            <v>101.7</v>
          </cell>
          <cell r="H38">
            <v>4843.84</v>
          </cell>
          <cell r="I38">
            <v>2484.9499999999998</v>
          </cell>
          <cell r="J38">
            <v>46.96</v>
          </cell>
          <cell r="K38">
            <v>2405.85</v>
          </cell>
          <cell r="L38">
            <v>49.11</v>
          </cell>
          <cell r="M38">
            <v>0.36</v>
          </cell>
        </row>
        <row r="39">
          <cell r="A39" t="str">
            <v>METALURGICA MOR S/A</v>
          </cell>
          <cell r="B39">
            <v>18</v>
          </cell>
          <cell r="C39">
            <v>4808.1000000000004</v>
          </cell>
          <cell r="D39">
            <v>98.12</v>
          </cell>
          <cell r="E39">
            <v>0</v>
          </cell>
          <cell r="F39">
            <v>0</v>
          </cell>
          <cell r="G39">
            <v>319.89999999999998</v>
          </cell>
          <cell r="H39">
            <v>4488.2</v>
          </cell>
          <cell r="I39">
            <v>2913.75</v>
          </cell>
          <cell r="J39">
            <v>193.36</v>
          </cell>
          <cell r="K39">
            <v>1767.81</v>
          </cell>
          <cell r="L39">
            <v>38.31</v>
          </cell>
          <cell r="M39">
            <v>0.35</v>
          </cell>
        </row>
        <row r="40">
          <cell r="A40" t="str">
            <v>ANAUGER</v>
          </cell>
          <cell r="B40">
            <v>5</v>
          </cell>
          <cell r="C40">
            <v>4722.49</v>
          </cell>
          <cell r="D40">
            <v>363.27</v>
          </cell>
          <cell r="E40">
            <v>0</v>
          </cell>
          <cell r="F40">
            <v>0</v>
          </cell>
          <cell r="G40">
            <v>0</v>
          </cell>
          <cell r="H40">
            <v>4722.49</v>
          </cell>
          <cell r="I40">
            <v>3292.19</v>
          </cell>
          <cell r="J40">
            <v>0</v>
          </cell>
          <cell r="K40">
            <v>1430.3</v>
          </cell>
          <cell r="L40">
            <v>30.29</v>
          </cell>
          <cell r="M40">
            <v>0.35</v>
          </cell>
        </row>
        <row r="41">
          <cell r="A41" t="str">
            <v>VEDACIT</v>
          </cell>
          <cell r="B41">
            <v>14</v>
          </cell>
          <cell r="C41">
            <v>4594.01</v>
          </cell>
          <cell r="D41">
            <v>60.45</v>
          </cell>
          <cell r="E41">
            <v>0</v>
          </cell>
          <cell r="F41">
            <v>0</v>
          </cell>
          <cell r="G41">
            <v>28.9</v>
          </cell>
          <cell r="H41">
            <v>4565.1099999999997</v>
          </cell>
          <cell r="I41">
            <v>2554.87</v>
          </cell>
          <cell r="J41">
            <v>19.690000000000001</v>
          </cell>
          <cell r="K41">
            <v>2029.93</v>
          </cell>
          <cell r="L41">
            <v>44.38</v>
          </cell>
          <cell r="M41">
            <v>0.34</v>
          </cell>
        </row>
        <row r="42">
          <cell r="A42" t="str">
            <v>PULVITEC</v>
          </cell>
          <cell r="B42">
            <v>43</v>
          </cell>
          <cell r="C42">
            <v>4279.91</v>
          </cell>
          <cell r="D42">
            <v>8.41</v>
          </cell>
          <cell r="E42">
            <v>0</v>
          </cell>
          <cell r="F42">
            <v>0</v>
          </cell>
          <cell r="G42">
            <v>0</v>
          </cell>
          <cell r="H42">
            <v>4279.91</v>
          </cell>
          <cell r="I42">
            <v>2135.94</v>
          </cell>
          <cell r="J42">
            <v>0</v>
          </cell>
          <cell r="K42">
            <v>2143.9699999999998</v>
          </cell>
          <cell r="L42">
            <v>50.09</v>
          </cell>
          <cell r="M42">
            <v>0.31</v>
          </cell>
        </row>
        <row r="43">
          <cell r="A43" t="str">
            <v>LUCONI</v>
          </cell>
          <cell r="B43">
            <v>43</v>
          </cell>
          <cell r="C43">
            <v>4209.24</v>
          </cell>
          <cell r="D43">
            <v>12.76</v>
          </cell>
          <cell r="E43">
            <v>0</v>
          </cell>
          <cell r="F43">
            <v>0</v>
          </cell>
          <cell r="G43">
            <v>64.23</v>
          </cell>
          <cell r="H43">
            <v>4145.01</v>
          </cell>
          <cell r="I43">
            <v>2028.14</v>
          </cell>
          <cell r="J43">
            <v>31.48</v>
          </cell>
          <cell r="K43">
            <v>2148.35</v>
          </cell>
          <cell r="L43">
            <v>51.42</v>
          </cell>
          <cell r="M43">
            <v>0.31</v>
          </cell>
        </row>
        <row r="44">
          <cell r="A44" t="str">
            <v>METALOSA</v>
          </cell>
          <cell r="B44">
            <v>3</v>
          </cell>
          <cell r="C44">
            <v>3988.6</v>
          </cell>
          <cell r="D44">
            <v>234.62</v>
          </cell>
          <cell r="E44">
            <v>0</v>
          </cell>
          <cell r="F44">
            <v>0</v>
          </cell>
          <cell r="G44">
            <v>0</v>
          </cell>
          <cell r="H44">
            <v>3988.6</v>
          </cell>
          <cell r="I44">
            <v>2244.9499999999998</v>
          </cell>
          <cell r="J44">
            <v>0</v>
          </cell>
          <cell r="K44">
            <v>1743.65</v>
          </cell>
          <cell r="L44">
            <v>43.72</v>
          </cell>
          <cell r="M44">
            <v>0.28999999999999998</v>
          </cell>
        </row>
        <row r="45">
          <cell r="A45" t="str">
            <v>LEGRAND</v>
          </cell>
          <cell r="B45">
            <v>12</v>
          </cell>
          <cell r="C45">
            <v>3892.64</v>
          </cell>
          <cell r="D45">
            <v>15.82</v>
          </cell>
          <cell r="E45">
            <v>0</v>
          </cell>
          <cell r="F45">
            <v>0</v>
          </cell>
          <cell r="G45">
            <v>18.899999999999999</v>
          </cell>
          <cell r="H45">
            <v>3873.74</v>
          </cell>
          <cell r="I45">
            <v>2475.5300000000002</v>
          </cell>
          <cell r="J45">
            <v>11.27</v>
          </cell>
          <cell r="K45">
            <v>1409.48</v>
          </cell>
          <cell r="L45">
            <v>36.31</v>
          </cell>
          <cell r="M45">
            <v>0.28999999999999998</v>
          </cell>
        </row>
        <row r="46">
          <cell r="A46" t="str">
            <v>PRATEFIX</v>
          </cell>
          <cell r="B46">
            <v>11</v>
          </cell>
          <cell r="C46">
            <v>3828.65</v>
          </cell>
          <cell r="D46">
            <v>39.47</v>
          </cell>
          <cell r="E46">
            <v>0</v>
          </cell>
          <cell r="F46">
            <v>0</v>
          </cell>
          <cell r="G46">
            <v>254</v>
          </cell>
          <cell r="H46">
            <v>3574.65</v>
          </cell>
          <cell r="I46">
            <v>2084.19</v>
          </cell>
          <cell r="J46">
            <v>115.73</v>
          </cell>
          <cell r="K46">
            <v>1606.19</v>
          </cell>
          <cell r="L46">
            <v>43.26</v>
          </cell>
          <cell r="M46">
            <v>0.28000000000000003</v>
          </cell>
        </row>
        <row r="47">
          <cell r="A47" t="str">
            <v>Perfilplast Industria e Comerc</v>
          </cell>
          <cell r="B47">
            <v>14</v>
          </cell>
          <cell r="C47">
            <v>3806.83</v>
          </cell>
          <cell r="D47">
            <v>79.31</v>
          </cell>
          <cell r="E47">
            <v>0</v>
          </cell>
          <cell r="F47">
            <v>0</v>
          </cell>
          <cell r="G47">
            <v>88.9</v>
          </cell>
          <cell r="H47">
            <v>3717.93</v>
          </cell>
          <cell r="I47">
            <v>2412.1</v>
          </cell>
          <cell r="J47">
            <v>56.53</v>
          </cell>
          <cell r="K47">
            <v>1362.36</v>
          </cell>
          <cell r="L47">
            <v>36.33</v>
          </cell>
          <cell r="M47">
            <v>0.28000000000000003</v>
          </cell>
        </row>
        <row r="48">
          <cell r="A48" t="str">
            <v>KRONA</v>
          </cell>
          <cell r="B48">
            <v>23</v>
          </cell>
          <cell r="C48">
            <v>3684.86</v>
          </cell>
          <cell r="D48">
            <v>4.75</v>
          </cell>
          <cell r="E48">
            <v>0</v>
          </cell>
          <cell r="F48">
            <v>0</v>
          </cell>
          <cell r="G48">
            <v>26.4</v>
          </cell>
          <cell r="H48">
            <v>3658.46</v>
          </cell>
          <cell r="I48">
            <v>2077.08</v>
          </cell>
          <cell r="J48">
            <v>14.04</v>
          </cell>
          <cell r="K48">
            <v>1595.42</v>
          </cell>
          <cell r="L48">
            <v>43.46</v>
          </cell>
          <cell r="M48">
            <v>0.27</v>
          </cell>
        </row>
        <row r="49">
          <cell r="A49" t="str">
            <v>MYPA</v>
          </cell>
          <cell r="B49">
            <v>21</v>
          </cell>
          <cell r="C49">
            <v>3666.56</v>
          </cell>
          <cell r="D49">
            <v>14.05</v>
          </cell>
          <cell r="E49">
            <v>0</v>
          </cell>
          <cell r="F49">
            <v>0</v>
          </cell>
          <cell r="G49">
            <v>0</v>
          </cell>
          <cell r="H49">
            <v>3666.56</v>
          </cell>
          <cell r="I49">
            <v>2105.2600000000002</v>
          </cell>
          <cell r="J49">
            <v>0</v>
          </cell>
          <cell r="K49">
            <v>1561.3</v>
          </cell>
          <cell r="L49">
            <v>42.58</v>
          </cell>
          <cell r="M49">
            <v>0.27</v>
          </cell>
        </row>
        <row r="50">
          <cell r="A50" t="str">
            <v>ASTRA</v>
          </cell>
          <cell r="B50">
            <v>24</v>
          </cell>
          <cell r="C50">
            <v>3299.08</v>
          </cell>
          <cell r="D50">
            <v>23.23</v>
          </cell>
          <cell r="E50">
            <v>0</v>
          </cell>
          <cell r="F50">
            <v>0</v>
          </cell>
          <cell r="G50">
            <v>35.799999999999997</v>
          </cell>
          <cell r="H50">
            <v>3263.28</v>
          </cell>
          <cell r="I50">
            <v>1888.99</v>
          </cell>
          <cell r="J50">
            <v>20.79</v>
          </cell>
          <cell r="K50">
            <v>1395.08</v>
          </cell>
          <cell r="L50">
            <v>42.56</v>
          </cell>
          <cell r="M50">
            <v>0.24</v>
          </cell>
        </row>
        <row r="51">
          <cell r="A51" t="str">
            <v>ADERE</v>
          </cell>
          <cell r="B51">
            <v>24</v>
          </cell>
          <cell r="C51">
            <v>3163.55</v>
          </cell>
          <cell r="D51">
            <v>9.4700000000000006</v>
          </cell>
          <cell r="E51">
            <v>0</v>
          </cell>
          <cell r="F51">
            <v>0</v>
          </cell>
          <cell r="G51">
            <v>0</v>
          </cell>
          <cell r="H51">
            <v>3163.55</v>
          </cell>
          <cell r="I51">
            <v>1936.33</v>
          </cell>
          <cell r="J51">
            <v>0</v>
          </cell>
          <cell r="K51">
            <v>1227.22</v>
          </cell>
          <cell r="L51">
            <v>38.79</v>
          </cell>
          <cell r="M51">
            <v>0.23</v>
          </cell>
        </row>
        <row r="52">
          <cell r="A52" t="str">
            <v>CENSI</v>
          </cell>
          <cell r="B52">
            <v>41</v>
          </cell>
          <cell r="C52">
            <v>3069.32</v>
          </cell>
          <cell r="D52">
            <v>25.16</v>
          </cell>
          <cell r="E52">
            <v>0</v>
          </cell>
          <cell r="F52">
            <v>0</v>
          </cell>
          <cell r="G52">
            <v>0</v>
          </cell>
          <cell r="H52">
            <v>3069.32</v>
          </cell>
          <cell r="I52">
            <v>1873.93</v>
          </cell>
          <cell r="J52">
            <v>0</v>
          </cell>
          <cell r="K52">
            <v>1195.3900000000001</v>
          </cell>
          <cell r="L52">
            <v>38.950000000000003</v>
          </cell>
          <cell r="M52">
            <v>0.23</v>
          </cell>
        </row>
        <row r="53">
          <cell r="A53" t="str">
            <v>MGM</v>
          </cell>
          <cell r="B53">
            <v>4</v>
          </cell>
          <cell r="C53">
            <v>3022.16</v>
          </cell>
          <cell r="D53">
            <v>503.69</v>
          </cell>
          <cell r="E53">
            <v>0</v>
          </cell>
          <cell r="F53">
            <v>0</v>
          </cell>
          <cell r="G53">
            <v>231.36</v>
          </cell>
          <cell r="H53">
            <v>2790.8</v>
          </cell>
          <cell r="I53">
            <v>1825.6</v>
          </cell>
          <cell r="J53">
            <v>152.88999999999999</v>
          </cell>
          <cell r="K53">
            <v>1118.0899999999999</v>
          </cell>
          <cell r="L53">
            <v>38.97</v>
          </cell>
          <cell r="M53">
            <v>0.22</v>
          </cell>
        </row>
        <row r="54">
          <cell r="A54" t="str">
            <v>NORTON</v>
          </cell>
          <cell r="B54">
            <v>32</v>
          </cell>
          <cell r="C54">
            <v>2924.53</v>
          </cell>
          <cell r="D54">
            <v>2.73</v>
          </cell>
          <cell r="E54">
            <v>0</v>
          </cell>
          <cell r="F54">
            <v>0</v>
          </cell>
          <cell r="G54">
            <v>16.2</v>
          </cell>
          <cell r="H54">
            <v>2908.33</v>
          </cell>
          <cell r="I54">
            <v>1575.56</v>
          </cell>
          <cell r="J54">
            <v>9.2200000000000006</v>
          </cell>
          <cell r="K54">
            <v>1341.99</v>
          </cell>
          <cell r="L54">
            <v>46.03</v>
          </cell>
          <cell r="M54">
            <v>0.22</v>
          </cell>
        </row>
        <row r="55">
          <cell r="A55" t="str">
            <v>BRASFORMA</v>
          </cell>
          <cell r="B55">
            <v>5</v>
          </cell>
          <cell r="C55">
            <v>2583.52</v>
          </cell>
          <cell r="D55">
            <v>42.35</v>
          </cell>
          <cell r="E55">
            <v>0</v>
          </cell>
          <cell r="F55">
            <v>0</v>
          </cell>
          <cell r="G55">
            <v>54.8</v>
          </cell>
          <cell r="H55">
            <v>2528.7199999999998</v>
          </cell>
          <cell r="I55">
            <v>1522.78</v>
          </cell>
          <cell r="J55">
            <v>33.049999999999997</v>
          </cell>
          <cell r="K55">
            <v>1038.99</v>
          </cell>
          <cell r="L55">
            <v>40.74</v>
          </cell>
          <cell r="M55">
            <v>0.19</v>
          </cell>
        </row>
        <row r="56">
          <cell r="A56" t="str">
            <v>PLASTMAR IND E COM</v>
          </cell>
          <cell r="B56">
            <v>7</v>
          </cell>
          <cell r="C56">
            <v>2294.5</v>
          </cell>
          <cell r="D56">
            <v>62.01</v>
          </cell>
          <cell r="E56">
            <v>0</v>
          </cell>
          <cell r="F56">
            <v>0</v>
          </cell>
          <cell r="G56">
            <v>0</v>
          </cell>
          <cell r="H56">
            <v>2294.5</v>
          </cell>
          <cell r="I56">
            <v>1332.15</v>
          </cell>
          <cell r="J56">
            <v>0</v>
          </cell>
          <cell r="K56">
            <v>962.35</v>
          </cell>
          <cell r="L56">
            <v>41.94</v>
          </cell>
          <cell r="M56">
            <v>0.17</v>
          </cell>
        </row>
        <row r="57">
          <cell r="A57" t="str">
            <v>EXATRON</v>
          </cell>
          <cell r="B57">
            <v>7</v>
          </cell>
          <cell r="C57">
            <v>2281.12</v>
          </cell>
          <cell r="D57">
            <v>51.84</v>
          </cell>
          <cell r="E57">
            <v>0</v>
          </cell>
          <cell r="F57">
            <v>0</v>
          </cell>
          <cell r="G57">
            <v>0</v>
          </cell>
          <cell r="H57">
            <v>2281.12</v>
          </cell>
          <cell r="I57">
            <v>1382.29</v>
          </cell>
          <cell r="J57">
            <v>0</v>
          </cell>
          <cell r="K57">
            <v>898.83</v>
          </cell>
          <cell r="L57">
            <v>39.4</v>
          </cell>
          <cell r="M57">
            <v>0.17</v>
          </cell>
        </row>
        <row r="58">
          <cell r="A58" t="str">
            <v>BOGNAR</v>
          </cell>
          <cell r="B58">
            <v>12</v>
          </cell>
          <cell r="C58">
            <v>1980.49</v>
          </cell>
          <cell r="D58">
            <v>48.3</v>
          </cell>
          <cell r="E58">
            <v>0</v>
          </cell>
          <cell r="F58">
            <v>0</v>
          </cell>
          <cell r="G58">
            <v>131.1</v>
          </cell>
          <cell r="H58">
            <v>1849.39</v>
          </cell>
          <cell r="I58">
            <v>1388.52</v>
          </cell>
          <cell r="J58">
            <v>90.05</v>
          </cell>
          <cell r="K58">
            <v>550.91999999999996</v>
          </cell>
          <cell r="L58">
            <v>29.14</v>
          </cell>
          <cell r="M58">
            <v>0.15</v>
          </cell>
        </row>
        <row r="59">
          <cell r="A59" t="str">
            <v>DOCOL METAIS</v>
          </cell>
          <cell r="B59">
            <v>5</v>
          </cell>
          <cell r="C59">
            <v>1936.6</v>
          </cell>
          <cell r="D59">
            <v>80.69</v>
          </cell>
          <cell r="E59">
            <v>0</v>
          </cell>
          <cell r="F59">
            <v>0</v>
          </cell>
          <cell r="G59">
            <v>0</v>
          </cell>
          <cell r="H59">
            <v>1936.6</v>
          </cell>
          <cell r="I59">
            <v>1163.7</v>
          </cell>
          <cell r="J59">
            <v>0</v>
          </cell>
          <cell r="K59">
            <v>772.9</v>
          </cell>
          <cell r="L59">
            <v>39.909999999999997</v>
          </cell>
          <cell r="M59">
            <v>0.14000000000000001</v>
          </cell>
        </row>
        <row r="60">
          <cell r="A60" t="str">
            <v>CORTAG</v>
          </cell>
          <cell r="B60">
            <v>17</v>
          </cell>
          <cell r="C60">
            <v>1888.81</v>
          </cell>
          <cell r="D60">
            <v>14.76</v>
          </cell>
          <cell r="E60">
            <v>0</v>
          </cell>
          <cell r="F60">
            <v>0</v>
          </cell>
          <cell r="G60">
            <v>0</v>
          </cell>
          <cell r="H60">
            <v>1888.81</v>
          </cell>
          <cell r="I60">
            <v>1062.23</v>
          </cell>
          <cell r="J60">
            <v>0</v>
          </cell>
          <cell r="K60">
            <v>826.58</v>
          </cell>
          <cell r="L60">
            <v>43.76</v>
          </cell>
          <cell r="M60">
            <v>0.14000000000000001</v>
          </cell>
        </row>
        <row r="61">
          <cell r="A61" t="str">
            <v>PRATIMIX</v>
          </cell>
          <cell r="B61">
            <v>29</v>
          </cell>
          <cell r="C61">
            <v>1881.37</v>
          </cell>
          <cell r="D61">
            <v>10.01</v>
          </cell>
          <cell r="E61">
            <v>0</v>
          </cell>
          <cell r="F61">
            <v>0</v>
          </cell>
          <cell r="G61">
            <v>44.3</v>
          </cell>
          <cell r="H61">
            <v>1837.07</v>
          </cell>
          <cell r="I61">
            <v>1087.3800000000001</v>
          </cell>
          <cell r="J61">
            <v>25.18</v>
          </cell>
          <cell r="K61">
            <v>774.87</v>
          </cell>
          <cell r="L61">
            <v>41.75</v>
          </cell>
          <cell r="M61">
            <v>0.14000000000000001</v>
          </cell>
        </row>
        <row r="62">
          <cell r="A62" t="str">
            <v>BEMFIXA</v>
          </cell>
          <cell r="B62">
            <v>9</v>
          </cell>
          <cell r="C62">
            <v>1641.61</v>
          </cell>
          <cell r="D62">
            <v>11.81</v>
          </cell>
          <cell r="E62">
            <v>0</v>
          </cell>
          <cell r="F62">
            <v>0</v>
          </cell>
          <cell r="G62">
            <v>11.9</v>
          </cell>
          <cell r="H62">
            <v>1629.71</v>
          </cell>
          <cell r="I62">
            <v>1011.2</v>
          </cell>
          <cell r="J62">
            <v>6.52</v>
          </cell>
          <cell r="K62">
            <v>625.03</v>
          </cell>
          <cell r="L62">
            <v>38.229999999999997</v>
          </cell>
          <cell r="M62">
            <v>0.12</v>
          </cell>
        </row>
        <row r="63">
          <cell r="A63" t="str">
            <v>HERC</v>
          </cell>
          <cell r="B63">
            <v>17</v>
          </cell>
          <cell r="C63">
            <v>1363.68</v>
          </cell>
          <cell r="D63">
            <v>14.21</v>
          </cell>
          <cell r="E63">
            <v>0</v>
          </cell>
          <cell r="F63">
            <v>0</v>
          </cell>
          <cell r="G63">
            <v>83.09</v>
          </cell>
          <cell r="H63">
            <v>1280.5899999999999</v>
          </cell>
          <cell r="I63">
            <v>723.6</v>
          </cell>
          <cell r="J63">
            <v>49.16</v>
          </cell>
          <cell r="K63">
            <v>606.15</v>
          </cell>
          <cell r="L63">
            <v>46.11</v>
          </cell>
          <cell r="M63">
            <v>0.1</v>
          </cell>
        </row>
        <row r="64">
          <cell r="A64" t="str">
            <v>TOP MIX</v>
          </cell>
          <cell r="B64">
            <v>2</v>
          </cell>
          <cell r="C64">
            <v>1354</v>
          </cell>
          <cell r="D64">
            <v>677</v>
          </cell>
          <cell r="E64">
            <v>0</v>
          </cell>
          <cell r="F64">
            <v>0</v>
          </cell>
          <cell r="G64">
            <v>969.9</v>
          </cell>
          <cell r="H64">
            <v>384.1</v>
          </cell>
          <cell r="I64">
            <v>674.06</v>
          </cell>
          <cell r="J64">
            <v>453.09</v>
          </cell>
          <cell r="K64">
            <v>163.13</v>
          </cell>
          <cell r="L64">
            <v>18.11</v>
          </cell>
          <cell r="M64">
            <v>0.1</v>
          </cell>
        </row>
        <row r="65">
          <cell r="A65" t="str">
            <v>ALIANÇA</v>
          </cell>
          <cell r="B65">
            <v>3</v>
          </cell>
          <cell r="C65">
            <v>1343.7</v>
          </cell>
          <cell r="D65">
            <v>58.42</v>
          </cell>
          <cell r="E65">
            <v>0</v>
          </cell>
          <cell r="F65">
            <v>0</v>
          </cell>
          <cell r="G65">
            <v>0</v>
          </cell>
          <cell r="H65">
            <v>1343.7</v>
          </cell>
          <cell r="I65">
            <v>845.06</v>
          </cell>
          <cell r="J65">
            <v>0</v>
          </cell>
          <cell r="K65">
            <v>498.64</v>
          </cell>
          <cell r="L65">
            <v>37.11</v>
          </cell>
          <cell r="M65">
            <v>0.1</v>
          </cell>
        </row>
        <row r="66">
          <cell r="A66" t="str">
            <v>Momfort</v>
          </cell>
          <cell r="B66">
            <v>9</v>
          </cell>
          <cell r="C66">
            <v>1237.54</v>
          </cell>
          <cell r="D66">
            <v>26.33</v>
          </cell>
          <cell r="E66">
            <v>0</v>
          </cell>
          <cell r="F66">
            <v>0</v>
          </cell>
          <cell r="G66">
            <v>0</v>
          </cell>
          <cell r="H66">
            <v>1237.54</v>
          </cell>
          <cell r="I66">
            <v>695.47</v>
          </cell>
          <cell r="J66">
            <v>0</v>
          </cell>
          <cell r="K66">
            <v>542.07000000000005</v>
          </cell>
          <cell r="L66">
            <v>43.8</v>
          </cell>
          <cell r="M66">
            <v>0.09</v>
          </cell>
        </row>
        <row r="67">
          <cell r="A67" t="str">
            <v>TAF</v>
          </cell>
          <cell r="B67">
            <v>10</v>
          </cell>
          <cell r="C67">
            <v>1180.95</v>
          </cell>
          <cell r="D67">
            <v>16.63</v>
          </cell>
          <cell r="E67">
            <v>0</v>
          </cell>
          <cell r="F67">
            <v>0</v>
          </cell>
          <cell r="G67">
            <v>9.3000000000000007</v>
          </cell>
          <cell r="H67">
            <v>1171.6500000000001</v>
          </cell>
          <cell r="I67">
            <v>672.08</v>
          </cell>
          <cell r="J67">
            <v>5.63</v>
          </cell>
          <cell r="K67">
            <v>505.2</v>
          </cell>
          <cell r="L67">
            <v>42.98</v>
          </cell>
          <cell r="M67">
            <v>0.09</v>
          </cell>
        </row>
        <row r="68">
          <cell r="A68" t="str">
            <v>FRANKE</v>
          </cell>
          <cell r="B68">
            <v>4</v>
          </cell>
          <cell r="C68">
            <v>1110.7</v>
          </cell>
          <cell r="D68">
            <v>277.68</v>
          </cell>
          <cell r="E68">
            <v>0</v>
          </cell>
          <cell r="F68">
            <v>0</v>
          </cell>
          <cell r="G68">
            <v>0</v>
          </cell>
          <cell r="H68">
            <v>1110.7</v>
          </cell>
          <cell r="I68">
            <v>614.22</v>
          </cell>
          <cell r="J68">
            <v>0</v>
          </cell>
          <cell r="K68">
            <v>496.48</v>
          </cell>
          <cell r="L68">
            <v>44.7</v>
          </cell>
          <cell r="M68">
            <v>0.08</v>
          </cell>
        </row>
        <row r="69">
          <cell r="A69" t="str">
            <v>STARRETT INDUSTRIA E COMERCIO</v>
          </cell>
          <cell r="B69">
            <v>8</v>
          </cell>
          <cell r="C69">
            <v>1102.57</v>
          </cell>
          <cell r="D69">
            <v>27.56</v>
          </cell>
          <cell r="E69">
            <v>0</v>
          </cell>
          <cell r="F69">
            <v>0</v>
          </cell>
          <cell r="G69">
            <v>0</v>
          </cell>
          <cell r="H69">
            <v>1102.57</v>
          </cell>
          <cell r="I69">
            <v>620.66</v>
          </cell>
          <cell r="J69">
            <v>0</v>
          </cell>
          <cell r="K69">
            <v>481.91</v>
          </cell>
          <cell r="L69">
            <v>43.71</v>
          </cell>
          <cell r="M69">
            <v>0.08</v>
          </cell>
        </row>
        <row r="70">
          <cell r="A70" t="str">
            <v>TRAMONTINA</v>
          </cell>
          <cell r="B70">
            <v>4</v>
          </cell>
          <cell r="C70">
            <v>1065.0999999999999</v>
          </cell>
          <cell r="D70">
            <v>81.93</v>
          </cell>
          <cell r="E70">
            <v>0</v>
          </cell>
          <cell r="F70">
            <v>0</v>
          </cell>
          <cell r="G70">
            <v>0</v>
          </cell>
          <cell r="H70">
            <v>1065.0999999999999</v>
          </cell>
          <cell r="I70">
            <v>658.89</v>
          </cell>
          <cell r="J70">
            <v>0</v>
          </cell>
          <cell r="K70">
            <v>406.21</v>
          </cell>
          <cell r="L70">
            <v>38.14</v>
          </cell>
          <cell r="M70">
            <v>0.08</v>
          </cell>
        </row>
        <row r="71">
          <cell r="A71" t="str">
            <v>VONDER</v>
          </cell>
          <cell r="B71">
            <v>4</v>
          </cell>
          <cell r="C71">
            <v>1047.25</v>
          </cell>
          <cell r="D71">
            <v>37.4</v>
          </cell>
          <cell r="E71">
            <v>0</v>
          </cell>
          <cell r="F71">
            <v>0</v>
          </cell>
          <cell r="G71">
            <v>0</v>
          </cell>
          <cell r="H71">
            <v>1047.25</v>
          </cell>
          <cell r="I71">
            <v>627.12</v>
          </cell>
          <cell r="J71">
            <v>0</v>
          </cell>
          <cell r="K71">
            <v>420.13</v>
          </cell>
          <cell r="L71">
            <v>40.119999999999997</v>
          </cell>
          <cell r="M71">
            <v>0.08</v>
          </cell>
        </row>
        <row r="72">
          <cell r="A72" t="str">
            <v>MARLUVAS</v>
          </cell>
          <cell r="B72">
            <v>4</v>
          </cell>
          <cell r="C72">
            <v>1014.7</v>
          </cell>
          <cell r="D72">
            <v>78.05</v>
          </cell>
          <cell r="E72">
            <v>0</v>
          </cell>
          <cell r="F72">
            <v>0</v>
          </cell>
          <cell r="G72">
            <v>0</v>
          </cell>
          <cell r="H72">
            <v>1014.7</v>
          </cell>
          <cell r="I72">
            <v>596.23</v>
          </cell>
          <cell r="J72">
            <v>0</v>
          </cell>
          <cell r="K72">
            <v>418.47</v>
          </cell>
          <cell r="L72">
            <v>41.24</v>
          </cell>
          <cell r="M72">
            <v>7.0000000000000007E-2</v>
          </cell>
        </row>
        <row r="73">
          <cell r="A73" t="str">
            <v>SECALUX</v>
          </cell>
          <cell r="B73">
            <v>3</v>
          </cell>
          <cell r="C73">
            <v>911.71</v>
          </cell>
          <cell r="D73">
            <v>91.17</v>
          </cell>
          <cell r="E73">
            <v>0</v>
          </cell>
          <cell r="F73">
            <v>0</v>
          </cell>
          <cell r="G73">
            <v>0</v>
          </cell>
          <cell r="H73">
            <v>911.71</v>
          </cell>
          <cell r="I73">
            <v>580.9</v>
          </cell>
          <cell r="J73">
            <v>0</v>
          </cell>
          <cell r="K73">
            <v>330.81</v>
          </cell>
          <cell r="L73">
            <v>36.28</v>
          </cell>
          <cell r="M73">
            <v>7.0000000000000007E-2</v>
          </cell>
        </row>
        <row r="74">
          <cell r="A74" t="str">
            <v>BOSCH</v>
          </cell>
          <cell r="B74">
            <v>4</v>
          </cell>
          <cell r="C74">
            <v>876.36</v>
          </cell>
          <cell r="D74">
            <v>175.27</v>
          </cell>
          <cell r="E74">
            <v>0</v>
          </cell>
          <cell r="F74">
            <v>0</v>
          </cell>
          <cell r="G74">
            <v>0</v>
          </cell>
          <cell r="H74">
            <v>876.36</v>
          </cell>
          <cell r="I74">
            <v>571.69000000000005</v>
          </cell>
          <cell r="J74">
            <v>0</v>
          </cell>
          <cell r="K74">
            <v>304.67</v>
          </cell>
          <cell r="L74">
            <v>34.770000000000003</v>
          </cell>
          <cell r="M74">
            <v>0.06</v>
          </cell>
        </row>
        <row r="75">
          <cell r="A75" t="str">
            <v>Max-Giro</v>
          </cell>
          <cell r="B75">
            <v>5</v>
          </cell>
          <cell r="C75">
            <v>712.35</v>
          </cell>
          <cell r="D75">
            <v>14.25</v>
          </cell>
          <cell r="E75">
            <v>0</v>
          </cell>
          <cell r="F75">
            <v>0</v>
          </cell>
          <cell r="G75">
            <v>0</v>
          </cell>
          <cell r="H75">
            <v>712.35</v>
          </cell>
          <cell r="I75">
            <v>397.78</v>
          </cell>
          <cell r="J75">
            <v>0</v>
          </cell>
          <cell r="K75">
            <v>314.57</v>
          </cell>
          <cell r="L75">
            <v>44.16</v>
          </cell>
          <cell r="M75">
            <v>0.05</v>
          </cell>
        </row>
        <row r="76">
          <cell r="A76" t="str">
            <v>J LOBATO</v>
          </cell>
          <cell r="B76">
            <v>7</v>
          </cell>
          <cell r="C76">
            <v>672.21</v>
          </cell>
          <cell r="D76">
            <v>18.670000000000002</v>
          </cell>
          <cell r="E76">
            <v>0</v>
          </cell>
          <cell r="F76">
            <v>0</v>
          </cell>
          <cell r="G76">
            <v>0</v>
          </cell>
          <cell r="H76">
            <v>672.21</v>
          </cell>
          <cell r="I76">
            <v>305.85000000000002</v>
          </cell>
          <cell r="J76">
            <v>0</v>
          </cell>
          <cell r="K76">
            <v>366.36</v>
          </cell>
          <cell r="L76">
            <v>54.5</v>
          </cell>
          <cell r="M76">
            <v>0.05</v>
          </cell>
        </row>
        <row r="77">
          <cell r="A77" t="str">
            <v>ARCELORMITTAL</v>
          </cell>
          <cell r="B77">
            <v>4</v>
          </cell>
          <cell r="C77">
            <v>644.29999999999995</v>
          </cell>
          <cell r="D77">
            <v>58.57</v>
          </cell>
          <cell r="E77">
            <v>0</v>
          </cell>
          <cell r="F77">
            <v>0</v>
          </cell>
          <cell r="G77">
            <v>0</v>
          </cell>
          <cell r="H77">
            <v>644.29999999999995</v>
          </cell>
          <cell r="I77">
            <v>376.85</v>
          </cell>
          <cell r="J77">
            <v>0</v>
          </cell>
          <cell r="K77">
            <v>267.45</v>
          </cell>
          <cell r="L77">
            <v>41.51</v>
          </cell>
          <cell r="M77">
            <v>0.05</v>
          </cell>
        </row>
        <row r="78">
          <cell r="A78" t="str">
            <v>BOTAFOGO</v>
          </cell>
          <cell r="B78">
            <v>1</v>
          </cell>
          <cell r="C78">
            <v>628.9</v>
          </cell>
          <cell r="D78">
            <v>628.9</v>
          </cell>
          <cell r="E78">
            <v>0</v>
          </cell>
          <cell r="F78">
            <v>0</v>
          </cell>
          <cell r="G78">
            <v>0</v>
          </cell>
          <cell r="H78">
            <v>628.9</v>
          </cell>
          <cell r="I78">
            <v>378.84</v>
          </cell>
          <cell r="J78">
            <v>0</v>
          </cell>
          <cell r="K78">
            <v>250.06</v>
          </cell>
          <cell r="L78">
            <v>39.76</v>
          </cell>
          <cell r="M78">
            <v>0.05</v>
          </cell>
        </row>
        <row r="79">
          <cell r="A79" t="str">
            <v>HIDRACOR</v>
          </cell>
          <cell r="B79">
            <v>6</v>
          </cell>
          <cell r="C79">
            <v>626.70000000000005</v>
          </cell>
          <cell r="D79">
            <v>3.89</v>
          </cell>
          <cell r="E79">
            <v>0</v>
          </cell>
          <cell r="F79">
            <v>0</v>
          </cell>
          <cell r="G79">
            <v>3.9</v>
          </cell>
          <cell r="H79">
            <v>622.79999999999995</v>
          </cell>
          <cell r="I79">
            <v>233.96</v>
          </cell>
          <cell r="J79">
            <v>1.47</v>
          </cell>
          <cell r="K79">
            <v>390.31</v>
          </cell>
          <cell r="L79">
            <v>62.43</v>
          </cell>
          <cell r="M79">
            <v>0.05</v>
          </cell>
        </row>
        <row r="80">
          <cell r="A80" t="str">
            <v>INCESA</v>
          </cell>
          <cell r="B80">
            <v>2</v>
          </cell>
          <cell r="C80">
            <v>575.75</v>
          </cell>
          <cell r="D80">
            <v>32.9</v>
          </cell>
          <cell r="E80">
            <v>0</v>
          </cell>
          <cell r="F80">
            <v>0</v>
          </cell>
          <cell r="G80">
            <v>246.75</v>
          </cell>
          <cell r="H80">
            <v>329</v>
          </cell>
          <cell r="I80">
            <v>383.57499999999999</v>
          </cell>
          <cell r="J80">
            <v>197.1</v>
          </cell>
          <cell r="K80">
            <v>142.52500000000001</v>
          </cell>
          <cell r="L80">
            <v>37.64</v>
          </cell>
          <cell r="M80">
            <v>0.04</v>
          </cell>
        </row>
        <row r="81">
          <cell r="A81" t="str">
            <v>NAWA COM ATAC VAR PROD LAR E L</v>
          </cell>
          <cell r="B81">
            <v>1</v>
          </cell>
          <cell r="C81">
            <v>539.79999999999995</v>
          </cell>
          <cell r="D81">
            <v>269.89999999999998</v>
          </cell>
          <cell r="E81">
            <v>0</v>
          </cell>
          <cell r="F81">
            <v>0</v>
          </cell>
          <cell r="G81">
            <v>0</v>
          </cell>
          <cell r="H81">
            <v>539.79999999999995</v>
          </cell>
          <cell r="I81">
            <v>310.27</v>
          </cell>
          <cell r="J81">
            <v>0</v>
          </cell>
          <cell r="K81">
            <v>229.53</v>
          </cell>
          <cell r="L81">
            <v>42.52</v>
          </cell>
          <cell r="M81">
            <v>0.04</v>
          </cell>
        </row>
        <row r="82">
          <cell r="A82" t="str">
            <v>COZIMAX</v>
          </cell>
          <cell r="B82">
            <v>4</v>
          </cell>
          <cell r="C82">
            <v>527.55999999999995</v>
          </cell>
          <cell r="D82">
            <v>131.88999999999999</v>
          </cell>
          <cell r="E82">
            <v>0</v>
          </cell>
          <cell r="F82">
            <v>0</v>
          </cell>
          <cell r="G82">
            <v>0</v>
          </cell>
          <cell r="H82">
            <v>527.55999999999995</v>
          </cell>
          <cell r="I82">
            <v>311.12</v>
          </cell>
          <cell r="J82">
            <v>0</v>
          </cell>
          <cell r="K82">
            <v>216.44</v>
          </cell>
          <cell r="L82">
            <v>41.03</v>
          </cell>
          <cell r="M82">
            <v>0.04</v>
          </cell>
        </row>
        <row r="83">
          <cell r="A83" t="str">
            <v>RHPE</v>
          </cell>
          <cell r="B83">
            <v>2</v>
          </cell>
          <cell r="C83">
            <v>515.4</v>
          </cell>
          <cell r="D83">
            <v>85.9</v>
          </cell>
          <cell r="E83">
            <v>0</v>
          </cell>
          <cell r="F83">
            <v>0</v>
          </cell>
          <cell r="G83">
            <v>0</v>
          </cell>
          <cell r="H83">
            <v>515.4</v>
          </cell>
          <cell r="I83">
            <v>320.04000000000002</v>
          </cell>
          <cell r="J83">
            <v>0</v>
          </cell>
          <cell r="K83">
            <v>195.36</v>
          </cell>
          <cell r="L83">
            <v>37.9</v>
          </cell>
          <cell r="M83">
            <v>0.04</v>
          </cell>
        </row>
        <row r="84">
          <cell r="A84" t="str">
            <v>ULTRA CLEAN</v>
          </cell>
          <cell r="B84">
            <v>3</v>
          </cell>
          <cell r="C84">
            <v>485.8</v>
          </cell>
          <cell r="D84">
            <v>22.08</v>
          </cell>
          <cell r="E84">
            <v>0</v>
          </cell>
          <cell r="F84">
            <v>0</v>
          </cell>
          <cell r="G84">
            <v>0</v>
          </cell>
          <cell r="H84">
            <v>485.8</v>
          </cell>
          <cell r="I84">
            <v>301.74</v>
          </cell>
          <cell r="J84">
            <v>0</v>
          </cell>
          <cell r="K84">
            <v>184.06</v>
          </cell>
          <cell r="L84">
            <v>37.89</v>
          </cell>
          <cell r="M84">
            <v>0.04</v>
          </cell>
        </row>
        <row r="85">
          <cell r="A85" t="str">
            <v>KALIPSO</v>
          </cell>
          <cell r="B85">
            <v>6</v>
          </cell>
          <cell r="C85">
            <v>471.09</v>
          </cell>
          <cell r="D85">
            <v>7.14</v>
          </cell>
          <cell r="E85">
            <v>0</v>
          </cell>
          <cell r="F85">
            <v>0</v>
          </cell>
          <cell r="G85">
            <v>0</v>
          </cell>
          <cell r="H85">
            <v>471.09</v>
          </cell>
          <cell r="I85">
            <v>230.2</v>
          </cell>
          <cell r="J85">
            <v>0</v>
          </cell>
          <cell r="K85">
            <v>240.89</v>
          </cell>
          <cell r="L85">
            <v>51.13</v>
          </cell>
          <cell r="M85">
            <v>0.03</v>
          </cell>
        </row>
        <row r="86">
          <cell r="A86" t="str">
            <v>LUZARTE</v>
          </cell>
          <cell r="B86">
            <v>2</v>
          </cell>
          <cell r="C86">
            <v>463.02</v>
          </cell>
          <cell r="D86">
            <v>154.34</v>
          </cell>
          <cell r="E86">
            <v>0</v>
          </cell>
          <cell r="F86">
            <v>0</v>
          </cell>
          <cell r="G86">
            <v>0</v>
          </cell>
          <cell r="H86">
            <v>463.02</v>
          </cell>
          <cell r="I86">
            <v>305.52</v>
          </cell>
          <cell r="J86">
            <v>0</v>
          </cell>
          <cell r="K86">
            <v>157.5</v>
          </cell>
          <cell r="L86">
            <v>34.020000000000003</v>
          </cell>
          <cell r="M86">
            <v>0.03</v>
          </cell>
        </row>
        <row r="87">
          <cell r="A87" t="str">
            <v>GERDAU</v>
          </cell>
          <cell r="B87">
            <v>5</v>
          </cell>
          <cell r="C87">
            <v>425.4</v>
          </cell>
          <cell r="D87">
            <v>26.59</v>
          </cell>
          <cell r="E87">
            <v>0</v>
          </cell>
          <cell r="F87">
            <v>0</v>
          </cell>
          <cell r="G87">
            <v>0</v>
          </cell>
          <cell r="H87">
            <v>425.4</v>
          </cell>
          <cell r="I87">
            <v>228.47</v>
          </cell>
          <cell r="J87">
            <v>0</v>
          </cell>
          <cell r="K87">
            <v>196.93</v>
          </cell>
          <cell r="L87">
            <v>46.29</v>
          </cell>
          <cell r="M87">
            <v>0.03</v>
          </cell>
        </row>
        <row r="88">
          <cell r="A88" t="str">
            <v>ULTRACLEAN</v>
          </cell>
          <cell r="B88">
            <v>6</v>
          </cell>
          <cell r="C88">
            <v>392.7</v>
          </cell>
          <cell r="D88">
            <v>21.82</v>
          </cell>
          <cell r="E88">
            <v>0</v>
          </cell>
          <cell r="F88">
            <v>0</v>
          </cell>
          <cell r="G88">
            <v>0</v>
          </cell>
          <cell r="H88">
            <v>392.7</v>
          </cell>
          <cell r="I88">
            <v>233</v>
          </cell>
          <cell r="J88">
            <v>0</v>
          </cell>
          <cell r="K88">
            <v>159.69999999999999</v>
          </cell>
          <cell r="L88">
            <v>40.67</v>
          </cell>
          <cell r="M88">
            <v>0.03</v>
          </cell>
        </row>
        <row r="89">
          <cell r="A89" t="str">
            <v>PADRAO FORTE</v>
          </cell>
          <cell r="B89">
            <v>2</v>
          </cell>
          <cell r="C89">
            <v>362.2</v>
          </cell>
          <cell r="D89">
            <v>72.44</v>
          </cell>
          <cell r="E89">
            <v>0</v>
          </cell>
          <cell r="F89">
            <v>0</v>
          </cell>
          <cell r="G89">
            <v>0</v>
          </cell>
          <cell r="H89">
            <v>362.2</v>
          </cell>
          <cell r="I89">
            <v>213.07</v>
          </cell>
          <cell r="J89">
            <v>0</v>
          </cell>
          <cell r="K89">
            <v>149.13</v>
          </cell>
          <cell r="L89">
            <v>41.17</v>
          </cell>
          <cell r="M89">
            <v>0.03</v>
          </cell>
        </row>
        <row r="90">
          <cell r="A90" t="str">
            <v>BRASFORT</v>
          </cell>
          <cell r="B90">
            <v>3</v>
          </cell>
          <cell r="C90">
            <v>360.32</v>
          </cell>
          <cell r="D90">
            <v>11.26</v>
          </cell>
          <cell r="E90">
            <v>0</v>
          </cell>
          <cell r="F90">
            <v>0</v>
          </cell>
          <cell r="G90">
            <v>0</v>
          </cell>
          <cell r="H90">
            <v>360.32</v>
          </cell>
          <cell r="I90">
            <v>212.75</v>
          </cell>
          <cell r="J90">
            <v>0</v>
          </cell>
          <cell r="K90">
            <v>147.57</v>
          </cell>
          <cell r="L90">
            <v>40.96</v>
          </cell>
          <cell r="M90">
            <v>0.03</v>
          </cell>
        </row>
        <row r="91">
          <cell r="A91" t="str">
            <v>ORBI QUIMICA LTDA</v>
          </cell>
          <cell r="B91">
            <v>4</v>
          </cell>
          <cell r="C91">
            <v>356.88</v>
          </cell>
          <cell r="D91">
            <v>15.52</v>
          </cell>
          <cell r="E91">
            <v>0</v>
          </cell>
          <cell r="F91">
            <v>0</v>
          </cell>
          <cell r="G91">
            <v>0</v>
          </cell>
          <cell r="H91">
            <v>356.88</v>
          </cell>
          <cell r="I91">
            <v>181.12</v>
          </cell>
          <cell r="J91">
            <v>0</v>
          </cell>
          <cell r="K91">
            <v>175.76</v>
          </cell>
          <cell r="L91">
            <v>49.25</v>
          </cell>
          <cell r="M91">
            <v>0.03</v>
          </cell>
        </row>
        <row r="92">
          <cell r="A92" t="str">
            <v>ILUMI</v>
          </cell>
          <cell r="B92">
            <v>4</v>
          </cell>
          <cell r="C92">
            <v>352.88</v>
          </cell>
          <cell r="D92">
            <v>22.06</v>
          </cell>
          <cell r="E92">
            <v>0</v>
          </cell>
          <cell r="F92">
            <v>0</v>
          </cell>
          <cell r="G92">
            <v>0</v>
          </cell>
          <cell r="H92">
            <v>352.88</v>
          </cell>
          <cell r="I92">
            <v>198.81</v>
          </cell>
          <cell r="J92">
            <v>0</v>
          </cell>
          <cell r="K92">
            <v>154.07</v>
          </cell>
          <cell r="L92">
            <v>43.66</v>
          </cell>
          <cell r="M92">
            <v>0.03</v>
          </cell>
        </row>
        <row r="93">
          <cell r="A93" t="str">
            <v>NOVA FIXACAO</v>
          </cell>
          <cell r="B93">
            <v>3</v>
          </cell>
          <cell r="C93">
            <v>313.2</v>
          </cell>
          <cell r="D93">
            <v>1.8</v>
          </cell>
          <cell r="E93">
            <v>0</v>
          </cell>
          <cell r="F93">
            <v>0</v>
          </cell>
          <cell r="G93">
            <v>0</v>
          </cell>
          <cell r="H93">
            <v>313.2</v>
          </cell>
          <cell r="I93">
            <v>175.74</v>
          </cell>
          <cell r="J93">
            <v>0</v>
          </cell>
          <cell r="K93">
            <v>137.46</v>
          </cell>
          <cell r="L93">
            <v>43.89</v>
          </cell>
          <cell r="M93">
            <v>0.02</v>
          </cell>
        </row>
        <row r="94">
          <cell r="A94" t="str">
            <v>FRANKLIN</v>
          </cell>
          <cell r="B94">
            <v>2</v>
          </cell>
          <cell r="C94">
            <v>290.14</v>
          </cell>
          <cell r="D94">
            <v>72.540000000000006</v>
          </cell>
          <cell r="E94">
            <v>0</v>
          </cell>
          <cell r="F94">
            <v>0</v>
          </cell>
          <cell r="G94">
            <v>0</v>
          </cell>
          <cell r="H94">
            <v>290.14</v>
          </cell>
          <cell r="I94">
            <v>154.97</v>
          </cell>
          <cell r="J94">
            <v>0</v>
          </cell>
          <cell r="K94">
            <v>135.16999999999999</v>
          </cell>
          <cell r="L94">
            <v>46.59</v>
          </cell>
          <cell r="M94">
            <v>0.02</v>
          </cell>
        </row>
        <row r="95">
          <cell r="A95" t="str">
            <v>OVERTIME</v>
          </cell>
          <cell r="B95">
            <v>3</v>
          </cell>
          <cell r="C95">
            <v>277.94</v>
          </cell>
          <cell r="D95">
            <v>25.27</v>
          </cell>
          <cell r="E95">
            <v>0</v>
          </cell>
          <cell r="F95">
            <v>0</v>
          </cell>
          <cell r="G95">
            <v>0</v>
          </cell>
          <cell r="H95">
            <v>277.94</v>
          </cell>
          <cell r="I95">
            <v>167.81</v>
          </cell>
          <cell r="J95">
            <v>0</v>
          </cell>
          <cell r="K95">
            <v>110.13</v>
          </cell>
          <cell r="L95">
            <v>39.619999999999997</v>
          </cell>
          <cell r="M95">
            <v>0.02</v>
          </cell>
        </row>
        <row r="96">
          <cell r="A96" t="str">
            <v>GARDENLIFE</v>
          </cell>
          <cell r="B96">
            <v>2</v>
          </cell>
          <cell r="C96">
            <v>251.8</v>
          </cell>
          <cell r="D96">
            <v>125.9</v>
          </cell>
          <cell r="E96">
            <v>0</v>
          </cell>
          <cell r="F96">
            <v>0</v>
          </cell>
          <cell r="G96">
            <v>0</v>
          </cell>
          <cell r="H96">
            <v>251.8</v>
          </cell>
          <cell r="I96">
            <v>156.38</v>
          </cell>
          <cell r="J96">
            <v>0</v>
          </cell>
          <cell r="K96">
            <v>95.42</v>
          </cell>
          <cell r="L96">
            <v>37.9</v>
          </cell>
          <cell r="M96">
            <v>0.02</v>
          </cell>
        </row>
        <row r="97">
          <cell r="A97" t="str">
            <v>LEDAN</v>
          </cell>
          <cell r="B97">
            <v>4</v>
          </cell>
          <cell r="C97">
            <v>244.31</v>
          </cell>
          <cell r="D97">
            <v>11.63</v>
          </cell>
          <cell r="E97">
            <v>0</v>
          </cell>
          <cell r="F97">
            <v>0</v>
          </cell>
          <cell r="G97">
            <v>0</v>
          </cell>
          <cell r="H97">
            <v>244.31</v>
          </cell>
          <cell r="I97">
            <v>151.65</v>
          </cell>
          <cell r="J97">
            <v>0</v>
          </cell>
          <cell r="K97">
            <v>92.66</v>
          </cell>
          <cell r="L97">
            <v>37.93</v>
          </cell>
          <cell r="M97">
            <v>0.02</v>
          </cell>
        </row>
        <row r="98">
          <cell r="A98" t="str">
            <v>TRAMONTINA ELETRIK S.A.</v>
          </cell>
          <cell r="B98">
            <v>3</v>
          </cell>
          <cell r="C98">
            <v>220.19</v>
          </cell>
          <cell r="D98">
            <v>18.350000000000001</v>
          </cell>
          <cell r="E98">
            <v>0</v>
          </cell>
          <cell r="F98">
            <v>0</v>
          </cell>
          <cell r="G98">
            <v>0</v>
          </cell>
          <cell r="H98">
            <v>220.19</v>
          </cell>
          <cell r="I98">
            <v>134.09</v>
          </cell>
          <cell r="J98">
            <v>0</v>
          </cell>
          <cell r="K98">
            <v>86.1</v>
          </cell>
          <cell r="L98">
            <v>39.1</v>
          </cell>
          <cell r="M98">
            <v>0.02</v>
          </cell>
        </row>
        <row r="99">
          <cell r="A99" t="str">
            <v>EXTRALUZ</v>
          </cell>
          <cell r="B99">
            <v>3</v>
          </cell>
          <cell r="C99">
            <v>216.6</v>
          </cell>
          <cell r="D99">
            <v>18.05</v>
          </cell>
          <cell r="E99">
            <v>0</v>
          </cell>
          <cell r="F99">
            <v>0</v>
          </cell>
          <cell r="G99">
            <v>0</v>
          </cell>
          <cell r="H99">
            <v>216.6</v>
          </cell>
          <cell r="I99">
            <v>130.87</v>
          </cell>
          <cell r="J99">
            <v>0</v>
          </cell>
          <cell r="K99">
            <v>85.73</v>
          </cell>
          <cell r="L99">
            <v>39.58</v>
          </cell>
          <cell r="M99">
            <v>0.02</v>
          </cell>
        </row>
        <row r="100">
          <cell r="A100" t="str">
            <v>ARAFORROS</v>
          </cell>
          <cell r="B100">
            <v>1</v>
          </cell>
          <cell r="C100">
            <v>199.9</v>
          </cell>
          <cell r="D100">
            <v>199.9</v>
          </cell>
          <cell r="E100">
            <v>0</v>
          </cell>
          <cell r="F100">
            <v>0</v>
          </cell>
          <cell r="G100">
            <v>0</v>
          </cell>
          <cell r="H100">
            <v>199.9</v>
          </cell>
          <cell r="I100">
            <v>123.39</v>
          </cell>
          <cell r="J100">
            <v>0</v>
          </cell>
          <cell r="K100">
            <v>76.510000000000005</v>
          </cell>
          <cell r="L100">
            <v>38.270000000000003</v>
          </cell>
          <cell r="M100">
            <v>0.01</v>
          </cell>
        </row>
        <row r="101">
          <cell r="A101" t="str">
            <v>RANCAN</v>
          </cell>
          <cell r="B101">
            <v>1</v>
          </cell>
          <cell r="C101">
            <v>179.7</v>
          </cell>
          <cell r="D101">
            <v>59.9</v>
          </cell>
          <cell r="E101">
            <v>0</v>
          </cell>
          <cell r="F101">
            <v>0</v>
          </cell>
          <cell r="G101">
            <v>0</v>
          </cell>
          <cell r="H101">
            <v>179.7</v>
          </cell>
          <cell r="I101">
            <v>94.05</v>
          </cell>
          <cell r="J101">
            <v>0</v>
          </cell>
          <cell r="K101">
            <v>85.65</v>
          </cell>
          <cell r="L101">
            <v>47.66</v>
          </cell>
          <cell r="M101">
            <v>0.01</v>
          </cell>
        </row>
        <row r="102">
          <cell r="A102" t="str">
            <v>DUDA</v>
          </cell>
          <cell r="B102">
            <v>2</v>
          </cell>
          <cell r="C102">
            <v>170.52</v>
          </cell>
          <cell r="D102">
            <v>30.45</v>
          </cell>
          <cell r="E102">
            <v>0</v>
          </cell>
          <cell r="F102">
            <v>0</v>
          </cell>
          <cell r="G102">
            <v>0</v>
          </cell>
          <cell r="H102">
            <v>170.52</v>
          </cell>
          <cell r="I102">
            <v>111.46599999999999</v>
          </cell>
          <cell r="J102">
            <v>0</v>
          </cell>
          <cell r="K102">
            <v>59.054000000000002</v>
          </cell>
          <cell r="L102">
            <v>34.630000000000003</v>
          </cell>
          <cell r="M102">
            <v>0.01</v>
          </cell>
        </row>
        <row r="103">
          <cell r="A103" t="str">
            <v>STAM</v>
          </cell>
          <cell r="B103">
            <v>1</v>
          </cell>
          <cell r="C103">
            <v>131.80000000000001</v>
          </cell>
          <cell r="D103">
            <v>65.900000000000006</v>
          </cell>
          <cell r="E103">
            <v>0</v>
          </cell>
          <cell r="F103">
            <v>0</v>
          </cell>
          <cell r="G103">
            <v>0</v>
          </cell>
          <cell r="H103">
            <v>131.80000000000001</v>
          </cell>
          <cell r="I103">
            <v>76.12</v>
          </cell>
          <cell r="J103">
            <v>0</v>
          </cell>
          <cell r="K103">
            <v>55.68</v>
          </cell>
          <cell r="L103">
            <v>42.25</v>
          </cell>
          <cell r="M103">
            <v>0.01</v>
          </cell>
        </row>
        <row r="104">
          <cell r="A104" t="str">
            <v>GABRIELLA</v>
          </cell>
          <cell r="B104">
            <v>2</v>
          </cell>
          <cell r="C104">
            <v>122.5</v>
          </cell>
          <cell r="D104">
            <v>24.5</v>
          </cell>
          <cell r="E104">
            <v>0</v>
          </cell>
          <cell r="F104">
            <v>0</v>
          </cell>
          <cell r="G104">
            <v>0</v>
          </cell>
          <cell r="H104">
            <v>122.5</v>
          </cell>
          <cell r="I104">
            <v>69.55</v>
          </cell>
          <cell r="J104">
            <v>0</v>
          </cell>
          <cell r="K104">
            <v>52.95</v>
          </cell>
          <cell r="L104">
            <v>43.22</v>
          </cell>
          <cell r="M104">
            <v>0.01</v>
          </cell>
        </row>
        <row r="105">
          <cell r="A105" t="str">
            <v>EXTRALUX</v>
          </cell>
          <cell r="B105">
            <v>2</v>
          </cell>
          <cell r="C105">
            <v>118.3</v>
          </cell>
          <cell r="D105">
            <v>23.66</v>
          </cell>
          <cell r="E105">
            <v>0</v>
          </cell>
          <cell r="F105">
            <v>0</v>
          </cell>
          <cell r="G105">
            <v>0</v>
          </cell>
          <cell r="H105">
            <v>118.3</v>
          </cell>
          <cell r="I105">
            <v>70.12</v>
          </cell>
          <cell r="J105">
            <v>0</v>
          </cell>
          <cell r="K105">
            <v>48.18</v>
          </cell>
          <cell r="L105">
            <v>40.729999999999997</v>
          </cell>
          <cell r="M105">
            <v>0.01</v>
          </cell>
        </row>
        <row r="106">
          <cell r="A106" t="str">
            <v xml:space="preserve"> RESISWAL</v>
          </cell>
          <cell r="B106">
            <v>3</v>
          </cell>
          <cell r="C106">
            <v>116.7</v>
          </cell>
          <cell r="D106">
            <v>38.9</v>
          </cell>
          <cell r="E106">
            <v>0</v>
          </cell>
          <cell r="F106">
            <v>0</v>
          </cell>
          <cell r="G106">
            <v>0</v>
          </cell>
          <cell r="H106">
            <v>116.7</v>
          </cell>
          <cell r="I106">
            <v>64.62</v>
          </cell>
          <cell r="J106">
            <v>0</v>
          </cell>
          <cell r="K106">
            <v>52.08</v>
          </cell>
          <cell r="L106">
            <v>44.63</v>
          </cell>
          <cell r="M106">
            <v>0.01</v>
          </cell>
        </row>
        <row r="107">
          <cell r="A107" t="str">
            <v>PINTSILK</v>
          </cell>
          <cell r="B107">
            <v>1</v>
          </cell>
          <cell r="C107">
            <v>112.9</v>
          </cell>
          <cell r="D107">
            <v>112.9</v>
          </cell>
          <cell r="E107">
            <v>0</v>
          </cell>
          <cell r="F107">
            <v>0</v>
          </cell>
          <cell r="G107">
            <v>0</v>
          </cell>
          <cell r="H107">
            <v>112.9</v>
          </cell>
          <cell r="I107">
            <v>63.21</v>
          </cell>
          <cell r="J107">
            <v>0</v>
          </cell>
          <cell r="K107">
            <v>49.69</v>
          </cell>
          <cell r="L107">
            <v>44.01</v>
          </cell>
          <cell r="M107">
            <v>0.01</v>
          </cell>
        </row>
        <row r="108">
          <cell r="A108" t="str">
            <v>PHILIPS ILUMINACAO LA</v>
          </cell>
          <cell r="B108">
            <v>1</v>
          </cell>
          <cell r="C108">
            <v>108.9</v>
          </cell>
          <cell r="D108">
            <v>9.9</v>
          </cell>
          <cell r="E108">
            <v>0</v>
          </cell>
          <cell r="F108">
            <v>0</v>
          </cell>
          <cell r="G108">
            <v>0</v>
          </cell>
          <cell r="H108">
            <v>108.9</v>
          </cell>
          <cell r="I108">
            <v>65.23</v>
          </cell>
          <cell r="J108">
            <v>0</v>
          </cell>
          <cell r="K108">
            <v>43.67</v>
          </cell>
          <cell r="L108">
            <v>40.1</v>
          </cell>
          <cell r="M108">
            <v>0.01</v>
          </cell>
        </row>
        <row r="109">
          <cell r="A109" t="str">
            <v>EMPLAC</v>
          </cell>
          <cell r="B109">
            <v>2</v>
          </cell>
          <cell r="C109">
            <v>77.2</v>
          </cell>
          <cell r="D109">
            <v>9.65</v>
          </cell>
          <cell r="E109">
            <v>0</v>
          </cell>
          <cell r="F109">
            <v>0</v>
          </cell>
          <cell r="G109">
            <v>0</v>
          </cell>
          <cell r="H109">
            <v>77.2</v>
          </cell>
          <cell r="I109">
            <v>34.369999999999997</v>
          </cell>
          <cell r="J109">
            <v>0</v>
          </cell>
          <cell r="K109">
            <v>42.83</v>
          </cell>
          <cell r="L109">
            <v>55.48</v>
          </cell>
          <cell r="M109">
            <v>0.01</v>
          </cell>
        </row>
        <row r="110">
          <cell r="A110" t="str">
            <v>ATTENA</v>
          </cell>
          <cell r="B110">
            <v>1</v>
          </cell>
          <cell r="C110">
            <v>76.8</v>
          </cell>
          <cell r="D110">
            <v>19.2</v>
          </cell>
          <cell r="E110">
            <v>0</v>
          </cell>
          <cell r="F110">
            <v>0</v>
          </cell>
          <cell r="G110">
            <v>0</v>
          </cell>
          <cell r="H110">
            <v>76.8</v>
          </cell>
          <cell r="I110">
            <v>97.7</v>
          </cell>
          <cell r="J110">
            <v>0</v>
          </cell>
          <cell r="K110">
            <v>-20.9</v>
          </cell>
          <cell r="L110">
            <v>0</v>
          </cell>
          <cell r="M110">
            <v>0.01</v>
          </cell>
        </row>
        <row r="111">
          <cell r="A111" t="str">
            <v>BRASILIT</v>
          </cell>
          <cell r="B111">
            <v>1</v>
          </cell>
          <cell r="C111">
            <v>75.900000000000006</v>
          </cell>
          <cell r="D111">
            <v>75.900000000000006</v>
          </cell>
          <cell r="E111">
            <v>0</v>
          </cell>
          <cell r="F111">
            <v>0</v>
          </cell>
          <cell r="G111">
            <v>0</v>
          </cell>
          <cell r="H111">
            <v>75.900000000000006</v>
          </cell>
          <cell r="I111">
            <v>48.7</v>
          </cell>
          <cell r="J111">
            <v>0</v>
          </cell>
          <cell r="K111">
            <v>27.2</v>
          </cell>
          <cell r="L111">
            <v>35.840000000000003</v>
          </cell>
          <cell r="M111">
            <v>0.01</v>
          </cell>
        </row>
        <row r="112">
          <cell r="A112" t="str">
            <v>PADOVA</v>
          </cell>
          <cell r="B112">
            <v>3</v>
          </cell>
          <cell r="C112">
            <v>60.22</v>
          </cell>
          <cell r="D112">
            <v>20.07</v>
          </cell>
          <cell r="E112">
            <v>0</v>
          </cell>
          <cell r="F112">
            <v>0</v>
          </cell>
          <cell r="G112">
            <v>0</v>
          </cell>
          <cell r="H112">
            <v>60.22</v>
          </cell>
          <cell r="I112">
            <v>37.32</v>
          </cell>
          <cell r="J112">
            <v>0</v>
          </cell>
          <cell r="K112">
            <v>22.9</v>
          </cell>
          <cell r="L112">
            <v>38.03</v>
          </cell>
          <cell r="M112">
            <v>0</v>
          </cell>
        </row>
        <row r="113">
          <cell r="A113" t="str">
            <v>PRECON</v>
          </cell>
          <cell r="B113">
            <v>1</v>
          </cell>
          <cell r="C113">
            <v>53.8</v>
          </cell>
          <cell r="D113">
            <v>26.9</v>
          </cell>
          <cell r="E113">
            <v>0</v>
          </cell>
          <cell r="F113">
            <v>0</v>
          </cell>
          <cell r="G113">
            <v>0</v>
          </cell>
          <cell r="H113">
            <v>53.8</v>
          </cell>
          <cell r="I113">
            <v>34.21</v>
          </cell>
          <cell r="J113">
            <v>0</v>
          </cell>
          <cell r="K113">
            <v>19.59</v>
          </cell>
          <cell r="L113">
            <v>36.409999999999997</v>
          </cell>
          <cell r="M113">
            <v>0</v>
          </cell>
        </row>
        <row r="114">
          <cell r="A114" t="str">
            <v>COMFORT DOOR</v>
          </cell>
          <cell r="B114">
            <v>1</v>
          </cell>
          <cell r="C114">
            <v>47.9</v>
          </cell>
          <cell r="D114">
            <v>47.9</v>
          </cell>
          <cell r="E114">
            <v>0</v>
          </cell>
          <cell r="F114">
            <v>0</v>
          </cell>
          <cell r="G114">
            <v>0</v>
          </cell>
          <cell r="H114">
            <v>47.9</v>
          </cell>
          <cell r="I114">
            <v>26.57</v>
          </cell>
          <cell r="J114">
            <v>0</v>
          </cell>
          <cell r="K114">
            <v>21.33</v>
          </cell>
          <cell r="L114">
            <v>44.53</v>
          </cell>
          <cell r="M114">
            <v>0</v>
          </cell>
        </row>
        <row r="115">
          <cell r="A115" t="str">
            <v>CHEMONE</v>
          </cell>
          <cell r="B115">
            <v>1</v>
          </cell>
          <cell r="C115">
            <v>37.9</v>
          </cell>
          <cell r="D115">
            <v>37.9</v>
          </cell>
          <cell r="E115">
            <v>0</v>
          </cell>
          <cell r="F115">
            <v>0</v>
          </cell>
          <cell r="G115">
            <v>0</v>
          </cell>
          <cell r="H115">
            <v>37.9</v>
          </cell>
          <cell r="I115">
            <v>20.25</v>
          </cell>
          <cell r="J115">
            <v>0</v>
          </cell>
          <cell r="K115">
            <v>17.649999999999999</v>
          </cell>
          <cell r="L115">
            <v>46.57</v>
          </cell>
          <cell r="M115">
            <v>0</v>
          </cell>
        </row>
        <row r="116">
          <cell r="A116" t="str">
            <v>ANJO QUIMICA DO BRASIL LTDA</v>
          </cell>
          <cell r="B116">
            <v>1</v>
          </cell>
          <cell r="C116">
            <v>29.9</v>
          </cell>
          <cell r="D116">
            <v>29.9</v>
          </cell>
          <cell r="E116">
            <v>0</v>
          </cell>
          <cell r="F116">
            <v>0</v>
          </cell>
          <cell r="G116">
            <v>0</v>
          </cell>
          <cell r="H116">
            <v>29.9</v>
          </cell>
          <cell r="I116">
            <v>17.57</v>
          </cell>
          <cell r="J116">
            <v>0</v>
          </cell>
          <cell r="K116">
            <v>12.33</v>
          </cell>
          <cell r="L116">
            <v>41.24</v>
          </cell>
          <cell r="M116">
            <v>0</v>
          </cell>
        </row>
        <row r="117">
          <cell r="A117" t="str">
            <v>ONDULINE</v>
          </cell>
          <cell r="B117">
            <v>1</v>
          </cell>
          <cell r="C117">
            <v>26.9</v>
          </cell>
          <cell r="D117">
            <v>26.9</v>
          </cell>
          <cell r="E117">
            <v>0</v>
          </cell>
          <cell r="F117">
            <v>0</v>
          </cell>
          <cell r="G117">
            <v>0</v>
          </cell>
          <cell r="H117">
            <v>26.9</v>
          </cell>
          <cell r="I117">
            <v>17.350000000000001</v>
          </cell>
          <cell r="J117">
            <v>0</v>
          </cell>
          <cell r="K117">
            <v>9.5500000000000007</v>
          </cell>
          <cell r="L117">
            <v>35.5</v>
          </cell>
          <cell r="M117">
            <v>0</v>
          </cell>
        </row>
        <row r="118">
          <cell r="A118" t="str">
            <v>INCA</v>
          </cell>
          <cell r="B118">
            <v>3</v>
          </cell>
          <cell r="C118">
            <v>25.4</v>
          </cell>
          <cell r="D118">
            <v>2.54</v>
          </cell>
          <cell r="E118">
            <v>0</v>
          </cell>
          <cell r="F118">
            <v>0</v>
          </cell>
          <cell r="G118">
            <v>0</v>
          </cell>
          <cell r="H118">
            <v>25.4</v>
          </cell>
          <cell r="I118">
            <v>12.96</v>
          </cell>
          <cell r="J118">
            <v>0</v>
          </cell>
          <cell r="K118">
            <v>12.44</v>
          </cell>
          <cell r="L118">
            <v>48.98</v>
          </cell>
          <cell r="M118">
            <v>0</v>
          </cell>
        </row>
        <row r="119">
          <cell r="A119" t="str">
            <v>INJEPLAST</v>
          </cell>
          <cell r="B119">
            <v>1</v>
          </cell>
          <cell r="C119">
            <v>1.6</v>
          </cell>
          <cell r="D119">
            <v>0.4</v>
          </cell>
          <cell r="E119">
            <v>0</v>
          </cell>
          <cell r="F119">
            <v>0</v>
          </cell>
          <cell r="G119">
            <v>0</v>
          </cell>
          <cell r="H119">
            <v>1.6</v>
          </cell>
          <cell r="I119">
            <v>0.72</v>
          </cell>
          <cell r="J119">
            <v>0</v>
          </cell>
          <cell r="K119">
            <v>0.88</v>
          </cell>
          <cell r="L119">
            <v>55</v>
          </cell>
          <cell r="M119">
            <v>0</v>
          </cell>
        </row>
        <row r="120">
          <cell r="A120" t="str">
            <v>outros</v>
          </cell>
          <cell r="B120">
            <v>0</v>
          </cell>
          <cell r="C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MAR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201</v>
          </cell>
          <cell r="C2">
            <v>259052.2556</v>
          </cell>
          <cell r="D2">
            <v>31.99</v>
          </cell>
          <cell r="E2">
            <v>0</v>
          </cell>
          <cell r="F2">
            <v>0</v>
          </cell>
          <cell r="G2">
            <v>10803.4269</v>
          </cell>
          <cell r="H2">
            <v>248248.82870000001</v>
          </cell>
          <cell r="I2">
            <v>170077.48009999999</v>
          </cell>
          <cell r="J2">
            <v>7350.0540000000001</v>
          </cell>
          <cell r="K2">
            <v>85521.402600000001</v>
          </cell>
          <cell r="L2">
            <v>33.979999999999997</v>
          </cell>
          <cell r="M2">
            <v>19.920000000000002</v>
          </cell>
        </row>
        <row r="3">
          <cell r="A3" t="str">
            <v>DO MESTRE</v>
          </cell>
          <cell r="B3">
            <v>224</v>
          </cell>
          <cell r="C3">
            <v>97188.01</v>
          </cell>
          <cell r="D3">
            <v>22.12</v>
          </cell>
          <cell r="E3">
            <v>0</v>
          </cell>
          <cell r="F3">
            <v>0</v>
          </cell>
          <cell r="G3">
            <v>1949.36</v>
          </cell>
          <cell r="H3">
            <v>95238.65</v>
          </cell>
          <cell r="I3">
            <v>58761.8</v>
          </cell>
          <cell r="J3">
            <v>1146.68</v>
          </cell>
          <cell r="K3">
            <v>37623.53</v>
          </cell>
          <cell r="L3">
            <v>39.17</v>
          </cell>
          <cell r="M3">
            <v>7.47</v>
          </cell>
        </row>
        <row r="4">
          <cell r="A4" t="str">
            <v>ARIELLE</v>
          </cell>
          <cell r="B4">
            <v>105</v>
          </cell>
          <cell r="C4">
            <v>95193.611000000004</v>
          </cell>
          <cell r="D4">
            <v>32.869999999999997</v>
          </cell>
          <cell r="E4">
            <v>0</v>
          </cell>
          <cell r="F4">
            <v>0</v>
          </cell>
          <cell r="G4">
            <v>3124.3546999999999</v>
          </cell>
          <cell r="H4">
            <v>92069.256299999994</v>
          </cell>
          <cell r="I4">
            <v>59004.244299999998</v>
          </cell>
          <cell r="J4">
            <v>1904.124</v>
          </cell>
          <cell r="K4">
            <v>34969.135999999999</v>
          </cell>
          <cell r="L4">
            <v>37.479999999999997</v>
          </cell>
          <cell r="M4">
            <v>7.32</v>
          </cell>
        </row>
        <row r="5">
          <cell r="A5" t="str">
            <v>IQUINE</v>
          </cell>
          <cell r="B5">
            <v>64</v>
          </cell>
          <cell r="C5">
            <v>79739.098400000003</v>
          </cell>
          <cell r="D5">
            <v>39.07</v>
          </cell>
          <cell r="E5">
            <v>0</v>
          </cell>
          <cell r="F5">
            <v>0</v>
          </cell>
          <cell r="G5">
            <v>1389.8496</v>
          </cell>
          <cell r="H5">
            <v>78349.248800000001</v>
          </cell>
          <cell r="I5">
            <v>46872.746800000001</v>
          </cell>
          <cell r="J5">
            <v>812.1644</v>
          </cell>
          <cell r="K5">
            <v>32288.666399999998</v>
          </cell>
          <cell r="L5">
            <v>40.909999999999997</v>
          </cell>
          <cell r="M5">
            <v>6.13</v>
          </cell>
        </row>
        <row r="6">
          <cell r="A6" t="str">
            <v>MEGAÓ</v>
          </cell>
          <cell r="B6">
            <v>73</v>
          </cell>
          <cell r="C6">
            <v>72228.06</v>
          </cell>
          <cell r="D6">
            <v>56.69</v>
          </cell>
          <cell r="E6">
            <v>0</v>
          </cell>
          <cell r="F6">
            <v>0</v>
          </cell>
          <cell r="G6">
            <v>1326.26</v>
          </cell>
          <cell r="H6">
            <v>70901.8</v>
          </cell>
          <cell r="I6">
            <v>44309.96</v>
          </cell>
          <cell r="J6">
            <v>800.88</v>
          </cell>
          <cell r="K6">
            <v>27392.720000000001</v>
          </cell>
          <cell r="L6">
            <v>38.35</v>
          </cell>
          <cell r="M6">
            <v>5.55</v>
          </cell>
        </row>
        <row r="7">
          <cell r="A7" t="str">
            <v>ETERNIT</v>
          </cell>
          <cell r="B7">
            <v>58</v>
          </cell>
          <cell r="C7">
            <v>71233.73</v>
          </cell>
          <cell r="D7">
            <v>56.36</v>
          </cell>
          <cell r="E7">
            <v>0</v>
          </cell>
          <cell r="F7">
            <v>0</v>
          </cell>
          <cell r="G7">
            <v>3393.46</v>
          </cell>
          <cell r="H7">
            <v>67840.27</v>
          </cell>
          <cell r="I7">
            <v>51528.94</v>
          </cell>
          <cell r="J7">
            <v>2409.86</v>
          </cell>
          <cell r="K7">
            <v>18721.189999999999</v>
          </cell>
          <cell r="L7">
            <v>27.2</v>
          </cell>
          <cell r="M7">
            <v>5.48</v>
          </cell>
        </row>
        <row r="8">
          <cell r="A8" t="str">
            <v>POINTER</v>
          </cell>
          <cell r="B8">
            <v>68</v>
          </cell>
          <cell r="C8">
            <v>65803.982499999998</v>
          </cell>
          <cell r="D8">
            <v>39.36</v>
          </cell>
          <cell r="E8">
            <v>0</v>
          </cell>
          <cell r="F8">
            <v>0</v>
          </cell>
          <cell r="G8">
            <v>3388.3878</v>
          </cell>
          <cell r="H8">
            <v>62415.594700000001</v>
          </cell>
          <cell r="I8">
            <v>41576.339399999997</v>
          </cell>
          <cell r="J8">
            <v>1935.2724000000001</v>
          </cell>
          <cell r="K8">
            <v>22774.527699999999</v>
          </cell>
          <cell r="L8">
            <v>35.659999999999997</v>
          </cell>
          <cell r="M8">
            <v>5.0599999999999996</v>
          </cell>
        </row>
        <row r="9">
          <cell r="A9" t="str">
            <v>QUALITY</v>
          </cell>
          <cell r="B9">
            <v>77</v>
          </cell>
          <cell r="C9">
            <v>63299.15</v>
          </cell>
          <cell r="D9">
            <v>213.13</v>
          </cell>
          <cell r="E9">
            <v>0</v>
          </cell>
          <cell r="F9">
            <v>0</v>
          </cell>
          <cell r="G9">
            <v>5475.09</v>
          </cell>
          <cell r="H9">
            <v>57824.06</v>
          </cell>
          <cell r="I9">
            <v>40553.040000000001</v>
          </cell>
          <cell r="J9">
            <v>3388.46</v>
          </cell>
          <cell r="K9">
            <v>20659.48</v>
          </cell>
          <cell r="L9">
            <v>34.479999999999997</v>
          </cell>
          <cell r="M9">
            <v>4.87</v>
          </cell>
        </row>
        <row r="10">
          <cell r="A10" t="str">
            <v>PAMESA</v>
          </cell>
          <cell r="B10">
            <v>47</v>
          </cell>
          <cell r="C10">
            <v>43678.089200000002</v>
          </cell>
          <cell r="D10">
            <v>30.73</v>
          </cell>
          <cell r="E10">
            <v>0</v>
          </cell>
          <cell r="F10">
            <v>0</v>
          </cell>
          <cell r="G10">
            <v>0</v>
          </cell>
          <cell r="H10">
            <v>43678.089200000002</v>
          </cell>
          <cell r="I10">
            <v>31598.9424</v>
          </cell>
          <cell r="J10">
            <v>0</v>
          </cell>
          <cell r="K10">
            <v>12079.1468</v>
          </cell>
          <cell r="L10">
            <v>27.65</v>
          </cell>
          <cell r="M10">
            <v>3.36</v>
          </cell>
        </row>
        <row r="11">
          <cell r="A11" t="str">
            <v>WEBER QUARTZOLIT</v>
          </cell>
          <cell r="B11">
            <v>84</v>
          </cell>
          <cell r="C11">
            <v>40143.440000000002</v>
          </cell>
          <cell r="D11">
            <v>32.880000000000003</v>
          </cell>
          <cell r="E11">
            <v>0</v>
          </cell>
          <cell r="F11">
            <v>0</v>
          </cell>
          <cell r="G11">
            <v>409.2</v>
          </cell>
          <cell r="H11">
            <v>39734.239999999998</v>
          </cell>
          <cell r="I11">
            <v>25283.17</v>
          </cell>
          <cell r="J11">
            <v>246.84</v>
          </cell>
          <cell r="K11">
            <v>14697.91</v>
          </cell>
          <cell r="L11">
            <v>36.840000000000003</v>
          </cell>
          <cell r="M11">
            <v>3.09</v>
          </cell>
        </row>
        <row r="12">
          <cell r="A12" t="str">
            <v>FORTLEV</v>
          </cell>
          <cell r="B12">
            <v>45</v>
          </cell>
          <cell r="C12">
            <v>33894.03</v>
          </cell>
          <cell r="D12">
            <v>14.29</v>
          </cell>
          <cell r="E12">
            <v>0</v>
          </cell>
          <cell r="F12">
            <v>0</v>
          </cell>
          <cell r="G12">
            <v>818.6</v>
          </cell>
          <cell r="H12">
            <v>33075.43</v>
          </cell>
          <cell r="I12">
            <v>23392.240000000002</v>
          </cell>
          <cell r="J12">
            <v>599.33000000000004</v>
          </cell>
          <cell r="K12">
            <v>10282.52</v>
          </cell>
          <cell r="L12">
            <v>30.88</v>
          </cell>
          <cell r="M12">
            <v>2.61</v>
          </cell>
        </row>
        <row r="13">
          <cell r="A13" t="str">
            <v>ROCA</v>
          </cell>
          <cell r="B13">
            <v>49</v>
          </cell>
          <cell r="C13">
            <v>32507.52</v>
          </cell>
          <cell r="D13">
            <v>149.80000000000001</v>
          </cell>
          <cell r="E13">
            <v>0</v>
          </cell>
          <cell r="F13">
            <v>0</v>
          </cell>
          <cell r="G13">
            <v>1391.5</v>
          </cell>
          <cell r="H13">
            <v>31116.02</v>
          </cell>
          <cell r="I13">
            <v>22604.46</v>
          </cell>
          <cell r="J13">
            <v>900.26</v>
          </cell>
          <cell r="K13">
            <v>9411.82</v>
          </cell>
          <cell r="L13">
            <v>29.78</v>
          </cell>
          <cell r="M13">
            <v>2.5</v>
          </cell>
        </row>
        <row r="14">
          <cell r="A14" t="str">
            <v>COBRECOM</v>
          </cell>
          <cell r="B14">
            <v>15</v>
          </cell>
          <cell r="C14">
            <v>23303.59</v>
          </cell>
          <cell r="D14">
            <v>171.35</v>
          </cell>
          <cell r="E14">
            <v>0</v>
          </cell>
          <cell r="F14">
            <v>0</v>
          </cell>
          <cell r="G14">
            <v>503.9</v>
          </cell>
          <cell r="H14">
            <v>22799.69</v>
          </cell>
          <cell r="I14">
            <v>16467.34</v>
          </cell>
          <cell r="J14">
            <v>334.91</v>
          </cell>
          <cell r="K14">
            <v>6667.26</v>
          </cell>
          <cell r="L14">
            <v>29.03</v>
          </cell>
          <cell r="M14">
            <v>1.79</v>
          </cell>
        </row>
        <row r="15">
          <cell r="A15" t="str">
            <v>TECNOGRES</v>
          </cell>
          <cell r="B15">
            <v>20</v>
          </cell>
          <cell r="C15">
            <v>20702.379199999999</v>
          </cell>
          <cell r="D15">
            <v>64.53</v>
          </cell>
          <cell r="E15">
            <v>0</v>
          </cell>
          <cell r="F15">
            <v>0</v>
          </cell>
          <cell r="G15">
            <v>0</v>
          </cell>
          <cell r="H15">
            <v>20702.379199999999</v>
          </cell>
          <cell r="I15">
            <v>13160.8758</v>
          </cell>
          <cell r="J15">
            <v>0</v>
          </cell>
          <cell r="K15">
            <v>7541.5033999999996</v>
          </cell>
          <cell r="L15">
            <v>36.43</v>
          </cell>
          <cell r="M15">
            <v>1.59</v>
          </cell>
        </row>
        <row r="16">
          <cell r="A16" t="str">
            <v>CARMELO FIOR</v>
          </cell>
          <cell r="B16">
            <v>24</v>
          </cell>
          <cell r="C16">
            <v>18781.509999999998</v>
          </cell>
          <cell r="D16">
            <v>63.24</v>
          </cell>
          <cell r="E16">
            <v>0</v>
          </cell>
          <cell r="F16">
            <v>0</v>
          </cell>
          <cell r="G16">
            <v>0</v>
          </cell>
          <cell r="H16">
            <v>18781.509999999998</v>
          </cell>
          <cell r="I16">
            <v>6016.23</v>
          </cell>
          <cell r="J16">
            <v>0</v>
          </cell>
          <cell r="K16">
            <v>12765.28</v>
          </cell>
          <cell r="L16">
            <v>67.97</v>
          </cell>
          <cell r="M16">
            <v>1.44</v>
          </cell>
        </row>
        <row r="17">
          <cell r="A17" t="str">
            <v>ATLAS</v>
          </cell>
          <cell r="B17">
            <v>60</v>
          </cell>
          <cell r="C17">
            <v>18406.27</v>
          </cell>
          <cell r="D17">
            <v>15.65</v>
          </cell>
          <cell r="E17">
            <v>0</v>
          </cell>
          <cell r="F17">
            <v>0</v>
          </cell>
          <cell r="G17">
            <v>220.5</v>
          </cell>
          <cell r="H17">
            <v>18185.77</v>
          </cell>
          <cell r="I17">
            <v>9644.41</v>
          </cell>
          <cell r="J17">
            <v>114.89</v>
          </cell>
          <cell r="K17">
            <v>8656.25</v>
          </cell>
          <cell r="L17">
            <v>47.32</v>
          </cell>
          <cell r="M17">
            <v>1.42</v>
          </cell>
        </row>
        <row r="18">
          <cell r="A18" t="str">
            <v>BLACK DECKER</v>
          </cell>
          <cell r="B18">
            <v>21</v>
          </cell>
          <cell r="C18">
            <v>13800.14</v>
          </cell>
          <cell r="D18">
            <v>55.65</v>
          </cell>
          <cell r="E18">
            <v>0</v>
          </cell>
          <cell r="F18">
            <v>0</v>
          </cell>
          <cell r="G18">
            <v>118.4</v>
          </cell>
          <cell r="H18">
            <v>13681.74</v>
          </cell>
          <cell r="I18">
            <v>8720.7000000000007</v>
          </cell>
          <cell r="J18">
            <v>63.65</v>
          </cell>
          <cell r="K18">
            <v>5024.6899999999996</v>
          </cell>
          <cell r="L18">
            <v>36.58</v>
          </cell>
          <cell r="M18">
            <v>1.06</v>
          </cell>
        </row>
        <row r="19">
          <cell r="A19" t="str">
            <v>METAIS LEAO</v>
          </cell>
          <cell r="B19">
            <v>34</v>
          </cell>
          <cell r="C19">
            <v>12568.26</v>
          </cell>
          <cell r="D19">
            <v>71.819999999999993</v>
          </cell>
          <cell r="E19">
            <v>0</v>
          </cell>
          <cell r="F19">
            <v>0</v>
          </cell>
          <cell r="G19">
            <v>446.5</v>
          </cell>
          <cell r="H19">
            <v>12121.76</v>
          </cell>
          <cell r="I19">
            <v>7135.78</v>
          </cell>
          <cell r="J19">
            <v>279.25</v>
          </cell>
          <cell r="K19">
            <v>5265.23</v>
          </cell>
          <cell r="L19">
            <v>42.85</v>
          </cell>
          <cell r="M19">
            <v>0.97</v>
          </cell>
        </row>
        <row r="20">
          <cell r="A20" t="str">
            <v>NITROLUX</v>
          </cell>
          <cell r="B20">
            <v>21</v>
          </cell>
          <cell r="C20">
            <v>12074.01</v>
          </cell>
          <cell r="D20">
            <v>34.799999999999997</v>
          </cell>
          <cell r="E20">
            <v>0</v>
          </cell>
          <cell r="F20">
            <v>0</v>
          </cell>
          <cell r="G20">
            <v>45.3</v>
          </cell>
          <cell r="H20">
            <v>12028.71</v>
          </cell>
          <cell r="I20">
            <v>7292.68</v>
          </cell>
          <cell r="J20">
            <v>26.57</v>
          </cell>
          <cell r="K20">
            <v>4762.6000000000004</v>
          </cell>
          <cell r="L20">
            <v>39.53</v>
          </cell>
          <cell r="M20">
            <v>0.93</v>
          </cell>
        </row>
        <row r="21">
          <cell r="A21" t="str">
            <v>MEC-TRONIC</v>
          </cell>
          <cell r="B21">
            <v>35</v>
          </cell>
          <cell r="C21">
            <v>11986.86</v>
          </cell>
          <cell r="D21">
            <v>11.06</v>
          </cell>
          <cell r="E21">
            <v>0</v>
          </cell>
          <cell r="F21">
            <v>0</v>
          </cell>
          <cell r="G21">
            <v>190.18</v>
          </cell>
          <cell r="H21">
            <v>11796.68</v>
          </cell>
          <cell r="I21">
            <v>6027.73</v>
          </cell>
          <cell r="J21">
            <v>92.86</v>
          </cell>
          <cell r="K21">
            <v>5861.81</v>
          </cell>
          <cell r="L21">
            <v>49.28</v>
          </cell>
          <cell r="M21">
            <v>0.92</v>
          </cell>
        </row>
        <row r="22">
          <cell r="A22" t="str">
            <v>Perfilplast Industria e Comerc</v>
          </cell>
          <cell r="B22">
            <v>22</v>
          </cell>
          <cell r="C22">
            <v>10898.174000000001</v>
          </cell>
          <cell r="D22">
            <v>58.15</v>
          </cell>
          <cell r="E22">
            <v>0</v>
          </cell>
          <cell r="F22">
            <v>0</v>
          </cell>
          <cell r="G22">
            <v>541.05999999999995</v>
          </cell>
          <cell r="H22">
            <v>10357.114</v>
          </cell>
          <cell r="I22">
            <v>6900.2759999999998</v>
          </cell>
          <cell r="J22">
            <v>345.26</v>
          </cell>
          <cell r="K22">
            <v>3802.098</v>
          </cell>
          <cell r="L22">
            <v>36.03</v>
          </cell>
          <cell r="M22">
            <v>0.84</v>
          </cell>
        </row>
        <row r="23">
          <cell r="A23" t="str">
            <v>GRANPLAST</v>
          </cell>
          <cell r="B23">
            <v>26</v>
          </cell>
          <cell r="C23">
            <v>10630.08</v>
          </cell>
          <cell r="D23">
            <v>14.42</v>
          </cell>
          <cell r="E23">
            <v>0</v>
          </cell>
          <cell r="F23">
            <v>0</v>
          </cell>
          <cell r="G23">
            <v>210.56</v>
          </cell>
          <cell r="H23">
            <v>10419.52</v>
          </cell>
          <cell r="I23">
            <v>6197.79</v>
          </cell>
          <cell r="J23">
            <v>130.5</v>
          </cell>
          <cell r="K23">
            <v>4352.2299999999996</v>
          </cell>
          <cell r="L23">
            <v>41.45</v>
          </cell>
          <cell r="M23">
            <v>0.82</v>
          </cell>
        </row>
        <row r="24">
          <cell r="A24" t="str">
            <v>INTECH MACHINE</v>
          </cell>
          <cell r="B24">
            <v>14</v>
          </cell>
          <cell r="C24">
            <v>9883.4699999999993</v>
          </cell>
          <cell r="D24">
            <v>190.07</v>
          </cell>
          <cell r="E24">
            <v>0</v>
          </cell>
          <cell r="F24">
            <v>0</v>
          </cell>
          <cell r="G24">
            <v>0</v>
          </cell>
          <cell r="H24">
            <v>9883.4699999999993</v>
          </cell>
          <cell r="I24">
            <v>6029.92</v>
          </cell>
          <cell r="J24">
            <v>0</v>
          </cell>
          <cell r="K24">
            <v>3853.55</v>
          </cell>
          <cell r="L24">
            <v>38.99</v>
          </cell>
          <cell r="M24">
            <v>0.76</v>
          </cell>
        </row>
        <row r="25">
          <cell r="A25" t="str">
            <v>LORENZETTI</v>
          </cell>
          <cell r="B25">
            <v>19</v>
          </cell>
          <cell r="C25">
            <v>9568.59</v>
          </cell>
          <cell r="D25">
            <v>77.17</v>
          </cell>
          <cell r="E25">
            <v>0</v>
          </cell>
          <cell r="F25">
            <v>0</v>
          </cell>
          <cell r="G25">
            <v>197.34</v>
          </cell>
          <cell r="H25">
            <v>9371.25</v>
          </cell>
          <cell r="I25">
            <v>6054.84</v>
          </cell>
          <cell r="J25">
            <v>123.09</v>
          </cell>
          <cell r="K25">
            <v>3439.5</v>
          </cell>
          <cell r="L25">
            <v>36.409999999999997</v>
          </cell>
          <cell r="M25">
            <v>0.74</v>
          </cell>
        </row>
        <row r="26">
          <cell r="A26" t="str">
            <v>KDK PORTAS</v>
          </cell>
          <cell r="B26">
            <v>22</v>
          </cell>
          <cell r="C26">
            <v>8858.41</v>
          </cell>
          <cell r="D26">
            <v>170.35</v>
          </cell>
          <cell r="E26">
            <v>0</v>
          </cell>
          <cell r="F26">
            <v>0</v>
          </cell>
          <cell r="G26">
            <v>176.9</v>
          </cell>
          <cell r="H26">
            <v>8681.51</v>
          </cell>
          <cell r="I26">
            <v>4877.3</v>
          </cell>
          <cell r="J26">
            <v>98.74</v>
          </cell>
          <cell r="K26">
            <v>3902.95</v>
          </cell>
          <cell r="L26">
            <v>44.56</v>
          </cell>
          <cell r="M26">
            <v>0.68</v>
          </cell>
        </row>
        <row r="27">
          <cell r="A27" t="str">
            <v>LEDVANCE</v>
          </cell>
          <cell r="B27">
            <v>34</v>
          </cell>
          <cell r="C27">
            <v>8785.6299999999992</v>
          </cell>
          <cell r="D27">
            <v>5.97</v>
          </cell>
          <cell r="E27">
            <v>0</v>
          </cell>
          <cell r="F27">
            <v>0</v>
          </cell>
          <cell r="G27">
            <v>95.3</v>
          </cell>
          <cell r="H27">
            <v>8690.33</v>
          </cell>
          <cell r="I27">
            <v>5448.72</v>
          </cell>
          <cell r="J27">
            <v>50.5</v>
          </cell>
          <cell r="K27">
            <v>3292.11</v>
          </cell>
          <cell r="L27">
            <v>37.69</v>
          </cell>
          <cell r="M27">
            <v>0.68</v>
          </cell>
        </row>
        <row r="28">
          <cell r="A28" t="str">
            <v>VIQUA</v>
          </cell>
          <cell r="B28">
            <v>20</v>
          </cell>
          <cell r="C28">
            <v>6825.42</v>
          </cell>
          <cell r="D28">
            <v>36.31</v>
          </cell>
          <cell r="E28">
            <v>0</v>
          </cell>
          <cell r="F28">
            <v>0</v>
          </cell>
          <cell r="G28">
            <v>34.799999999999997</v>
          </cell>
          <cell r="H28">
            <v>6790.62</v>
          </cell>
          <cell r="I28">
            <v>4296.67</v>
          </cell>
          <cell r="J28">
            <v>21.37</v>
          </cell>
          <cell r="K28">
            <v>2515.3200000000002</v>
          </cell>
          <cell r="L28">
            <v>36.97</v>
          </cell>
          <cell r="M28">
            <v>0.52</v>
          </cell>
        </row>
        <row r="29">
          <cell r="A29" t="str">
            <v>GHEL'PLUS</v>
          </cell>
          <cell r="B29">
            <v>14</v>
          </cell>
          <cell r="C29">
            <v>6738.45</v>
          </cell>
          <cell r="D29">
            <v>134.77000000000001</v>
          </cell>
          <cell r="E29">
            <v>0</v>
          </cell>
          <cell r="F29">
            <v>0</v>
          </cell>
          <cell r="G29">
            <v>271.8</v>
          </cell>
          <cell r="H29">
            <v>6466.65</v>
          </cell>
          <cell r="I29">
            <v>4096.6400000000003</v>
          </cell>
          <cell r="J29">
            <v>167.9</v>
          </cell>
          <cell r="K29">
            <v>2537.91</v>
          </cell>
          <cell r="L29">
            <v>38.630000000000003</v>
          </cell>
          <cell r="M29">
            <v>0.52</v>
          </cell>
        </row>
        <row r="30">
          <cell r="A30" t="str">
            <v>BELLA PIA</v>
          </cell>
          <cell r="B30">
            <v>14</v>
          </cell>
          <cell r="C30">
            <v>6653.84</v>
          </cell>
          <cell r="D30">
            <v>246.44</v>
          </cell>
          <cell r="E30">
            <v>0</v>
          </cell>
          <cell r="F30">
            <v>0</v>
          </cell>
          <cell r="G30">
            <v>854.9</v>
          </cell>
          <cell r="H30">
            <v>5798.94</v>
          </cell>
          <cell r="I30">
            <v>3813.35</v>
          </cell>
          <cell r="J30">
            <v>494.44</v>
          </cell>
          <cell r="K30">
            <v>2480.0300000000002</v>
          </cell>
          <cell r="L30">
            <v>40.26</v>
          </cell>
          <cell r="M30">
            <v>0.51</v>
          </cell>
        </row>
        <row r="31">
          <cell r="A31" t="str">
            <v>MULT MIX IMPORTADORA</v>
          </cell>
          <cell r="B31">
            <v>25</v>
          </cell>
          <cell r="C31">
            <v>5511.8</v>
          </cell>
          <cell r="D31">
            <v>16.75</v>
          </cell>
          <cell r="E31">
            <v>0</v>
          </cell>
          <cell r="F31">
            <v>0</v>
          </cell>
          <cell r="G31">
            <v>21.8</v>
          </cell>
          <cell r="H31">
            <v>5490</v>
          </cell>
          <cell r="I31">
            <v>2828.24</v>
          </cell>
          <cell r="J31">
            <v>10.88</v>
          </cell>
          <cell r="K31">
            <v>2672.64</v>
          </cell>
          <cell r="L31">
            <v>48.59</v>
          </cell>
          <cell r="M31">
            <v>0.42</v>
          </cell>
        </row>
        <row r="32">
          <cell r="A32" t="str">
            <v>PADO</v>
          </cell>
          <cell r="B32">
            <v>13</v>
          </cell>
          <cell r="C32">
            <v>5151.57</v>
          </cell>
          <cell r="D32">
            <v>48.15</v>
          </cell>
          <cell r="E32">
            <v>0</v>
          </cell>
          <cell r="F32">
            <v>0</v>
          </cell>
          <cell r="G32">
            <v>109.8</v>
          </cell>
          <cell r="H32">
            <v>5041.7700000000004</v>
          </cell>
          <cell r="I32">
            <v>2887.18</v>
          </cell>
          <cell r="J32">
            <v>59</v>
          </cell>
          <cell r="K32">
            <v>2213.59</v>
          </cell>
          <cell r="L32">
            <v>43.47</v>
          </cell>
          <cell r="M32">
            <v>0.4</v>
          </cell>
        </row>
        <row r="33">
          <cell r="A33" t="str">
            <v>BLUKIT</v>
          </cell>
          <cell r="B33">
            <v>26</v>
          </cell>
          <cell r="C33">
            <v>5107.0200000000004</v>
          </cell>
          <cell r="D33">
            <v>22.01</v>
          </cell>
          <cell r="E33">
            <v>0</v>
          </cell>
          <cell r="F33">
            <v>0</v>
          </cell>
          <cell r="G33">
            <v>52.9</v>
          </cell>
          <cell r="H33">
            <v>5054.12</v>
          </cell>
          <cell r="I33">
            <v>3242.98</v>
          </cell>
          <cell r="J33">
            <v>32.549999999999997</v>
          </cell>
          <cell r="K33">
            <v>1843.69</v>
          </cell>
          <cell r="L33">
            <v>36.33</v>
          </cell>
          <cell r="M33">
            <v>0.39</v>
          </cell>
        </row>
        <row r="34">
          <cell r="A34" t="str">
            <v>LEGRAND</v>
          </cell>
          <cell r="B34">
            <v>16</v>
          </cell>
          <cell r="C34">
            <v>4998.58</v>
          </cell>
          <cell r="D34">
            <v>18.05</v>
          </cell>
          <cell r="E34">
            <v>0</v>
          </cell>
          <cell r="F34">
            <v>0</v>
          </cell>
          <cell r="G34">
            <v>51.8</v>
          </cell>
          <cell r="H34">
            <v>4946.78</v>
          </cell>
          <cell r="I34">
            <v>2985.32</v>
          </cell>
          <cell r="J34">
            <v>30.32</v>
          </cell>
          <cell r="K34">
            <v>1991.78</v>
          </cell>
          <cell r="L34">
            <v>40.090000000000003</v>
          </cell>
          <cell r="M34">
            <v>0.38</v>
          </cell>
        </row>
        <row r="35">
          <cell r="A35" t="str">
            <v>SILVANA</v>
          </cell>
          <cell r="B35">
            <v>19</v>
          </cell>
          <cell r="C35">
            <v>4772.9799999999996</v>
          </cell>
          <cell r="D35">
            <v>26.23</v>
          </cell>
          <cell r="E35">
            <v>0</v>
          </cell>
          <cell r="F35">
            <v>0</v>
          </cell>
          <cell r="G35">
            <v>0</v>
          </cell>
          <cell r="H35">
            <v>4772.9799999999996</v>
          </cell>
          <cell r="I35">
            <v>2804.48</v>
          </cell>
          <cell r="J35">
            <v>0</v>
          </cell>
          <cell r="K35">
            <v>1968.5</v>
          </cell>
          <cell r="L35">
            <v>41.24</v>
          </cell>
          <cell r="M35">
            <v>0.37</v>
          </cell>
        </row>
        <row r="36">
          <cell r="A36" t="str">
            <v>METALURGICA MOR S/A</v>
          </cell>
          <cell r="B36">
            <v>14</v>
          </cell>
          <cell r="C36">
            <v>4732.75</v>
          </cell>
          <cell r="D36">
            <v>112.68</v>
          </cell>
          <cell r="E36">
            <v>0</v>
          </cell>
          <cell r="F36">
            <v>0</v>
          </cell>
          <cell r="G36">
            <v>0</v>
          </cell>
          <cell r="H36">
            <v>4732.75</v>
          </cell>
          <cell r="I36">
            <v>2868.54</v>
          </cell>
          <cell r="J36">
            <v>0</v>
          </cell>
          <cell r="K36">
            <v>1864.21</v>
          </cell>
          <cell r="L36">
            <v>39.39</v>
          </cell>
          <cell r="M36">
            <v>0.36</v>
          </cell>
        </row>
        <row r="37">
          <cell r="A37" t="str">
            <v>ELIZABETH PORC.</v>
          </cell>
          <cell r="B37">
            <v>4</v>
          </cell>
          <cell r="C37">
            <v>4639.8235000000004</v>
          </cell>
          <cell r="D37">
            <v>60.19</v>
          </cell>
          <cell r="E37">
            <v>0</v>
          </cell>
          <cell r="F37">
            <v>0</v>
          </cell>
          <cell r="G37">
            <v>0</v>
          </cell>
          <cell r="H37">
            <v>4639.8235000000004</v>
          </cell>
          <cell r="I37">
            <v>3333.8998999999999</v>
          </cell>
          <cell r="J37">
            <v>0</v>
          </cell>
          <cell r="K37">
            <v>1305.9236000000001</v>
          </cell>
          <cell r="L37">
            <v>28.15</v>
          </cell>
          <cell r="M37">
            <v>0.36</v>
          </cell>
        </row>
        <row r="38">
          <cell r="A38" t="str">
            <v>PORTO RICO</v>
          </cell>
          <cell r="B38">
            <v>11</v>
          </cell>
          <cell r="C38">
            <v>4394.8</v>
          </cell>
          <cell r="D38">
            <v>25.55</v>
          </cell>
          <cell r="E38">
            <v>0</v>
          </cell>
          <cell r="F38">
            <v>0</v>
          </cell>
          <cell r="G38">
            <v>57.8</v>
          </cell>
          <cell r="H38">
            <v>4337</v>
          </cell>
          <cell r="I38">
            <v>2946.4</v>
          </cell>
          <cell r="J38">
            <v>32.1</v>
          </cell>
          <cell r="K38">
            <v>1422.7</v>
          </cell>
          <cell r="L38">
            <v>32.61</v>
          </cell>
          <cell r="M38">
            <v>0.34</v>
          </cell>
        </row>
        <row r="39">
          <cell r="A39" t="str">
            <v>AVANT</v>
          </cell>
          <cell r="B39">
            <v>10</v>
          </cell>
          <cell r="C39">
            <v>4287.92</v>
          </cell>
          <cell r="D39">
            <v>27.31</v>
          </cell>
          <cell r="E39">
            <v>0</v>
          </cell>
          <cell r="F39">
            <v>0</v>
          </cell>
          <cell r="G39">
            <v>56</v>
          </cell>
          <cell r="H39">
            <v>4231.92</v>
          </cell>
          <cell r="I39">
            <v>2199.4499999999998</v>
          </cell>
          <cell r="J39">
            <v>28.75</v>
          </cell>
          <cell r="K39">
            <v>2061.2199999999998</v>
          </cell>
          <cell r="L39">
            <v>48.39</v>
          </cell>
          <cell r="M39">
            <v>0.33</v>
          </cell>
        </row>
        <row r="40">
          <cell r="A40" t="str">
            <v>CERBRAS</v>
          </cell>
          <cell r="B40">
            <v>6</v>
          </cell>
          <cell r="C40">
            <v>4211.2852000000003</v>
          </cell>
          <cell r="D40">
            <v>51</v>
          </cell>
          <cell r="E40">
            <v>0</v>
          </cell>
          <cell r="F40">
            <v>0</v>
          </cell>
          <cell r="G40">
            <v>128.34</v>
          </cell>
          <cell r="H40">
            <v>4082.9452000000001</v>
          </cell>
          <cell r="I40">
            <v>2763.3211999999999</v>
          </cell>
          <cell r="J40">
            <v>81.88</v>
          </cell>
          <cell r="K40">
            <v>1401.5039999999999</v>
          </cell>
          <cell r="L40">
            <v>33.94</v>
          </cell>
          <cell r="M40">
            <v>0.32</v>
          </cell>
        </row>
        <row r="41">
          <cell r="A41" t="str">
            <v>DOCOL METAIS</v>
          </cell>
          <cell r="B41">
            <v>14</v>
          </cell>
          <cell r="C41">
            <v>3693.11</v>
          </cell>
          <cell r="D41">
            <v>111.91</v>
          </cell>
          <cell r="E41">
            <v>0</v>
          </cell>
          <cell r="F41">
            <v>0</v>
          </cell>
          <cell r="G41">
            <v>304.99</v>
          </cell>
          <cell r="H41">
            <v>3388.12</v>
          </cell>
          <cell r="I41">
            <v>2404.7399999999998</v>
          </cell>
          <cell r="J41">
            <v>176.29</v>
          </cell>
          <cell r="K41">
            <v>1159.67</v>
          </cell>
          <cell r="L41">
            <v>32.97</v>
          </cell>
          <cell r="M41">
            <v>0.28000000000000003</v>
          </cell>
        </row>
        <row r="42">
          <cell r="A42" t="str">
            <v>ADERE</v>
          </cell>
          <cell r="B42">
            <v>27</v>
          </cell>
          <cell r="C42">
            <v>3617.67</v>
          </cell>
          <cell r="D42">
            <v>10.73</v>
          </cell>
          <cell r="E42">
            <v>0</v>
          </cell>
          <cell r="F42">
            <v>0</v>
          </cell>
          <cell r="G42">
            <v>40.4</v>
          </cell>
          <cell r="H42">
            <v>3577.27</v>
          </cell>
          <cell r="I42">
            <v>2155.83</v>
          </cell>
          <cell r="J42">
            <v>25.36</v>
          </cell>
          <cell r="K42">
            <v>1446.8</v>
          </cell>
          <cell r="L42">
            <v>40.270000000000003</v>
          </cell>
          <cell r="M42">
            <v>0.28000000000000003</v>
          </cell>
        </row>
        <row r="43">
          <cell r="A43" t="str">
            <v>NORTON</v>
          </cell>
          <cell r="B43">
            <v>40</v>
          </cell>
          <cell r="C43">
            <v>3611.21</v>
          </cell>
          <cell r="D43">
            <v>2.7</v>
          </cell>
          <cell r="E43">
            <v>0</v>
          </cell>
          <cell r="F43">
            <v>0</v>
          </cell>
          <cell r="G43">
            <v>114.75</v>
          </cell>
          <cell r="H43">
            <v>3496.46</v>
          </cell>
          <cell r="I43">
            <v>1909.43</v>
          </cell>
          <cell r="J43">
            <v>65.45</v>
          </cell>
          <cell r="K43">
            <v>1652.48</v>
          </cell>
          <cell r="L43">
            <v>46.6</v>
          </cell>
          <cell r="M43">
            <v>0.28000000000000003</v>
          </cell>
        </row>
        <row r="44">
          <cell r="A44" t="str">
            <v>ANAUGER</v>
          </cell>
          <cell r="B44">
            <v>4</v>
          </cell>
          <cell r="C44">
            <v>3602.05</v>
          </cell>
          <cell r="D44">
            <v>163.72999999999999</v>
          </cell>
          <cell r="E44">
            <v>0</v>
          </cell>
          <cell r="F44">
            <v>0</v>
          </cell>
          <cell r="G44">
            <v>389</v>
          </cell>
          <cell r="H44">
            <v>3213.05</v>
          </cell>
          <cell r="I44">
            <v>2305.79</v>
          </cell>
          <cell r="J44">
            <v>258.41000000000003</v>
          </cell>
          <cell r="K44">
            <v>1165.67</v>
          </cell>
          <cell r="L44">
            <v>34.86</v>
          </cell>
          <cell r="M44">
            <v>0.28000000000000003</v>
          </cell>
        </row>
        <row r="45">
          <cell r="A45" t="str">
            <v>PULVITEC</v>
          </cell>
          <cell r="B45">
            <v>27</v>
          </cell>
          <cell r="C45">
            <v>3371.14</v>
          </cell>
          <cell r="D45">
            <v>7.84</v>
          </cell>
          <cell r="E45">
            <v>0</v>
          </cell>
          <cell r="F45">
            <v>0</v>
          </cell>
          <cell r="G45">
            <v>6.9</v>
          </cell>
          <cell r="H45">
            <v>3364.24</v>
          </cell>
          <cell r="I45">
            <v>1630.13</v>
          </cell>
          <cell r="J45">
            <v>3.42</v>
          </cell>
          <cell r="K45">
            <v>1737.53</v>
          </cell>
          <cell r="L45">
            <v>51.59</v>
          </cell>
          <cell r="M45">
            <v>0.26</v>
          </cell>
        </row>
        <row r="46">
          <cell r="A46" t="str">
            <v>KRONA</v>
          </cell>
          <cell r="B46">
            <v>31</v>
          </cell>
          <cell r="C46">
            <v>3349.33</v>
          </cell>
          <cell r="D46">
            <v>5.29</v>
          </cell>
          <cell r="E46">
            <v>0</v>
          </cell>
          <cell r="F46">
            <v>0</v>
          </cell>
          <cell r="G46">
            <v>5.0999999999999996</v>
          </cell>
          <cell r="H46">
            <v>3344.23</v>
          </cell>
          <cell r="I46">
            <v>1933.64</v>
          </cell>
          <cell r="J46">
            <v>2.88</v>
          </cell>
          <cell r="K46">
            <v>1413.47</v>
          </cell>
          <cell r="L46">
            <v>42.24</v>
          </cell>
          <cell r="M46">
            <v>0.26</v>
          </cell>
        </row>
        <row r="47">
          <cell r="A47" t="str">
            <v>LUCONI</v>
          </cell>
          <cell r="B47">
            <v>26</v>
          </cell>
          <cell r="C47">
            <v>3299.42</v>
          </cell>
          <cell r="D47">
            <v>12.69</v>
          </cell>
          <cell r="E47">
            <v>0</v>
          </cell>
          <cell r="F47">
            <v>0</v>
          </cell>
          <cell r="G47">
            <v>97.7</v>
          </cell>
          <cell r="H47">
            <v>3201.72</v>
          </cell>
          <cell r="I47">
            <v>1640.95</v>
          </cell>
          <cell r="J47">
            <v>44.49</v>
          </cell>
          <cell r="K47">
            <v>1605.26</v>
          </cell>
          <cell r="L47">
            <v>49.32</v>
          </cell>
          <cell r="M47">
            <v>0.25</v>
          </cell>
        </row>
        <row r="48">
          <cell r="A48" t="str">
            <v>REALLE</v>
          </cell>
          <cell r="B48">
            <v>6</v>
          </cell>
          <cell r="C48">
            <v>3181.68</v>
          </cell>
          <cell r="D48">
            <v>32.729999999999997</v>
          </cell>
          <cell r="E48">
            <v>0</v>
          </cell>
          <cell r="F48">
            <v>0</v>
          </cell>
          <cell r="G48">
            <v>444.15</v>
          </cell>
          <cell r="H48">
            <v>2737.53</v>
          </cell>
          <cell r="I48">
            <v>2121.174</v>
          </cell>
          <cell r="J48">
            <v>289.17</v>
          </cell>
          <cell r="K48">
            <v>905.52599999999995</v>
          </cell>
          <cell r="L48">
            <v>31.31</v>
          </cell>
          <cell r="M48">
            <v>0.24</v>
          </cell>
        </row>
        <row r="49">
          <cell r="A49" t="str">
            <v>ASTRA</v>
          </cell>
          <cell r="B49">
            <v>8</v>
          </cell>
          <cell r="C49">
            <v>3061.77</v>
          </cell>
          <cell r="D49">
            <v>28.61</v>
          </cell>
          <cell r="E49">
            <v>0</v>
          </cell>
          <cell r="F49">
            <v>0</v>
          </cell>
          <cell r="G49">
            <v>38.700000000000003</v>
          </cell>
          <cell r="H49">
            <v>3023.07</v>
          </cell>
          <cell r="I49">
            <v>1743.05</v>
          </cell>
          <cell r="J49">
            <v>23.6</v>
          </cell>
          <cell r="K49">
            <v>1303.6199999999999</v>
          </cell>
          <cell r="L49">
            <v>42.91</v>
          </cell>
          <cell r="M49">
            <v>0.24</v>
          </cell>
        </row>
        <row r="50">
          <cell r="A50" t="str">
            <v>METALOSA</v>
          </cell>
          <cell r="B50">
            <v>3</v>
          </cell>
          <cell r="C50">
            <v>2919.6</v>
          </cell>
          <cell r="D50">
            <v>243.3</v>
          </cell>
          <cell r="E50">
            <v>0</v>
          </cell>
          <cell r="F50">
            <v>0</v>
          </cell>
          <cell r="G50">
            <v>0</v>
          </cell>
          <cell r="H50">
            <v>2919.6</v>
          </cell>
          <cell r="I50">
            <v>1659.38</v>
          </cell>
          <cell r="J50">
            <v>0</v>
          </cell>
          <cell r="K50">
            <v>1260.22</v>
          </cell>
          <cell r="L50">
            <v>43.16</v>
          </cell>
          <cell r="M50">
            <v>0.22</v>
          </cell>
        </row>
        <row r="51">
          <cell r="A51" t="str">
            <v>FRANKLIN</v>
          </cell>
          <cell r="B51">
            <v>4</v>
          </cell>
          <cell r="C51">
            <v>2735.5</v>
          </cell>
          <cell r="D51">
            <v>547.1</v>
          </cell>
          <cell r="E51">
            <v>0</v>
          </cell>
          <cell r="F51">
            <v>0</v>
          </cell>
          <cell r="G51">
            <v>0</v>
          </cell>
          <cell r="H51">
            <v>2735.5</v>
          </cell>
          <cell r="I51">
            <v>1601.22</v>
          </cell>
          <cell r="J51">
            <v>0</v>
          </cell>
          <cell r="K51">
            <v>1134.28</v>
          </cell>
          <cell r="L51">
            <v>41.47</v>
          </cell>
          <cell r="M51">
            <v>0.21</v>
          </cell>
        </row>
        <row r="52">
          <cell r="A52" t="str">
            <v>PRATEFIX</v>
          </cell>
          <cell r="B52">
            <v>6</v>
          </cell>
          <cell r="C52">
            <v>2673.6</v>
          </cell>
          <cell r="D52">
            <v>39.32</v>
          </cell>
          <cell r="E52">
            <v>0</v>
          </cell>
          <cell r="F52">
            <v>0</v>
          </cell>
          <cell r="G52">
            <v>0</v>
          </cell>
          <cell r="H52">
            <v>2673.6</v>
          </cell>
          <cell r="I52">
            <v>1450.26</v>
          </cell>
          <cell r="J52">
            <v>0</v>
          </cell>
          <cell r="K52">
            <v>1223.3399999999999</v>
          </cell>
          <cell r="L52">
            <v>45.76</v>
          </cell>
          <cell r="M52">
            <v>0.21</v>
          </cell>
        </row>
        <row r="53">
          <cell r="A53" t="str">
            <v>MYPA</v>
          </cell>
          <cell r="B53">
            <v>16</v>
          </cell>
          <cell r="C53">
            <v>2653.52</v>
          </cell>
          <cell r="D53">
            <v>13.33</v>
          </cell>
          <cell r="E53">
            <v>0</v>
          </cell>
          <cell r="F53">
            <v>0</v>
          </cell>
          <cell r="G53">
            <v>6.9</v>
          </cell>
          <cell r="H53">
            <v>2646.62</v>
          </cell>
          <cell r="I53">
            <v>1458.16</v>
          </cell>
          <cell r="J53">
            <v>4.08</v>
          </cell>
          <cell r="K53">
            <v>1192.54</v>
          </cell>
          <cell r="L53">
            <v>45.01</v>
          </cell>
          <cell r="M53">
            <v>0.2</v>
          </cell>
        </row>
        <row r="54">
          <cell r="A54" t="str">
            <v>BRASFORMA</v>
          </cell>
          <cell r="B54">
            <v>5</v>
          </cell>
          <cell r="C54">
            <v>2643.9</v>
          </cell>
          <cell r="D54">
            <v>48.96</v>
          </cell>
          <cell r="E54">
            <v>0</v>
          </cell>
          <cell r="F54">
            <v>0</v>
          </cell>
          <cell r="G54">
            <v>154.9</v>
          </cell>
          <cell r="H54">
            <v>2489</v>
          </cell>
          <cell r="I54">
            <v>1574.11</v>
          </cell>
          <cell r="J54">
            <v>93.73</v>
          </cell>
          <cell r="K54">
            <v>1008.62</v>
          </cell>
          <cell r="L54">
            <v>39.549999999999997</v>
          </cell>
          <cell r="M54">
            <v>0.2</v>
          </cell>
        </row>
        <row r="55">
          <cell r="A55" t="str">
            <v>VEDACIT</v>
          </cell>
          <cell r="B55">
            <v>5</v>
          </cell>
          <cell r="C55">
            <v>2360.4</v>
          </cell>
          <cell r="D55">
            <v>60.52</v>
          </cell>
          <cell r="E55">
            <v>0</v>
          </cell>
          <cell r="F55">
            <v>0</v>
          </cell>
          <cell r="G55">
            <v>0</v>
          </cell>
          <cell r="H55">
            <v>2360.4</v>
          </cell>
          <cell r="I55">
            <v>1347.96</v>
          </cell>
          <cell r="J55">
            <v>0</v>
          </cell>
          <cell r="K55">
            <v>1012.44</v>
          </cell>
          <cell r="L55">
            <v>42.89</v>
          </cell>
          <cell r="M55">
            <v>0.18</v>
          </cell>
        </row>
        <row r="56">
          <cell r="A56" t="str">
            <v>PRATIMIX</v>
          </cell>
          <cell r="B56">
            <v>18</v>
          </cell>
          <cell r="C56">
            <v>2272.2600000000002</v>
          </cell>
          <cell r="D56">
            <v>10.47</v>
          </cell>
          <cell r="E56">
            <v>0</v>
          </cell>
          <cell r="F56">
            <v>0</v>
          </cell>
          <cell r="G56">
            <v>26.1</v>
          </cell>
          <cell r="H56">
            <v>2246.16</v>
          </cell>
          <cell r="I56">
            <v>1310.6400000000001</v>
          </cell>
          <cell r="J56">
            <v>18.13</v>
          </cell>
          <cell r="K56">
            <v>953.65</v>
          </cell>
          <cell r="L56">
            <v>42.31</v>
          </cell>
          <cell r="M56">
            <v>0.17</v>
          </cell>
        </row>
        <row r="57">
          <cell r="A57" t="str">
            <v>TOP MIX</v>
          </cell>
          <cell r="B57">
            <v>2</v>
          </cell>
          <cell r="C57">
            <v>1994.39</v>
          </cell>
          <cell r="D57">
            <v>284.91000000000003</v>
          </cell>
          <cell r="E57">
            <v>0</v>
          </cell>
          <cell r="F57">
            <v>0</v>
          </cell>
          <cell r="G57">
            <v>0</v>
          </cell>
          <cell r="H57">
            <v>1994.39</v>
          </cell>
          <cell r="I57">
            <v>1127.93</v>
          </cell>
          <cell r="J57">
            <v>0</v>
          </cell>
          <cell r="K57">
            <v>866.46</v>
          </cell>
          <cell r="L57">
            <v>43.44</v>
          </cell>
          <cell r="M57">
            <v>0.15</v>
          </cell>
        </row>
        <row r="58">
          <cell r="A58" t="str">
            <v>MGM</v>
          </cell>
          <cell r="B58">
            <v>3</v>
          </cell>
          <cell r="C58">
            <v>1940.62</v>
          </cell>
          <cell r="D58">
            <v>485.16</v>
          </cell>
          <cell r="E58">
            <v>0</v>
          </cell>
          <cell r="F58">
            <v>0</v>
          </cell>
          <cell r="G58">
            <v>0</v>
          </cell>
          <cell r="H58">
            <v>1940.62</v>
          </cell>
          <cell r="I58">
            <v>1238.99</v>
          </cell>
          <cell r="J58">
            <v>0</v>
          </cell>
          <cell r="K58">
            <v>701.63</v>
          </cell>
          <cell r="L58">
            <v>36.15</v>
          </cell>
          <cell r="M58">
            <v>0.15</v>
          </cell>
        </row>
        <row r="59">
          <cell r="A59" t="str">
            <v>BOGNAR</v>
          </cell>
          <cell r="B59">
            <v>7</v>
          </cell>
          <cell r="C59">
            <v>1898.4</v>
          </cell>
          <cell r="D59">
            <v>49.96</v>
          </cell>
          <cell r="E59">
            <v>0</v>
          </cell>
          <cell r="F59">
            <v>0</v>
          </cell>
          <cell r="G59">
            <v>63.9</v>
          </cell>
          <cell r="H59">
            <v>1834.5</v>
          </cell>
          <cell r="I59">
            <v>1309.3399999999999</v>
          </cell>
          <cell r="J59">
            <v>41.35</v>
          </cell>
          <cell r="K59">
            <v>566.51</v>
          </cell>
          <cell r="L59">
            <v>30.51</v>
          </cell>
          <cell r="M59">
            <v>0.15</v>
          </cell>
        </row>
        <row r="60">
          <cell r="A60" t="str">
            <v>Momfort</v>
          </cell>
          <cell r="B60">
            <v>6</v>
          </cell>
          <cell r="C60">
            <v>1883.3</v>
          </cell>
          <cell r="D60">
            <v>34.880000000000003</v>
          </cell>
          <cell r="E60">
            <v>0</v>
          </cell>
          <cell r="F60">
            <v>0</v>
          </cell>
          <cell r="G60">
            <v>0</v>
          </cell>
          <cell r="H60">
            <v>1883.3</v>
          </cell>
          <cell r="I60">
            <v>1067.99</v>
          </cell>
          <cell r="J60">
            <v>0</v>
          </cell>
          <cell r="K60">
            <v>815.31</v>
          </cell>
          <cell r="L60">
            <v>43.29</v>
          </cell>
          <cell r="M60">
            <v>0.14000000000000001</v>
          </cell>
        </row>
        <row r="61">
          <cell r="A61" t="str">
            <v>CENSI</v>
          </cell>
          <cell r="B61">
            <v>23</v>
          </cell>
          <cell r="C61">
            <v>1879.37</v>
          </cell>
          <cell r="D61">
            <v>22.11</v>
          </cell>
          <cell r="E61">
            <v>0</v>
          </cell>
          <cell r="F61">
            <v>0</v>
          </cell>
          <cell r="G61">
            <v>36.5</v>
          </cell>
          <cell r="H61">
            <v>1842.87</v>
          </cell>
          <cell r="I61">
            <v>1148.24</v>
          </cell>
          <cell r="J61">
            <v>22.38</v>
          </cell>
          <cell r="K61">
            <v>717.01</v>
          </cell>
          <cell r="L61">
            <v>38.61</v>
          </cell>
          <cell r="M61">
            <v>0.14000000000000001</v>
          </cell>
        </row>
        <row r="62">
          <cell r="A62" t="str">
            <v>ALIANÇA</v>
          </cell>
          <cell r="B62">
            <v>3</v>
          </cell>
          <cell r="C62">
            <v>1844.8</v>
          </cell>
          <cell r="D62">
            <v>57.65</v>
          </cell>
          <cell r="E62">
            <v>0</v>
          </cell>
          <cell r="F62">
            <v>0</v>
          </cell>
          <cell r="G62">
            <v>0</v>
          </cell>
          <cell r="H62">
            <v>1844.8</v>
          </cell>
          <cell r="I62">
            <v>1167.07</v>
          </cell>
          <cell r="J62">
            <v>0</v>
          </cell>
          <cell r="K62">
            <v>677.73</v>
          </cell>
          <cell r="L62">
            <v>36.74</v>
          </cell>
          <cell r="M62">
            <v>0.14000000000000001</v>
          </cell>
        </row>
        <row r="63">
          <cell r="A63" t="str">
            <v>BEMFIXA</v>
          </cell>
          <cell r="B63">
            <v>10</v>
          </cell>
          <cell r="C63">
            <v>1816.88</v>
          </cell>
          <cell r="D63">
            <v>11.22</v>
          </cell>
          <cell r="E63">
            <v>0</v>
          </cell>
          <cell r="F63">
            <v>0</v>
          </cell>
          <cell r="G63">
            <v>13.98</v>
          </cell>
          <cell r="H63">
            <v>1802.9</v>
          </cell>
          <cell r="I63">
            <v>1053.83</v>
          </cell>
          <cell r="J63">
            <v>8.84</v>
          </cell>
          <cell r="K63">
            <v>757.91</v>
          </cell>
          <cell r="L63">
            <v>41.92</v>
          </cell>
          <cell r="M63">
            <v>0.14000000000000001</v>
          </cell>
        </row>
        <row r="64">
          <cell r="A64" t="str">
            <v>CORTAG</v>
          </cell>
          <cell r="B64">
            <v>19</v>
          </cell>
          <cell r="C64">
            <v>1785.64</v>
          </cell>
          <cell r="D64">
            <v>14.06</v>
          </cell>
          <cell r="E64">
            <v>0</v>
          </cell>
          <cell r="F64">
            <v>0</v>
          </cell>
          <cell r="G64">
            <v>0</v>
          </cell>
          <cell r="H64">
            <v>1785.64</v>
          </cell>
          <cell r="I64">
            <v>975.49</v>
          </cell>
          <cell r="J64">
            <v>0</v>
          </cell>
          <cell r="K64">
            <v>810.15</v>
          </cell>
          <cell r="L64">
            <v>45.37</v>
          </cell>
          <cell r="M64">
            <v>0.14000000000000001</v>
          </cell>
        </row>
        <row r="65">
          <cell r="A65" t="str">
            <v>PLASTMAR IND E COM</v>
          </cell>
          <cell r="B65">
            <v>5</v>
          </cell>
          <cell r="C65">
            <v>1785.36</v>
          </cell>
          <cell r="D65">
            <v>54.1</v>
          </cell>
          <cell r="E65">
            <v>0</v>
          </cell>
          <cell r="F65">
            <v>0</v>
          </cell>
          <cell r="G65">
            <v>27.8</v>
          </cell>
          <cell r="H65">
            <v>1757.56</v>
          </cell>
          <cell r="I65">
            <v>1011.92</v>
          </cell>
          <cell r="J65">
            <v>14.91</v>
          </cell>
          <cell r="K65">
            <v>760.55</v>
          </cell>
          <cell r="L65">
            <v>42.96</v>
          </cell>
          <cell r="M65">
            <v>0.14000000000000001</v>
          </cell>
        </row>
        <row r="66">
          <cell r="A66" t="str">
            <v>EXATRON</v>
          </cell>
          <cell r="B66">
            <v>6</v>
          </cell>
          <cell r="C66">
            <v>1579.7</v>
          </cell>
          <cell r="D66">
            <v>47.87</v>
          </cell>
          <cell r="E66">
            <v>0</v>
          </cell>
          <cell r="F66">
            <v>0</v>
          </cell>
          <cell r="G66">
            <v>0</v>
          </cell>
          <cell r="H66">
            <v>1579.7</v>
          </cell>
          <cell r="I66">
            <v>930.53</v>
          </cell>
          <cell r="J66">
            <v>0</v>
          </cell>
          <cell r="K66">
            <v>649.16999999999996</v>
          </cell>
          <cell r="L66">
            <v>41.09</v>
          </cell>
          <cell r="M66">
            <v>0.12</v>
          </cell>
        </row>
        <row r="67">
          <cell r="A67" t="str">
            <v>TAF</v>
          </cell>
          <cell r="B67">
            <v>6</v>
          </cell>
          <cell r="C67">
            <v>1351.85</v>
          </cell>
          <cell r="D67">
            <v>18.78</v>
          </cell>
          <cell r="E67">
            <v>0</v>
          </cell>
          <cell r="F67">
            <v>0</v>
          </cell>
          <cell r="G67">
            <v>0</v>
          </cell>
          <cell r="H67">
            <v>1351.85</v>
          </cell>
          <cell r="I67">
            <v>774.67</v>
          </cell>
          <cell r="J67">
            <v>0</v>
          </cell>
          <cell r="K67">
            <v>577.17999999999995</v>
          </cell>
          <cell r="L67">
            <v>42.7</v>
          </cell>
          <cell r="M67">
            <v>0.1</v>
          </cell>
        </row>
        <row r="68">
          <cell r="A68" t="str">
            <v>HERC</v>
          </cell>
          <cell r="B68">
            <v>9</v>
          </cell>
          <cell r="C68">
            <v>1336.67</v>
          </cell>
          <cell r="D68">
            <v>13.92</v>
          </cell>
          <cell r="E68">
            <v>0</v>
          </cell>
          <cell r="F68">
            <v>0</v>
          </cell>
          <cell r="G68">
            <v>0</v>
          </cell>
          <cell r="H68">
            <v>1336.67</v>
          </cell>
          <cell r="I68">
            <v>713.33</v>
          </cell>
          <cell r="J68">
            <v>0</v>
          </cell>
          <cell r="K68">
            <v>623.34</v>
          </cell>
          <cell r="L68">
            <v>46.63</v>
          </cell>
          <cell r="M68">
            <v>0.1</v>
          </cell>
        </row>
        <row r="69">
          <cell r="A69" t="str">
            <v>NAWA COM ATAC VAR PROD LAR E L</v>
          </cell>
          <cell r="B69">
            <v>2</v>
          </cell>
          <cell r="C69">
            <v>1279.5999999999999</v>
          </cell>
          <cell r="D69">
            <v>319.89999999999998</v>
          </cell>
          <cell r="E69">
            <v>0</v>
          </cell>
          <cell r="F69">
            <v>0</v>
          </cell>
          <cell r="G69">
            <v>0</v>
          </cell>
          <cell r="H69">
            <v>1279.5999999999999</v>
          </cell>
          <cell r="I69">
            <v>712.53</v>
          </cell>
          <cell r="J69">
            <v>0</v>
          </cell>
          <cell r="K69">
            <v>567.07000000000005</v>
          </cell>
          <cell r="L69">
            <v>44.32</v>
          </cell>
          <cell r="M69">
            <v>0.1</v>
          </cell>
        </row>
        <row r="70">
          <cell r="A70" t="str">
            <v>COZIMAX</v>
          </cell>
          <cell r="B70">
            <v>6</v>
          </cell>
          <cell r="C70">
            <v>946.44</v>
          </cell>
          <cell r="D70">
            <v>135.21</v>
          </cell>
          <cell r="E70">
            <v>0</v>
          </cell>
          <cell r="F70">
            <v>0</v>
          </cell>
          <cell r="G70">
            <v>117.9</v>
          </cell>
          <cell r="H70">
            <v>828.54</v>
          </cell>
          <cell r="I70">
            <v>533.36</v>
          </cell>
          <cell r="J70">
            <v>62.07</v>
          </cell>
          <cell r="K70">
            <v>357.25</v>
          </cell>
          <cell r="L70">
            <v>40.4</v>
          </cell>
          <cell r="M70">
            <v>7.0000000000000007E-2</v>
          </cell>
        </row>
        <row r="71">
          <cell r="A71" t="str">
            <v>STARRETT INDUSTRIA E COMERCIO</v>
          </cell>
          <cell r="B71">
            <v>4</v>
          </cell>
          <cell r="C71">
            <v>927.17</v>
          </cell>
          <cell r="D71">
            <v>15.99</v>
          </cell>
          <cell r="E71">
            <v>0</v>
          </cell>
          <cell r="F71">
            <v>0</v>
          </cell>
          <cell r="G71">
            <v>0</v>
          </cell>
          <cell r="H71">
            <v>927.17</v>
          </cell>
          <cell r="I71">
            <v>513.65</v>
          </cell>
          <cell r="J71">
            <v>0</v>
          </cell>
          <cell r="K71">
            <v>413.52</v>
          </cell>
          <cell r="L71">
            <v>44.6</v>
          </cell>
          <cell r="M71">
            <v>7.0000000000000007E-2</v>
          </cell>
        </row>
        <row r="72">
          <cell r="A72" t="str">
            <v>VONDER</v>
          </cell>
          <cell r="B72">
            <v>5</v>
          </cell>
          <cell r="C72">
            <v>897.06</v>
          </cell>
          <cell r="D72">
            <v>27.18</v>
          </cell>
          <cell r="E72">
            <v>0</v>
          </cell>
          <cell r="F72">
            <v>0</v>
          </cell>
          <cell r="G72">
            <v>56.5</v>
          </cell>
          <cell r="H72">
            <v>840.56</v>
          </cell>
          <cell r="I72">
            <v>468.99</v>
          </cell>
          <cell r="J72">
            <v>28.48</v>
          </cell>
          <cell r="K72">
            <v>400.05</v>
          </cell>
          <cell r="L72">
            <v>46.06</v>
          </cell>
          <cell r="M72">
            <v>7.0000000000000007E-2</v>
          </cell>
        </row>
        <row r="73">
          <cell r="A73" t="str">
            <v>INCESA</v>
          </cell>
          <cell r="B73">
            <v>2</v>
          </cell>
          <cell r="C73">
            <v>822.5</v>
          </cell>
          <cell r="D73">
            <v>32.9</v>
          </cell>
          <cell r="E73">
            <v>0</v>
          </cell>
          <cell r="F73">
            <v>0</v>
          </cell>
          <cell r="G73">
            <v>0</v>
          </cell>
          <cell r="H73">
            <v>822.5</v>
          </cell>
          <cell r="I73">
            <v>622.5</v>
          </cell>
          <cell r="J73">
            <v>0</v>
          </cell>
          <cell r="K73">
            <v>200</v>
          </cell>
          <cell r="L73">
            <v>24.32</v>
          </cell>
          <cell r="M73">
            <v>0.06</v>
          </cell>
        </row>
        <row r="74">
          <cell r="A74" t="str">
            <v>MARLUVAS</v>
          </cell>
          <cell r="B74">
            <v>3</v>
          </cell>
          <cell r="C74">
            <v>813.1</v>
          </cell>
          <cell r="D74">
            <v>90.34</v>
          </cell>
          <cell r="E74">
            <v>0</v>
          </cell>
          <cell r="F74">
            <v>0</v>
          </cell>
          <cell r="G74">
            <v>0</v>
          </cell>
          <cell r="H74">
            <v>813.1</v>
          </cell>
          <cell r="I74">
            <v>502.98</v>
          </cell>
          <cell r="J74">
            <v>0</v>
          </cell>
          <cell r="K74">
            <v>310.12</v>
          </cell>
          <cell r="L74">
            <v>38.14</v>
          </cell>
          <cell r="M74">
            <v>0.06</v>
          </cell>
        </row>
        <row r="75">
          <cell r="A75" t="str">
            <v>HIDRACOR</v>
          </cell>
          <cell r="B75">
            <v>7</v>
          </cell>
          <cell r="C75">
            <v>778.32</v>
          </cell>
          <cell r="D75">
            <v>3.89</v>
          </cell>
          <cell r="E75">
            <v>0</v>
          </cell>
          <cell r="F75">
            <v>0</v>
          </cell>
          <cell r="G75">
            <v>3.9</v>
          </cell>
          <cell r="H75">
            <v>774.42</v>
          </cell>
          <cell r="I75">
            <v>287.7</v>
          </cell>
          <cell r="J75">
            <v>1.42</v>
          </cell>
          <cell r="K75">
            <v>488.14</v>
          </cell>
          <cell r="L75">
            <v>62.83</v>
          </cell>
          <cell r="M75">
            <v>0.06</v>
          </cell>
        </row>
        <row r="76">
          <cell r="A76" t="str">
            <v>ORBI QUIMICA LTDA</v>
          </cell>
          <cell r="B76">
            <v>6</v>
          </cell>
          <cell r="C76">
            <v>670.49</v>
          </cell>
          <cell r="D76">
            <v>15.96</v>
          </cell>
          <cell r="E76">
            <v>0</v>
          </cell>
          <cell r="F76">
            <v>0</v>
          </cell>
          <cell r="G76">
            <v>0</v>
          </cell>
          <cell r="H76">
            <v>670.49</v>
          </cell>
          <cell r="I76">
            <v>339.72</v>
          </cell>
          <cell r="J76">
            <v>0</v>
          </cell>
          <cell r="K76">
            <v>330.77</v>
          </cell>
          <cell r="L76">
            <v>49.33</v>
          </cell>
          <cell r="M76">
            <v>0.05</v>
          </cell>
        </row>
        <row r="77">
          <cell r="A77" t="str">
            <v>J LOBATO</v>
          </cell>
          <cell r="B77">
            <v>3</v>
          </cell>
          <cell r="C77">
            <v>662.63</v>
          </cell>
          <cell r="D77">
            <v>21.38</v>
          </cell>
          <cell r="E77">
            <v>0</v>
          </cell>
          <cell r="F77">
            <v>0</v>
          </cell>
          <cell r="G77">
            <v>0</v>
          </cell>
          <cell r="H77">
            <v>662.63</v>
          </cell>
          <cell r="I77">
            <v>303.87</v>
          </cell>
          <cell r="J77">
            <v>0</v>
          </cell>
          <cell r="K77">
            <v>358.76</v>
          </cell>
          <cell r="L77">
            <v>54.14</v>
          </cell>
          <cell r="M77">
            <v>0.05</v>
          </cell>
        </row>
        <row r="78">
          <cell r="A78" t="str">
            <v>ILUMI</v>
          </cell>
          <cell r="B78">
            <v>5</v>
          </cell>
          <cell r="C78">
            <v>611.74</v>
          </cell>
          <cell r="D78">
            <v>19.73</v>
          </cell>
          <cell r="E78">
            <v>0</v>
          </cell>
          <cell r="F78">
            <v>0</v>
          </cell>
          <cell r="G78">
            <v>0</v>
          </cell>
          <cell r="H78">
            <v>611.74</v>
          </cell>
          <cell r="I78">
            <v>335.55</v>
          </cell>
          <cell r="J78">
            <v>0</v>
          </cell>
          <cell r="K78">
            <v>276.19</v>
          </cell>
          <cell r="L78">
            <v>45.15</v>
          </cell>
          <cell r="M78">
            <v>0.05</v>
          </cell>
        </row>
        <row r="79">
          <cell r="A79" t="str">
            <v>TRAMONTINA NORDESTE</v>
          </cell>
          <cell r="B79">
            <v>4</v>
          </cell>
          <cell r="C79">
            <v>568.25</v>
          </cell>
          <cell r="D79">
            <v>71.03</v>
          </cell>
          <cell r="E79">
            <v>0</v>
          </cell>
          <cell r="F79">
            <v>0</v>
          </cell>
          <cell r="G79">
            <v>0</v>
          </cell>
          <cell r="H79">
            <v>568.25</v>
          </cell>
          <cell r="I79">
            <v>345.91</v>
          </cell>
          <cell r="J79">
            <v>0</v>
          </cell>
          <cell r="K79">
            <v>222.34</v>
          </cell>
          <cell r="L79">
            <v>39.130000000000003</v>
          </cell>
          <cell r="M79">
            <v>0.04</v>
          </cell>
        </row>
        <row r="80">
          <cell r="A80" t="str">
            <v>STAM</v>
          </cell>
          <cell r="B80">
            <v>2</v>
          </cell>
          <cell r="C80">
            <v>538.79999999999995</v>
          </cell>
          <cell r="D80">
            <v>67.349999999999994</v>
          </cell>
          <cell r="E80">
            <v>0</v>
          </cell>
          <cell r="F80">
            <v>0</v>
          </cell>
          <cell r="G80">
            <v>0</v>
          </cell>
          <cell r="H80">
            <v>538.79999999999995</v>
          </cell>
          <cell r="I80">
            <v>296.70999999999998</v>
          </cell>
          <cell r="J80">
            <v>0</v>
          </cell>
          <cell r="K80">
            <v>242.09</v>
          </cell>
          <cell r="L80">
            <v>44.93</v>
          </cell>
          <cell r="M80">
            <v>0.04</v>
          </cell>
        </row>
        <row r="81">
          <cell r="A81" t="str">
            <v>PADRAO FORTE</v>
          </cell>
          <cell r="B81">
            <v>4</v>
          </cell>
          <cell r="C81">
            <v>538.70000000000005</v>
          </cell>
          <cell r="D81">
            <v>76.959999999999994</v>
          </cell>
          <cell r="E81">
            <v>0</v>
          </cell>
          <cell r="F81">
            <v>0</v>
          </cell>
          <cell r="G81">
            <v>0</v>
          </cell>
          <cell r="H81">
            <v>538.70000000000005</v>
          </cell>
          <cell r="I81">
            <v>316.89</v>
          </cell>
          <cell r="J81">
            <v>0</v>
          </cell>
          <cell r="K81">
            <v>221.81</v>
          </cell>
          <cell r="L81">
            <v>41.18</v>
          </cell>
          <cell r="M81">
            <v>0.04</v>
          </cell>
        </row>
        <row r="82">
          <cell r="A82" t="str">
            <v>ULTRA CLEAN</v>
          </cell>
          <cell r="B82">
            <v>3</v>
          </cell>
          <cell r="C82">
            <v>522.20000000000005</v>
          </cell>
          <cell r="D82">
            <v>21.76</v>
          </cell>
          <cell r="E82">
            <v>0</v>
          </cell>
          <cell r="F82">
            <v>0</v>
          </cell>
          <cell r="G82">
            <v>0</v>
          </cell>
          <cell r="H82">
            <v>522.20000000000005</v>
          </cell>
          <cell r="I82">
            <v>324.66000000000003</v>
          </cell>
          <cell r="J82">
            <v>0</v>
          </cell>
          <cell r="K82">
            <v>197.54</v>
          </cell>
          <cell r="L82">
            <v>37.83</v>
          </cell>
          <cell r="M82">
            <v>0.04</v>
          </cell>
        </row>
        <row r="83">
          <cell r="A83" t="str">
            <v>PRECON</v>
          </cell>
          <cell r="B83">
            <v>1</v>
          </cell>
          <cell r="C83">
            <v>519.6</v>
          </cell>
          <cell r="D83">
            <v>129.9</v>
          </cell>
          <cell r="E83">
            <v>0</v>
          </cell>
          <cell r="F83">
            <v>0</v>
          </cell>
          <cell r="G83">
            <v>0</v>
          </cell>
          <cell r="H83">
            <v>519.6</v>
          </cell>
          <cell r="I83">
            <v>323.8</v>
          </cell>
          <cell r="J83">
            <v>0</v>
          </cell>
          <cell r="K83">
            <v>195.8</v>
          </cell>
          <cell r="L83">
            <v>37.68</v>
          </cell>
          <cell r="M83">
            <v>0.04</v>
          </cell>
        </row>
        <row r="84">
          <cell r="A84" t="str">
            <v>Max-Giro</v>
          </cell>
          <cell r="B84">
            <v>4</v>
          </cell>
          <cell r="C84">
            <v>504.47</v>
          </cell>
          <cell r="D84">
            <v>13.28</v>
          </cell>
          <cell r="E84">
            <v>0</v>
          </cell>
          <cell r="F84">
            <v>0</v>
          </cell>
          <cell r="G84">
            <v>241.8</v>
          </cell>
          <cell r="H84">
            <v>262.67</v>
          </cell>
          <cell r="I84">
            <v>283.82</v>
          </cell>
          <cell r="J84">
            <v>135</v>
          </cell>
          <cell r="K84">
            <v>113.85</v>
          </cell>
          <cell r="L84">
            <v>30.81</v>
          </cell>
          <cell r="M84">
            <v>0.04</v>
          </cell>
        </row>
        <row r="85">
          <cell r="A85" t="str">
            <v>ULTRACLEAN</v>
          </cell>
          <cell r="B85">
            <v>4</v>
          </cell>
          <cell r="C85">
            <v>499.46</v>
          </cell>
          <cell r="D85">
            <v>19.98</v>
          </cell>
          <cell r="E85">
            <v>0</v>
          </cell>
          <cell r="F85">
            <v>0</v>
          </cell>
          <cell r="G85">
            <v>15.4</v>
          </cell>
          <cell r="H85">
            <v>484.06</v>
          </cell>
          <cell r="I85">
            <v>300.32</v>
          </cell>
          <cell r="J85">
            <v>9.4499999999999993</v>
          </cell>
          <cell r="K85">
            <v>193.19</v>
          </cell>
          <cell r="L85">
            <v>39.43</v>
          </cell>
          <cell r="M85">
            <v>0.04</v>
          </cell>
        </row>
        <row r="86">
          <cell r="A86" t="str">
            <v>SECALUX</v>
          </cell>
          <cell r="B86">
            <v>3</v>
          </cell>
          <cell r="C86">
            <v>462</v>
          </cell>
          <cell r="D86">
            <v>46.2</v>
          </cell>
          <cell r="E86">
            <v>0</v>
          </cell>
          <cell r="F86">
            <v>0</v>
          </cell>
          <cell r="G86">
            <v>0</v>
          </cell>
          <cell r="H86">
            <v>462</v>
          </cell>
          <cell r="I86">
            <v>278.68</v>
          </cell>
          <cell r="J86">
            <v>0</v>
          </cell>
          <cell r="K86">
            <v>183.32</v>
          </cell>
          <cell r="L86">
            <v>39.68</v>
          </cell>
          <cell r="M86">
            <v>0.04</v>
          </cell>
        </row>
        <row r="87">
          <cell r="A87" t="str">
            <v>PINTSILK</v>
          </cell>
          <cell r="B87">
            <v>3</v>
          </cell>
          <cell r="C87">
            <v>449.7</v>
          </cell>
          <cell r="D87">
            <v>112.43</v>
          </cell>
          <cell r="E87">
            <v>0</v>
          </cell>
          <cell r="F87">
            <v>0</v>
          </cell>
          <cell r="G87">
            <v>0</v>
          </cell>
          <cell r="H87">
            <v>449.7</v>
          </cell>
          <cell r="I87">
            <v>248.8</v>
          </cell>
          <cell r="J87">
            <v>0</v>
          </cell>
          <cell r="K87">
            <v>200.9</v>
          </cell>
          <cell r="L87">
            <v>44.67</v>
          </cell>
          <cell r="M87">
            <v>0.03</v>
          </cell>
        </row>
        <row r="88">
          <cell r="A88" t="str">
            <v>ARCELORMITTAL</v>
          </cell>
          <cell r="B88">
            <v>4</v>
          </cell>
          <cell r="C88">
            <v>445.12</v>
          </cell>
          <cell r="D88">
            <v>27.82</v>
          </cell>
          <cell r="E88">
            <v>0</v>
          </cell>
          <cell r="F88">
            <v>0</v>
          </cell>
          <cell r="G88">
            <v>0</v>
          </cell>
          <cell r="H88">
            <v>445.12</v>
          </cell>
          <cell r="I88">
            <v>253.44</v>
          </cell>
          <cell r="J88">
            <v>0</v>
          </cell>
          <cell r="K88">
            <v>191.68</v>
          </cell>
          <cell r="L88">
            <v>43.06</v>
          </cell>
          <cell r="M88">
            <v>0.03</v>
          </cell>
        </row>
        <row r="89">
          <cell r="A89" t="str">
            <v>GARDENLIFE</v>
          </cell>
          <cell r="B89">
            <v>3</v>
          </cell>
          <cell r="C89">
            <v>434.6</v>
          </cell>
          <cell r="D89">
            <v>144.87</v>
          </cell>
          <cell r="E89">
            <v>0</v>
          </cell>
          <cell r="F89">
            <v>0</v>
          </cell>
          <cell r="G89">
            <v>0</v>
          </cell>
          <cell r="H89">
            <v>434.6</v>
          </cell>
          <cell r="I89">
            <v>273.27</v>
          </cell>
          <cell r="J89">
            <v>0</v>
          </cell>
          <cell r="K89">
            <v>161.33000000000001</v>
          </cell>
          <cell r="L89">
            <v>37.119999999999997</v>
          </cell>
          <cell r="M89">
            <v>0.03</v>
          </cell>
        </row>
        <row r="90">
          <cell r="A90" t="str">
            <v>TRAMONTINA ELETRIK S.A.</v>
          </cell>
          <cell r="B90">
            <v>4</v>
          </cell>
          <cell r="C90">
            <v>391.15</v>
          </cell>
          <cell r="D90">
            <v>15.65</v>
          </cell>
          <cell r="E90">
            <v>0</v>
          </cell>
          <cell r="F90">
            <v>0</v>
          </cell>
          <cell r="G90">
            <v>0</v>
          </cell>
          <cell r="H90">
            <v>391.15</v>
          </cell>
          <cell r="I90">
            <v>247.79</v>
          </cell>
          <cell r="J90">
            <v>0</v>
          </cell>
          <cell r="K90">
            <v>143.36000000000001</v>
          </cell>
          <cell r="L90">
            <v>36.65</v>
          </cell>
          <cell r="M90">
            <v>0.03</v>
          </cell>
        </row>
        <row r="91">
          <cell r="A91" t="str">
            <v>COMFORT DOOR</v>
          </cell>
          <cell r="B91">
            <v>5</v>
          </cell>
          <cell r="C91">
            <v>373.5</v>
          </cell>
          <cell r="D91">
            <v>24.9</v>
          </cell>
          <cell r="E91">
            <v>0</v>
          </cell>
          <cell r="F91">
            <v>0</v>
          </cell>
          <cell r="G91">
            <v>0</v>
          </cell>
          <cell r="H91">
            <v>373.5</v>
          </cell>
          <cell r="I91">
            <v>198.15</v>
          </cell>
          <cell r="J91">
            <v>0</v>
          </cell>
          <cell r="K91">
            <v>175.35</v>
          </cell>
          <cell r="L91">
            <v>46.95</v>
          </cell>
          <cell r="M91">
            <v>0.03</v>
          </cell>
        </row>
        <row r="92">
          <cell r="A92" t="str">
            <v>BRASFORT</v>
          </cell>
          <cell r="B92">
            <v>4</v>
          </cell>
          <cell r="C92">
            <v>365.57</v>
          </cell>
          <cell r="D92">
            <v>13.06</v>
          </cell>
          <cell r="E92">
            <v>0</v>
          </cell>
          <cell r="F92">
            <v>0</v>
          </cell>
          <cell r="G92">
            <v>0</v>
          </cell>
          <cell r="H92">
            <v>365.57</v>
          </cell>
          <cell r="I92">
            <v>217.04</v>
          </cell>
          <cell r="J92">
            <v>0</v>
          </cell>
          <cell r="K92">
            <v>148.53</v>
          </cell>
          <cell r="L92">
            <v>40.630000000000003</v>
          </cell>
          <cell r="M92">
            <v>0.03</v>
          </cell>
        </row>
        <row r="93">
          <cell r="A93" t="str">
            <v>ATTENA</v>
          </cell>
          <cell r="B93">
            <v>4</v>
          </cell>
          <cell r="C93">
            <v>333.8</v>
          </cell>
          <cell r="D93">
            <v>23.84</v>
          </cell>
          <cell r="E93">
            <v>0</v>
          </cell>
          <cell r="F93">
            <v>0</v>
          </cell>
          <cell r="G93">
            <v>0</v>
          </cell>
          <cell r="H93">
            <v>333.8</v>
          </cell>
          <cell r="I93">
            <v>469.49</v>
          </cell>
          <cell r="J93">
            <v>0</v>
          </cell>
          <cell r="K93">
            <v>-135.69</v>
          </cell>
          <cell r="L93">
            <v>0</v>
          </cell>
          <cell r="M93">
            <v>0.03</v>
          </cell>
        </row>
        <row r="94">
          <cell r="A94" t="str">
            <v>TRAMONTINA</v>
          </cell>
          <cell r="B94">
            <v>3</v>
          </cell>
          <cell r="C94">
            <v>326.3</v>
          </cell>
          <cell r="D94">
            <v>27.19</v>
          </cell>
          <cell r="E94">
            <v>0</v>
          </cell>
          <cell r="F94">
            <v>0</v>
          </cell>
          <cell r="G94">
            <v>0</v>
          </cell>
          <cell r="H94">
            <v>326.3</v>
          </cell>
          <cell r="I94">
            <v>186.43</v>
          </cell>
          <cell r="J94">
            <v>0</v>
          </cell>
          <cell r="K94">
            <v>139.87</v>
          </cell>
          <cell r="L94">
            <v>42.87</v>
          </cell>
          <cell r="M94">
            <v>0.03</v>
          </cell>
        </row>
        <row r="95">
          <cell r="A95" t="str">
            <v>GERDAU</v>
          </cell>
          <cell r="B95">
            <v>4</v>
          </cell>
          <cell r="C95">
            <v>297.5</v>
          </cell>
          <cell r="D95">
            <v>29.75</v>
          </cell>
          <cell r="E95">
            <v>0</v>
          </cell>
          <cell r="F95">
            <v>0</v>
          </cell>
          <cell r="G95">
            <v>0</v>
          </cell>
          <cell r="H95">
            <v>297.5</v>
          </cell>
          <cell r="I95">
            <v>160.5</v>
          </cell>
          <cell r="J95">
            <v>0</v>
          </cell>
          <cell r="K95">
            <v>137</v>
          </cell>
          <cell r="L95">
            <v>46.05</v>
          </cell>
          <cell r="M95">
            <v>0.02</v>
          </cell>
        </row>
        <row r="96">
          <cell r="A96" t="str">
            <v>BRASILIT</v>
          </cell>
          <cell r="B96">
            <v>1</v>
          </cell>
          <cell r="C96">
            <v>235.7</v>
          </cell>
          <cell r="D96">
            <v>78.569999999999993</v>
          </cell>
          <cell r="E96">
            <v>0</v>
          </cell>
          <cell r="F96">
            <v>0</v>
          </cell>
          <cell r="G96">
            <v>0</v>
          </cell>
          <cell r="H96">
            <v>235.7</v>
          </cell>
          <cell r="I96">
            <v>178.48</v>
          </cell>
          <cell r="J96">
            <v>0</v>
          </cell>
          <cell r="K96">
            <v>57.22</v>
          </cell>
          <cell r="L96">
            <v>24.28</v>
          </cell>
          <cell r="M96">
            <v>0.02</v>
          </cell>
        </row>
        <row r="97">
          <cell r="A97" t="str">
            <v>KALIPSO</v>
          </cell>
          <cell r="B97">
            <v>5</v>
          </cell>
          <cell r="C97">
            <v>232.53</v>
          </cell>
          <cell r="D97">
            <v>10.57</v>
          </cell>
          <cell r="E97">
            <v>0</v>
          </cell>
          <cell r="F97">
            <v>0</v>
          </cell>
          <cell r="G97">
            <v>0</v>
          </cell>
          <cell r="H97">
            <v>232.53</v>
          </cell>
          <cell r="I97">
            <v>121.94</v>
          </cell>
          <cell r="J97">
            <v>0</v>
          </cell>
          <cell r="K97">
            <v>110.59</v>
          </cell>
          <cell r="L97">
            <v>47.56</v>
          </cell>
          <cell r="M97">
            <v>0.02</v>
          </cell>
        </row>
        <row r="98">
          <cell r="A98" t="str">
            <v>LEDAN</v>
          </cell>
          <cell r="B98">
            <v>3</v>
          </cell>
          <cell r="C98">
            <v>201.76</v>
          </cell>
          <cell r="D98">
            <v>20.18</v>
          </cell>
          <cell r="E98">
            <v>0</v>
          </cell>
          <cell r="F98">
            <v>0</v>
          </cell>
          <cell r="G98">
            <v>0</v>
          </cell>
          <cell r="H98">
            <v>201.76</v>
          </cell>
          <cell r="I98">
            <v>127.93</v>
          </cell>
          <cell r="J98">
            <v>0</v>
          </cell>
          <cell r="K98">
            <v>73.83</v>
          </cell>
          <cell r="L98">
            <v>36.590000000000003</v>
          </cell>
          <cell r="M98">
            <v>0.02</v>
          </cell>
        </row>
        <row r="99">
          <cell r="A99" t="str">
            <v>ARAFORROS</v>
          </cell>
          <cell r="B99">
            <v>1</v>
          </cell>
          <cell r="C99">
            <v>199.9</v>
          </cell>
          <cell r="D99">
            <v>199.9</v>
          </cell>
          <cell r="E99">
            <v>0</v>
          </cell>
          <cell r="F99">
            <v>0</v>
          </cell>
          <cell r="G99">
            <v>0</v>
          </cell>
          <cell r="H99">
            <v>199.9</v>
          </cell>
          <cell r="I99">
            <v>123.39</v>
          </cell>
          <cell r="J99">
            <v>0</v>
          </cell>
          <cell r="K99">
            <v>76.510000000000005</v>
          </cell>
          <cell r="L99">
            <v>38.270000000000003</v>
          </cell>
          <cell r="M99">
            <v>0.02</v>
          </cell>
        </row>
        <row r="100">
          <cell r="A100" t="str">
            <v>FRANKE</v>
          </cell>
          <cell r="B100">
            <v>1</v>
          </cell>
          <cell r="C100">
            <v>184.9</v>
          </cell>
          <cell r="D100">
            <v>184.9</v>
          </cell>
          <cell r="E100">
            <v>0</v>
          </cell>
          <cell r="F100">
            <v>0</v>
          </cell>
          <cell r="G100">
            <v>0</v>
          </cell>
          <cell r="H100">
            <v>184.9</v>
          </cell>
          <cell r="I100">
            <v>93.15</v>
          </cell>
          <cell r="J100">
            <v>0</v>
          </cell>
          <cell r="K100">
            <v>91.75</v>
          </cell>
          <cell r="L100">
            <v>49.62</v>
          </cell>
          <cell r="M100">
            <v>0.01</v>
          </cell>
        </row>
        <row r="101">
          <cell r="A101" t="str">
            <v>EXTRALUZ</v>
          </cell>
          <cell r="B101">
            <v>2</v>
          </cell>
          <cell r="C101">
            <v>181.6</v>
          </cell>
          <cell r="D101">
            <v>20.18</v>
          </cell>
          <cell r="E101">
            <v>0</v>
          </cell>
          <cell r="F101">
            <v>0</v>
          </cell>
          <cell r="G101">
            <v>0</v>
          </cell>
          <cell r="H101">
            <v>181.6</v>
          </cell>
          <cell r="I101">
            <v>110.58</v>
          </cell>
          <cell r="J101">
            <v>0</v>
          </cell>
          <cell r="K101">
            <v>71.02</v>
          </cell>
          <cell r="L101">
            <v>39.11</v>
          </cell>
          <cell r="M101">
            <v>0.01</v>
          </cell>
        </row>
        <row r="102">
          <cell r="A102" t="str">
            <v>LGMAIS</v>
          </cell>
          <cell r="B102">
            <v>1</v>
          </cell>
          <cell r="C102">
            <v>171.8</v>
          </cell>
          <cell r="D102">
            <v>85.9</v>
          </cell>
          <cell r="E102">
            <v>0</v>
          </cell>
          <cell r="F102">
            <v>0</v>
          </cell>
          <cell r="G102">
            <v>0</v>
          </cell>
          <cell r="H102">
            <v>171.8</v>
          </cell>
          <cell r="I102">
            <v>109.96</v>
          </cell>
          <cell r="J102">
            <v>0</v>
          </cell>
          <cell r="K102">
            <v>61.84</v>
          </cell>
          <cell r="L102">
            <v>36</v>
          </cell>
          <cell r="M102">
            <v>0.01</v>
          </cell>
        </row>
        <row r="103">
          <cell r="A103" t="str">
            <v>RHPE</v>
          </cell>
          <cell r="B103">
            <v>2</v>
          </cell>
          <cell r="C103">
            <v>171.8</v>
          </cell>
          <cell r="D103">
            <v>85.9</v>
          </cell>
          <cell r="E103">
            <v>0</v>
          </cell>
          <cell r="F103">
            <v>0</v>
          </cell>
          <cell r="G103">
            <v>0</v>
          </cell>
          <cell r="H103">
            <v>171.8</v>
          </cell>
          <cell r="I103">
            <v>106.68</v>
          </cell>
          <cell r="J103">
            <v>0</v>
          </cell>
          <cell r="K103">
            <v>65.12</v>
          </cell>
          <cell r="L103">
            <v>37.9</v>
          </cell>
          <cell r="M103">
            <v>0.01</v>
          </cell>
        </row>
        <row r="104">
          <cell r="A104" t="str">
            <v>BOSCH</v>
          </cell>
          <cell r="B104">
            <v>2</v>
          </cell>
          <cell r="C104">
            <v>169.6</v>
          </cell>
          <cell r="D104">
            <v>42.4</v>
          </cell>
          <cell r="E104">
            <v>0</v>
          </cell>
          <cell r="F104">
            <v>0</v>
          </cell>
          <cell r="G104">
            <v>0</v>
          </cell>
          <cell r="H104">
            <v>169.6</v>
          </cell>
          <cell r="I104">
            <v>101.25</v>
          </cell>
          <cell r="J104">
            <v>0</v>
          </cell>
          <cell r="K104">
            <v>68.349999999999994</v>
          </cell>
          <cell r="L104">
            <v>40.299999999999997</v>
          </cell>
          <cell r="M104">
            <v>0.01</v>
          </cell>
        </row>
        <row r="105">
          <cell r="A105" t="str">
            <v>FORTLINE</v>
          </cell>
          <cell r="B105">
            <v>1</v>
          </cell>
          <cell r="C105">
            <v>139.9</v>
          </cell>
          <cell r="D105">
            <v>139.9</v>
          </cell>
          <cell r="E105">
            <v>0</v>
          </cell>
          <cell r="F105">
            <v>0</v>
          </cell>
          <cell r="G105">
            <v>0</v>
          </cell>
          <cell r="H105">
            <v>139.9</v>
          </cell>
          <cell r="I105">
            <v>86.31</v>
          </cell>
          <cell r="J105">
            <v>0</v>
          </cell>
          <cell r="K105">
            <v>53.59</v>
          </cell>
          <cell r="L105">
            <v>38.31</v>
          </cell>
          <cell r="M105">
            <v>0.01</v>
          </cell>
        </row>
        <row r="106">
          <cell r="A106" t="str">
            <v>CHEMONE</v>
          </cell>
          <cell r="B106">
            <v>1</v>
          </cell>
          <cell r="C106">
            <v>105.5</v>
          </cell>
          <cell r="D106">
            <v>21.1</v>
          </cell>
          <cell r="E106">
            <v>0</v>
          </cell>
          <cell r="F106">
            <v>0</v>
          </cell>
          <cell r="G106">
            <v>0</v>
          </cell>
          <cell r="H106">
            <v>105.5</v>
          </cell>
          <cell r="I106">
            <v>55.45</v>
          </cell>
          <cell r="J106">
            <v>0</v>
          </cell>
          <cell r="K106">
            <v>50.05</v>
          </cell>
          <cell r="L106">
            <v>47.44</v>
          </cell>
          <cell r="M106">
            <v>0.01</v>
          </cell>
        </row>
        <row r="107">
          <cell r="A107" t="str">
            <v>PADOVA</v>
          </cell>
          <cell r="B107">
            <v>2</v>
          </cell>
          <cell r="C107">
            <v>84.6</v>
          </cell>
          <cell r="D107">
            <v>21.15</v>
          </cell>
          <cell r="E107">
            <v>0</v>
          </cell>
          <cell r="F107">
            <v>0</v>
          </cell>
          <cell r="G107">
            <v>0</v>
          </cell>
          <cell r="H107">
            <v>84.6</v>
          </cell>
          <cell r="I107">
            <v>51.98</v>
          </cell>
          <cell r="J107">
            <v>0</v>
          </cell>
          <cell r="K107">
            <v>32.619999999999997</v>
          </cell>
          <cell r="L107">
            <v>38.56</v>
          </cell>
          <cell r="M107">
            <v>0.01</v>
          </cell>
        </row>
        <row r="108">
          <cell r="A108" t="str">
            <v>CRIVAL</v>
          </cell>
          <cell r="B108">
            <v>1</v>
          </cell>
          <cell r="C108">
            <v>63.9</v>
          </cell>
          <cell r="D108">
            <v>63.9</v>
          </cell>
          <cell r="E108">
            <v>0</v>
          </cell>
          <cell r="F108">
            <v>0</v>
          </cell>
          <cell r="G108">
            <v>0</v>
          </cell>
          <cell r="H108">
            <v>63.9</v>
          </cell>
          <cell r="I108">
            <v>38.18</v>
          </cell>
          <cell r="J108">
            <v>0</v>
          </cell>
          <cell r="K108">
            <v>25.72</v>
          </cell>
          <cell r="L108">
            <v>40.25</v>
          </cell>
          <cell r="M108">
            <v>0</v>
          </cell>
        </row>
        <row r="109">
          <cell r="A109" t="str">
            <v>NOVA FIXACAO</v>
          </cell>
          <cell r="B109">
            <v>2</v>
          </cell>
          <cell r="C109">
            <v>58.79</v>
          </cell>
          <cell r="D109">
            <v>1.9</v>
          </cell>
          <cell r="E109">
            <v>0</v>
          </cell>
          <cell r="F109">
            <v>0</v>
          </cell>
          <cell r="G109">
            <v>0</v>
          </cell>
          <cell r="H109">
            <v>58.79</v>
          </cell>
          <cell r="I109">
            <v>34.06</v>
          </cell>
          <cell r="J109">
            <v>0</v>
          </cell>
          <cell r="K109">
            <v>24.73</v>
          </cell>
          <cell r="L109">
            <v>42.06</v>
          </cell>
          <cell r="M109">
            <v>0</v>
          </cell>
        </row>
        <row r="110">
          <cell r="A110" t="str">
            <v>INCA</v>
          </cell>
          <cell r="B110">
            <v>2</v>
          </cell>
          <cell r="C110">
            <v>57.3</v>
          </cell>
          <cell r="D110">
            <v>9.5500000000000007</v>
          </cell>
          <cell r="E110">
            <v>0</v>
          </cell>
          <cell r="F110">
            <v>0</v>
          </cell>
          <cell r="G110">
            <v>6.2</v>
          </cell>
          <cell r="H110">
            <v>51.1</v>
          </cell>
          <cell r="I110">
            <v>30.21</v>
          </cell>
          <cell r="J110">
            <v>3.28</v>
          </cell>
          <cell r="K110">
            <v>24.17</v>
          </cell>
          <cell r="L110">
            <v>44.74</v>
          </cell>
          <cell r="M110">
            <v>0</v>
          </cell>
        </row>
        <row r="111">
          <cell r="A111" t="str">
            <v>SIGMA</v>
          </cell>
          <cell r="B111">
            <v>1</v>
          </cell>
          <cell r="C111">
            <v>46.9</v>
          </cell>
          <cell r="D111">
            <v>46.9</v>
          </cell>
          <cell r="E111">
            <v>0</v>
          </cell>
          <cell r="F111">
            <v>0</v>
          </cell>
          <cell r="G111">
            <v>0</v>
          </cell>
          <cell r="H111">
            <v>46.9</v>
          </cell>
          <cell r="I111">
            <v>30.7</v>
          </cell>
          <cell r="J111">
            <v>0</v>
          </cell>
          <cell r="K111">
            <v>16.2</v>
          </cell>
          <cell r="L111">
            <v>34.54</v>
          </cell>
          <cell r="M111">
            <v>0</v>
          </cell>
        </row>
        <row r="112">
          <cell r="A112" t="str">
            <v>EXTRALUX</v>
          </cell>
          <cell r="B112">
            <v>1</v>
          </cell>
          <cell r="C112">
            <v>35.799999999999997</v>
          </cell>
          <cell r="D112">
            <v>17.899999999999999</v>
          </cell>
          <cell r="E112">
            <v>0</v>
          </cell>
          <cell r="F112">
            <v>0</v>
          </cell>
          <cell r="G112">
            <v>0</v>
          </cell>
          <cell r="H112">
            <v>35.799999999999997</v>
          </cell>
          <cell r="I112">
            <v>21.28</v>
          </cell>
          <cell r="J112">
            <v>0</v>
          </cell>
          <cell r="K112">
            <v>14.52</v>
          </cell>
          <cell r="L112">
            <v>40.56</v>
          </cell>
          <cell r="M112">
            <v>0</v>
          </cell>
        </row>
        <row r="113">
          <cell r="A113" t="str">
            <v>EMPLAC</v>
          </cell>
          <cell r="B113">
            <v>1</v>
          </cell>
          <cell r="C113">
            <v>14.45</v>
          </cell>
          <cell r="D113">
            <v>14.45</v>
          </cell>
          <cell r="E113">
            <v>0</v>
          </cell>
          <cell r="F113">
            <v>0</v>
          </cell>
          <cell r="G113">
            <v>0</v>
          </cell>
          <cell r="H113">
            <v>14.45</v>
          </cell>
          <cell r="I113">
            <v>7.5</v>
          </cell>
          <cell r="J113">
            <v>0</v>
          </cell>
          <cell r="K113">
            <v>6.95</v>
          </cell>
          <cell r="L113">
            <v>48.1</v>
          </cell>
          <cell r="M113">
            <v>0</v>
          </cell>
        </row>
        <row r="114">
          <cell r="A114" t="str">
            <v>INJEPLAST</v>
          </cell>
          <cell r="B114">
            <v>1</v>
          </cell>
          <cell r="C114">
            <v>7.2</v>
          </cell>
          <cell r="D114">
            <v>0.4</v>
          </cell>
          <cell r="E114">
            <v>0</v>
          </cell>
          <cell r="F114">
            <v>0</v>
          </cell>
          <cell r="G114">
            <v>0</v>
          </cell>
          <cell r="H114">
            <v>7.2</v>
          </cell>
          <cell r="I114">
            <v>3.24</v>
          </cell>
          <cell r="J114">
            <v>0</v>
          </cell>
          <cell r="K114">
            <v>3.96</v>
          </cell>
          <cell r="L114">
            <v>55</v>
          </cell>
          <cell r="M114">
            <v>0</v>
          </cell>
        </row>
        <row r="115">
          <cell r="A115" t="str">
            <v>outros</v>
          </cell>
          <cell r="B115">
            <v>0</v>
          </cell>
          <cell r="C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ABR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201</v>
          </cell>
          <cell r="C2">
            <v>232043.49799999999</v>
          </cell>
          <cell r="D2">
            <v>32.74</v>
          </cell>
          <cell r="E2">
            <v>0</v>
          </cell>
          <cell r="F2">
            <v>0</v>
          </cell>
          <cell r="G2">
            <v>2743.7507999999998</v>
          </cell>
          <cell r="H2">
            <v>229299.74720000001</v>
          </cell>
          <cell r="I2">
            <v>150000.57889999999</v>
          </cell>
          <cell r="J2">
            <v>1729.4613999999999</v>
          </cell>
          <cell r="K2">
            <v>81028.629700000005</v>
          </cell>
          <cell r="L2">
            <v>35.18</v>
          </cell>
          <cell r="M2">
            <v>19.79</v>
          </cell>
        </row>
        <row r="3">
          <cell r="A3" t="str">
            <v>DO MESTRE</v>
          </cell>
          <cell r="B3">
            <v>223</v>
          </cell>
          <cell r="C3">
            <v>96850.76</v>
          </cell>
          <cell r="D3">
            <v>23.38</v>
          </cell>
          <cell r="E3">
            <v>0</v>
          </cell>
          <cell r="F3">
            <v>0</v>
          </cell>
          <cell r="G3">
            <v>2678.1</v>
          </cell>
          <cell r="H3">
            <v>94172.66</v>
          </cell>
          <cell r="I3">
            <v>57822.25</v>
          </cell>
          <cell r="J3">
            <v>1628.56</v>
          </cell>
          <cell r="K3">
            <v>37978.97</v>
          </cell>
          <cell r="L3">
            <v>39.880000000000003</v>
          </cell>
          <cell r="M3">
            <v>8.26</v>
          </cell>
        </row>
        <row r="4">
          <cell r="A4" t="str">
            <v>ARIELLE</v>
          </cell>
          <cell r="B4">
            <v>98</v>
          </cell>
          <cell r="C4">
            <v>85072.866800000003</v>
          </cell>
          <cell r="D4">
            <v>32.75</v>
          </cell>
          <cell r="E4">
            <v>0</v>
          </cell>
          <cell r="F4">
            <v>0</v>
          </cell>
          <cell r="G4">
            <v>1544.1994999999999</v>
          </cell>
          <cell r="H4">
            <v>83528.667300000001</v>
          </cell>
          <cell r="I4">
            <v>53069.515500000001</v>
          </cell>
          <cell r="J4">
            <v>1013.9797</v>
          </cell>
          <cell r="K4">
            <v>31473.1315</v>
          </cell>
          <cell r="L4">
            <v>37.44</v>
          </cell>
          <cell r="M4">
            <v>7.26</v>
          </cell>
        </row>
        <row r="5">
          <cell r="A5" t="str">
            <v>MEGAÓ</v>
          </cell>
          <cell r="B5">
            <v>62</v>
          </cell>
          <cell r="C5">
            <v>71081.03</v>
          </cell>
          <cell r="D5">
            <v>58.12</v>
          </cell>
          <cell r="E5">
            <v>0</v>
          </cell>
          <cell r="F5">
            <v>0</v>
          </cell>
          <cell r="G5">
            <v>1031.2</v>
          </cell>
          <cell r="H5">
            <v>70049.83</v>
          </cell>
          <cell r="I5">
            <v>44141.96</v>
          </cell>
          <cell r="J5">
            <v>610.52</v>
          </cell>
          <cell r="K5">
            <v>26518.39</v>
          </cell>
          <cell r="L5">
            <v>37.630000000000003</v>
          </cell>
          <cell r="M5">
            <v>6.06</v>
          </cell>
        </row>
        <row r="6">
          <cell r="A6" t="str">
            <v>IQUINE</v>
          </cell>
          <cell r="B6">
            <v>64</v>
          </cell>
          <cell r="C6">
            <v>67931.220799999996</v>
          </cell>
          <cell r="D6">
            <v>25.13</v>
          </cell>
          <cell r="E6">
            <v>0</v>
          </cell>
          <cell r="F6">
            <v>0</v>
          </cell>
          <cell r="G6">
            <v>1003.13</v>
          </cell>
          <cell r="H6">
            <v>66928.090800000005</v>
          </cell>
          <cell r="I6">
            <v>39957.016799999998</v>
          </cell>
          <cell r="J6">
            <v>575.65</v>
          </cell>
          <cell r="K6">
            <v>27546.723999999998</v>
          </cell>
          <cell r="L6">
            <v>40.9</v>
          </cell>
          <cell r="M6">
            <v>5.79</v>
          </cell>
        </row>
        <row r="7">
          <cell r="A7" t="str">
            <v>POINTER</v>
          </cell>
          <cell r="B7">
            <v>57</v>
          </cell>
          <cell r="C7">
            <v>58583.451099999998</v>
          </cell>
          <cell r="D7">
            <v>38.15</v>
          </cell>
          <cell r="E7">
            <v>0</v>
          </cell>
          <cell r="F7">
            <v>0</v>
          </cell>
          <cell r="G7">
            <v>1904.4952000000001</v>
          </cell>
          <cell r="H7">
            <v>56678.955900000001</v>
          </cell>
          <cell r="I7">
            <v>37754.286899999999</v>
          </cell>
          <cell r="J7">
            <v>1079.8813</v>
          </cell>
          <cell r="K7">
            <v>20004.550299999999</v>
          </cell>
          <cell r="L7">
            <v>34.79</v>
          </cell>
          <cell r="M7">
            <v>5</v>
          </cell>
        </row>
        <row r="8">
          <cell r="A8" t="str">
            <v>ROCA</v>
          </cell>
          <cell r="B8">
            <v>58</v>
          </cell>
          <cell r="C8">
            <v>49589.84</v>
          </cell>
          <cell r="D8">
            <v>162.06</v>
          </cell>
          <cell r="E8">
            <v>0</v>
          </cell>
          <cell r="F8">
            <v>0</v>
          </cell>
          <cell r="G8">
            <v>1637.73</v>
          </cell>
          <cell r="H8">
            <v>47952.11</v>
          </cell>
          <cell r="I8">
            <v>34845.49</v>
          </cell>
          <cell r="J8">
            <v>1166.69</v>
          </cell>
          <cell r="K8">
            <v>14273.31</v>
          </cell>
          <cell r="L8">
            <v>29.48</v>
          </cell>
          <cell r="M8">
            <v>4.2300000000000004</v>
          </cell>
        </row>
        <row r="9">
          <cell r="A9" t="str">
            <v>QUALITY</v>
          </cell>
          <cell r="B9">
            <v>49</v>
          </cell>
          <cell r="C9">
            <v>47248.54</v>
          </cell>
          <cell r="D9">
            <v>236.24</v>
          </cell>
          <cell r="E9">
            <v>0</v>
          </cell>
          <cell r="F9">
            <v>0</v>
          </cell>
          <cell r="G9">
            <v>2549.56</v>
          </cell>
          <cell r="H9">
            <v>44698.98</v>
          </cell>
          <cell r="I9">
            <v>30436.61</v>
          </cell>
          <cell r="J9">
            <v>1577.48</v>
          </cell>
          <cell r="K9">
            <v>15839.85</v>
          </cell>
          <cell r="L9">
            <v>34.68</v>
          </cell>
          <cell r="M9">
            <v>4.03</v>
          </cell>
        </row>
        <row r="10">
          <cell r="A10" t="str">
            <v>ETERNIT</v>
          </cell>
          <cell r="B10">
            <v>42</v>
          </cell>
          <cell r="C10">
            <v>40158.410000000003</v>
          </cell>
          <cell r="D10">
            <v>55.78</v>
          </cell>
          <cell r="E10">
            <v>0</v>
          </cell>
          <cell r="F10">
            <v>0</v>
          </cell>
          <cell r="G10">
            <v>1697.7</v>
          </cell>
          <cell r="H10">
            <v>38460.71</v>
          </cell>
          <cell r="I10">
            <v>29126.11</v>
          </cell>
          <cell r="J10">
            <v>1215.54</v>
          </cell>
          <cell r="K10">
            <v>10550.14</v>
          </cell>
          <cell r="L10">
            <v>27.09</v>
          </cell>
          <cell r="M10">
            <v>3.43</v>
          </cell>
        </row>
        <row r="11">
          <cell r="A11" t="str">
            <v>WEBER QUARTZOLIT</v>
          </cell>
          <cell r="B11">
            <v>74</v>
          </cell>
          <cell r="C11">
            <v>35864.99</v>
          </cell>
          <cell r="D11">
            <v>33.24</v>
          </cell>
          <cell r="E11">
            <v>0</v>
          </cell>
          <cell r="F11">
            <v>0</v>
          </cell>
          <cell r="G11">
            <v>441.9</v>
          </cell>
          <cell r="H11">
            <v>35423.089999999997</v>
          </cell>
          <cell r="I11">
            <v>22613.51</v>
          </cell>
          <cell r="J11">
            <v>269.70999999999998</v>
          </cell>
          <cell r="K11">
            <v>13079.29</v>
          </cell>
          <cell r="L11">
            <v>36.74</v>
          </cell>
          <cell r="M11">
            <v>3.06</v>
          </cell>
        </row>
        <row r="12">
          <cell r="A12" t="str">
            <v>FORTLEV</v>
          </cell>
          <cell r="B12">
            <v>41</v>
          </cell>
          <cell r="C12">
            <v>32973.58</v>
          </cell>
          <cell r="D12">
            <v>18.29</v>
          </cell>
          <cell r="E12">
            <v>0</v>
          </cell>
          <cell r="F12">
            <v>0</v>
          </cell>
          <cell r="G12">
            <v>401.4</v>
          </cell>
          <cell r="H12">
            <v>32572.18</v>
          </cell>
          <cell r="I12">
            <v>23244.69</v>
          </cell>
          <cell r="J12">
            <v>275.8</v>
          </cell>
          <cell r="K12">
            <v>9603.2900000000009</v>
          </cell>
          <cell r="L12">
            <v>29.37</v>
          </cell>
          <cell r="M12">
            <v>2.81</v>
          </cell>
        </row>
        <row r="13">
          <cell r="A13" t="str">
            <v>TECNOGRES</v>
          </cell>
          <cell r="B13">
            <v>15</v>
          </cell>
          <cell r="C13">
            <v>30532.7814</v>
          </cell>
          <cell r="D13">
            <v>63.78</v>
          </cell>
          <cell r="E13">
            <v>0</v>
          </cell>
          <cell r="F13">
            <v>0</v>
          </cell>
          <cell r="G13">
            <v>0</v>
          </cell>
          <cell r="H13">
            <v>30532.7814</v>
          </cell>
          <cell r="I13">
            <v>18966.806799999998</v>
          </cell>
          <cell r="J13">
            <v>0</v>
          </cell>
          <cell r="K13">
            <v>11565.9746</v>
          </cell>
          <cell r="L13">
            <v>37.880000000000003</v>
          </cell>
          <cell r="M13">
            <v>2.6</v>
          </cell>
        </row>
        <row r="14">
          <cell r="A14" t="str">
            <v>PAMESA</v>
          </cell>
          <cell r="B14">
            <v>37</v>
          </cell>
          <cell r="C14">
            <v>29565.150399999999</v>
          </cell>
          <cell r="D14">
            <v>29.66</v>
          </cell>
          <cell r="E14">
            <v>0</v>
          </cell>
          <cell r="F14">
            <v>0</v>
          </cell>
          <cell r="G14">
            <v>270.8202</v>
          </cell>
          <cell r="H14">
            <v>29294.3302</v>
          </cell>
          <cell r="I14">
            <v>20679.500800000002</v>
          </cell>
          <cell r="J14">
            <v>221.9684</v>
          </cell>
          <cell r="K14">
            <v>8836.7978000000003</v>
          </cell>
          <cell r="L14">
            <v>30.12</v>
          </cell>
          <cell r="M14">
            <v>2.52</v>
          </cell>
        </row>
        <row r="15">
          <cell r="A15" t="str">
            <v>CARMELO FIOR</v>
          </cell>
          <cell r="B15">
            <v>19</v>
          </cell>
          <cell r="C15">
            <v>20690.274000000001</v>
          </cell>
          <cell r="D15">
            <v>63.55</v>
          </cell>
          <cell r="E15">
            <v>0</v>
          </cell>
          <cell r="F15">
            <v>0</v>
          </cell>
          <cell r="G15">
            <v>0</v>
          </cell>
          <cell r="H15">
            <v>20690.274000000001</v>
          </cell>
          <cell r="I15">
            <v>6743.0879999999997</v>
          </cell>
          <cell r="J15">
            <v>0</v>
          </cell>
          <cell r="K15">
            <v>13947.186</v>
          </cell>
          <cell r="L15">
            <v>67.41</v>
          </cell>
          <cell r="M15">
            <v>1.76</v>
          </cell>
        </row>
        <row r="16">
          <cell r="A16" t="str">
            <v>COBRECOM</v>
          </cell>
          <cell r="B16">
            <v>9</v>
          </cell>
          <cell r="C16">
            <v>19585.849999999999</v>
          </cell>
          <cell r="D16">
            <v>164.59</v>
          </cell>
          <cell r="E16">
            <v>0</v>
          </cell>
          <cell r="F16">
            <v>0</v>
          </cell>
          <cell r="G16">
            <v>231.73</v>
          </cell>
          <cell r="H16">
            <v>19354.12</v>
          </cell>
          <cell r="I16">
            <v>13499.43</v>
          </cell>
          <cell r="J16">
            <v>179.9</v>
          </cell>
          <cell r="K16">
            <v>6034.59</v>
          </cell>
          <cell r="L16">
            <v>31.1</v>
          </cell>
          <cell r="M16">
            <v>1.67</v>
          </cell>
        </row>
        <row r="17">
          <cell r="A17" t="str">
            <v>ATLAS</v>
          </cell>
          <cell r="B17">
            <v>50</v>
          </cell>
          <cell r="C17">
            <v>15290.12</v>
          </cell>
          <cell r="D17">
            <v>16.77</v>
          </cell>
          <cell r="E17">
            <v>0</v>
          </cell>
          <cell r="F17">
            <v>0</v>
          </cell>
          <cell r="G17">
            <v>78.400000000000006</v>
          </cell>
          <cell r="H17">
            <v>15211.72</v>
          </cell>
          <cell r="I17">
            <v>8115.01</v>
          </cell>
          <cell r="J17">
            <v>41.63</v>
          </cell>
          <cell r="K17">
            <v>7138.34</v>
          </cell>
          <cell r="L17">
            <v>46.81</v>
          </cell>
          <cell r="M17">
            <v>1.3</v>
          </cell>
        </row>
        <row r="18">
          <cell r="A18" t="str">
            <v>NITROLUX</v>
          </cell>
          <cell r="B18">
            <v>17</v>
          </cell>
          <cell r="C18">
            <v>13785.97</v>
          </cell>
          <cell r="D18">
            <v>29.58</v>
          </cell>
          <cell r="E18">
            <v>0</v>
          </cell>
          <cell r="F18">
            <v>0</v>
          </cell>
          <cell r="G18">
            <v>135.22</v>
          </cell>
          <cell r="H18">
            <v>13650.75</v>
          </cell>
          <cell r="I18">
            <v>8047.61</v>
          </cell>
          <cell r="J18">
            <v>77.45</v>
          </cell>
          <cell r="K18">
            <v>5680.59</v>
          </cell>
          <cell r="L18">
            <v>41.44</v>
          </cell>
          <cell r="M18">
            <v>1.18</v>
          </cell>
        </row>
        <row r="19">
          <cell r="A19" t="str">
            <v>MEC-TRONIC</v>
          </cell>
          <cell r="B19">
            <v>36</v>
          </cell>
          <cell r="C19">
            <v>12551.74</v>
          </cell>
          <cell r="D19">
            <v>10.84</v>
          </cell>
          <cell r="E19">
            <v>0</v>
          </cell>
          <cell r="F19">
            <v>0</v>
          </cell>
          <cell r="G19">
            <v>230.8</v>
          </cell>
          <cell r="H19">
            <v>12320.94</v>
          </cell>
          <cell r="I19">
            <v>6202.9</v>
          </cell>
          <cell r="J19">
            <v>128.29</v>
          </cell>
          <cell r="K19">
            <v>6246.33</v>
          </cell>
          <cell r="L19">
            <v>50.28</v>
          </cell>
          <cell r="M19">
            <v>1.07</v>
          </cell>
        </row>
        <row r="20">
          <cell r="A20" t="str">
            <v>BLACK DECKER</v>
          </cell>
          <cell r="B20">
            <v>24</v>
          </cell>
          <cell r="C20">
            <v>12256.93</v>
          </cell>
          <cell r="D20">
            <v>60.08</v>
          </cell>
          <cell r="E20">
            <v>0</v>
          </cell>
          <cell r="F20">
            <v>0</v>
          </cell>
          <cell r="G20">
            <v>49.2</v>
          </cell>
          <cell r="H20">
            <v>12207.73</v>
          </cell>
          <cell r="I20">
            <v>7893.44</v>
          </cell>
          <cell r="J20">
            <v>26.72</v>
          </cell>
          <cell r="K20">
            <v>4341.01</v>
          </cell>
          <cell r="L20">
            <v>35.49</v>
          </cell>
          <cell r="M20">
            <v>1.05</v>
          </cell>
        </row>
        <row r="21">
          <cell r="A21" t="str">
            <v>METAIS LEAO</v>
          </cell>
          <cell r="B21">
            <v>36</v>
          </cell>
          <cell r="C21">
            <v>11784.6</v>
          </cell>
          <cell r="D21">
            <v>46.21</v>
          </cell>
          <cell r="E21">
            <v>0</v>
          </cell>
          <cell r="F21">
            <v>0</v>
          </cell>
          <cell r="G21">
            <v>600.02</v>
          </cell>
          <cell r="H21">
            <v>11184.58</v>
          </cell>
          <cell r="I21">
            <v>6817.05</v>
          </cell>
          <cell r="J21">
            <v>353.15</v>
          </cell>
          <cell r="K21">
            <v>4720.68</v>
          </cell>
          <cell r="L21">
            <v>41.3</v>
          </cell>
          <cell r="M21">
            <v>1.01</v>
          </cell>
        </row>
        <row r="22">
          <cell r="A22" t="str">
            <v>GRANPLAST</v>
          </cell>
          <cell r="B22">
            <v>39</v>
          </cell>
          <cell r="C22">
            <v>10444.19</v>
          </cell>
          <cell r="D22">
            <v>15.25</v>
          </cell>
          <cell r="E22">
            <v>0</v>
          </cell>
          <cell r="F22">
            <v>0</v>
          </cell>
          <cell r="G22">
            <v>0</v>
          </cell>
          <cell r="H22">
            <v>10444.19</v>
          </cell>
          <cell r="I22">
            <v>6147.65</v>
          </cell>
          <cell r="J22">
            <v>0</v>
          </cell>
          <cell r="K22">
            <v>4296.54</v>
          </cell>
          <cell r="L22">
            <v>41.14</v>
          </cell>
          <cell r="M22">
            <v>0.89</v>
          </cell>
        </row>
        <row r="23">
          <cell r="A23" t="str">
            <v>LORENZETTI</v>
          </cell>
          <cell r="B23">
            <v>13</v>
          </cell>
          <cell r="C23">
            <v>8447.98</v>
          </cell>
          <cell r="D23">
            <v>80.459999999999994</v>
          </cell>
          <cell r="E23">
            <v>0</v>
          </cell>
          <cell r="F23">
            <v>0</v>
          </cell>
          <cell r="G23">
            <v>226.7</v>
          </cell>
          <cell r="H23">
            <v>8221.2800000000007</v>
          </cell>
          <cell r="I23">
            <v>5421.42</v>
          </cell>
          <cell r="J23">
            <v>146.84</v>
          </cell>
          <cell r="K23">
            <v>2946.7</v>
          </cell>
          <cell r="L23">
            <v>35.5</v>
          </cell>
          <cell r="M23">
            <v>0.72</v>
          </cell>
        </row>
        <row r="24">
          <cell r="A24" t="str">
            <v>INTECH MACHINE</v>
          </cell>
          <cell r="B24">
            <v>16</v>
          </cell>
          <cell r="C24">
            <v>7772.36</v>
          </cell>
          <cell r="D24">
            <v>204.54</v>
          </cell>
          <cell r="E24">
            <v>0</v>
          </cell>
          <cell r="F24">
            <v>0</v>
          </cell>
          <cell r="G24">
            <v>0</v>
          </cell>
          <cell r="H24">
            <v>7772.36</v>
          </cell>
          <cell r="I24">
            <v>4643.21</v>
          </cell>
          <cell r="J24">
            <v>0</v>
          </cell>
          <cell r="K24">
            <v>3129.15</v>
          </cell>
          <cell r="L24">
            <v>40.26</v>
          </cell>
          <cell r="M24">
            <v>0.66</v>
          </cell>
        </row>
        <row r="25">
          <cell r="A25" t="str">
            <v>Perfilplast Industria e Comerc</v>
          </cell>
          <cell r="B25">
            <v>16</v>
          </cell>
          <cell r="C25">
            <v>7176.26</v>
          </cell>
          <cell r="D25">
            <v>85.23</v>
          </cell>
          <cell r="E25">
            <v>0</v>
          </cell>
          <cell r="F25">
            <v>0</v>
          </cell>
          <cell r="G25">
            <v>260.60000000000002</v>
          </cell>
          <cell r="H25">
            <v>6915.66</v>
          </cell>
          <cell r="I25">
            <v>4568.7879999999996</v>
          </cell>
          <cell r="J25">
            <v>166.56</v>
          </cell>
          <cell r="K25">
            <v>2513.4319999999998</v>
          </cell>
          <cell r="L25">
            <v>35.86</v>
          </cell>
          <cell r="M25">
            <v>0.61</v>
          </cell>
        </row>
        <row r="26">
          <cell r="A26" t="str">
            <v>VIQUA</v>
          </cell>
          <cell r="B26">
            <v>33</v>
          </cell>
          <cell r="C26">
            <v>7161.99</v>
          </cell>
          <cell r="D26">
            <v>35.99</v>
          </cell>
          <cell r="E26">
            <v>0</v>
          </cell>
          <cell r="F26">
            <v>0</v>
          </cell>
          <cell r="G26">
            <v>47.8</v>
          </cell>
          <cell r="H26">
            <v>7114.19</v>
          </cell>
          <cell r="I26">
            <v>4565.17</v>
          </cell>
          <cell r="J26">
            <v>30.58</v>
          </cell>
          <cell r="K26">
            <v>2579.6</v>
          </cell>
          <cell r="L26">
            <v>36.17</v>
          </cell>
          <cell r="M26">
            <v>0.61</v>
          </cell>
        </row>
        <row r="27">
          <cell r="A27" t="str">
            <v>GHEL'PLUS</v>
          </cell>
          <cell r="B27">
            <v>11</v>
          </cell>
          <cell r="C27">
            <v>6661.43</v>
          </cell>
          <cell r="D27">
            <v>118.95</v>
          </cell>
          <cell r="E27">
            <v>0</v>
          </cell>
          <cell r="F27">
            <v>0</v>
          </cell>
          <cell r="G27">
            <v>242.6</v>
          </cell>
          <cell r="H27">
            <v>6418.83</v>
          </cell>
          <cell r="I27">
            <v>4132.13</v>
          </cell>
          <cell r="J27">
            <v>138.66</v>
          </cell>
          <cell r="K27">
            <v>2425.36</v>
          </cell>
          <cell r="L27">
            <v>37.18</v>
          </cell>
          <cell r="M27">
            <v>0.56999999999999995</v>
          </cell>
        </row>
        <row r="28">
          <cell r="A28" t="str">
            <v>KDK PORTAS</v>
          </cell>
          <cell r="B28">
            <v>16</v>
          </cell>
          <cell r="C28">
            <v>6142.64</v>
          </cell>
          <cell r="D28">
            <v>170.63</v>
          </cell>
          <cell r="E28">
            <v>0</v>
          </cell>
          <cell r="F28">
            <v>0</v>
          </cell>
          <cell r="G28">
            <v>590.70000000000005</v>
          </cell>
          <cell r="H28">
            <v>5551.94</v>
          </cell>
          <cell r="I28">
            <v>3408.33</v>
          </cell>
          <cell r="J28">
            <v>291.99</v>
          </cell>
          <cell r="K28">
            <v>2435.6</v>
          </cell>
          <cell r="L28">
            <v>41.63</v>
          </cell>
          <cell r="M28">
            <v>0.52</v>
          </cell>
        </row>
        <row r="29">
          <cell r="A29" t="str">
            <v>PADO</v>
          </cell>
          <cell r="B29">
            <v>11</v>
          </cell>
          <cell r="C29">
            <v>5978.82</v>
          </cell>
          <cell r="D29">
            <v>51.54</v>
          </cell>
          <cell r="E29">
            <v>0</v>
          </cell>
          <cell r="F29">
            <v>0</v>
          </cell>
          <cell r="G29">
            <v>32.200000000000003</v>
          </cell>
          <cell r="H29">
            <v>5946.62</v>
          </cell>
          <cell r="I29">
            <v>3354.47</v>
          </cell>
          <cell r="J29">
            <v>18.97</v>
          </cell>
          <cell r="K29">
            <v>2611.12</v>
          </cell>
          <cell r="L29">
            <v>43.81</v>
          </cell>
          <cell r="M29">
            <v>0.51</v>
          </cell>
        </row>
        <row r="30">
          <cell r="A30" t="str">
            <v>LUCONI</v>
          </cell>
          <cell r="B30">
            <v>43</v>
          </cell>
          <cell r="C30">
            <v>5228.83</v>
          </cell>
          <cell r="D30">
            <v>9.2200000000000006</v>
          </cell>
          <cell r="E30">
            <v>0</v>
          </cell>
          <cell r="F30">
            <v>0</v>
          </cell>
          <cell r="G30">
            <v>35.450000000000003</v>
          </cell>
          <cell r="H30">
            <v>5193.38</v>
          </cell>
          <cell r="I30">
            <v>2425.0700000000002</v>
          </cell>
          <cell r="J30">
            <v>16.64</v>
          </cell>
          <cell r="K30">
            <v>2784.95</v>
          </cell>
          <cell r="L30">
            <v>53.43</v>
          </cell>
          <cell r="M30">
            <v>0.45</v>
          </cell>
        </row>
        <row r="31">
          <cell r="A31" t="str">
            <v>MULT MIX IMPORTADORA</v>
          </cell>
          <cell r="B31">
            <v>26</v>
          </cell>
          <cell r="C31">
            <v>5154.3900000000003</v>
          </cell>
          <cell r="D31">
            <v>16.84</v>
          </cell>
          <cell r="E31">
            <v>0</v>
          </cell>
          <cell r="F31">
            <v>0</v>
          </cell>
          <cell r="G31">
            <v>2.9</v>
          </cell>
          <cell r="H31">
            <v>5151.49</v>
          </cell>
          <cell r="I31">
            <v>2621.64</v>
          </cell>
          <cell r="J31">
            <v>1.47</v>
          </cell>
          <cell r="K31">
            <v>2531.3200000000002</v>
          </cell>
          <cell r="L31">
            <v>49.12</v>
          </cell>
          <cell r="M31">
            <v>0.44</v>
          </cell>
        </row>
        <row r="32">
          <cell r="A32" t="str">
            <v>BLUKIT</v>
          </cell>
          <cell r="B32">
            <v>26</v>
          </cell>
          <cell r="C32">
            <v>5038.6099999999997</v>
          </cell>
          <cell r="D32">
            <v>22.9</v>
          </cell>
          <cell r="E32">
            <v>0</v>
          </cell>
          <cell r="F32">
            <v>0</v>
          </cell>
          <cell r="G32">
            <v>69.900000000000006</v>
          </cell>
          <cell r="H32">
            <v>4968.71</v>
          </cell>
          <cell r="I32">
            <v>2920.17</v>
          </cell>
          <cell r="J32">
            <v>43.39</v>
          </cell>
          <cell r="K32">
            <v>2091.9299999999998</v>
          </cell>
          <cell r="L32">
            <v>41.88</v>
          </cell>
          <cell r="M32">
            <v>0.43</v>
          </cell>
        </row>
        <row r="33">
          <cell r="A33" t="str">
            <v>LEDVANCE</v>
          </cell>
          <cell r="B33">
            <v>26</v>
          </cell>
          <cell r="C33">
            <v>4784.13</v>
          </cell>
          <cell r="D33">
            <v>5.97</v>
          </cell>
          <cell r="E33">
            <v>0</v>
          </cell>
          <cell r="F33">
            <v>0</v>
          </cell>
          <cell r="G33">
            <v>0</v>
          </cell>
          <cell r="H33">
            <v>4784.13</v>
          </cell>
          <cell r="I33">
            <v>2689.92</v>
          </cell>
          <cell r="J33">
            <v>0</v>
          </cell>
          <cell r="K33">
            <v>2094.21</v>
          </cell>
          <cell r="L33">
            <v>43.77</v>
          </cell>
          <cell r="M33">
            <v>0.41</v>
          </cell>
        </row>
        <row r="34">
          <cell r="A34" t="str">
            <v>ANAUGER</v>
          </cell>
          <cell r="B34">
            <v>6</v>
          </cell>
          <cell r="C34">
            <v>4707.55</v>
          </cell>
          <cell r="D34">
            <v>313.83999999999997</v>
          </cell>
          <cell r="E34">
            <v>0</v>
          </cell>
          <cell r="F34">
            <v>0</v>
          </cell>
          <cell r="G34">
            <v>0</v>
          </cell>
          <cell r="H34">
            <v>4707.55</v>
          </cell>
          <cell r="I34">
            <v>3130.31</v>
          </cell>
          <cell r="J34">
            <v>0</v>
          </cell>
          <cell r="K34">
            <v>1577.24</v>
          </cell>
          <cell r="L34">
            <v>33.5</v>
          </cell>
          <cell r="M34">
            <v>0.4</v>
          </cell>
        </row>
        <row r="35">
          <cell r="A35" t="str">
            <v>LEGRAND</v>
          </cell>
          <cell r="B35">
            <v>14</v>
          </cell>
          <cell r="C35">
            <v>4458.92</v>
          </cell>
          <cell r="D35">
            <v>15.43</v>
          </cell>
          <cell r="E35">
            <v>0</v>
          </cell>
          <cell r="F35">
            <v>0</v>
          </cell>
          <cell r="G35">
            <v>101.49</v>
          </cell>
          <cell r="H35">
            <v>4357.43</v>
          </cell>
          <cell r="I35">
            <v>2744.31</v>
          </cell>
          <cell r="J35">
            <v>59.67</v>
          </cell>
          <cell r="K35">
            <v>1672.79</v>
          </cell>
          <cell r="L35">
            <v>38.020000000000003</v>
          </cell>
          <cell r="M35">
            <v>0.38</v>
          </cell>
        </row>
        <row r="36">
          <cell r="A36" t="str">
            <v>FERTAK COMERCIO E IMPORTAÇÃO</v>
          </cell>
          <cell r="B36">
            <v>21</v>
          </cell>
          <cell r="C36">
            <v>4343.49</v>
          </cell>
          <cell r="D36">
            <v>11.14</v>
          </cell>
          <cell r="E36">
            <v>0</v>
          </cell>
          <cell r="F36">
            <v>0</v>
          </cell>
          <cell r="G36">
            <v>42.6</v>
          </cell>
          <cell r="H36">
            <v>4300.8900000000003</v>
          </cell>
          <cell r="I36">
            <v>2492.44</v>
          </cell>
          <cell r="J36">
            <v>23.49</v>
          </cell>
          <cell r="K36">
            <v>1831.94</v>
          </cell>
          <cell r="L36">
            <v>42.41</v>
          </cell>
          <cell r="M36">
            <v>0.37</v>
          </cell>
        </row>
        <row r="37">
          <cell r="A37" t="str">
            <v>VEDACIT</v>
          </cell>
          <cell r="B37">
            <v>8</v>
          </cell>
          <cell r="C37">
            <v>4310.54</v>
          </cell>
          <cell r="D37">
            <v>66.319999999999993</v>
          </cell>
          <cell r="E37">
            <v>0</v>
          </cell>
          <cell r="F37">
            <v>0</v>
          </cell>
          <cell r="G37">
            <v>59</v>
          </cell>
          <cell r="H37">
            <v>4251.54</v>
          </cell>
          <cell r="I37">
            <v>2512</v>
          </cell>
          <cell r="J37">
            <v>34.9</v>
          </cell>
          <cell r="K37">
            <v>1774.44</v>
          </cell>
          <cell r="L37">
            <v>41.5</v>
          </cell>
          <cell r="M37">
            <v>0.37</v>
          </cell>
        </row>
        <row r="38">
          <cell r="A38" t="str">
            <v>SILVANA</v>
          </cell>
          <cell r="B38">
            <v>23</v>
          </cell>
          <cell r="C38">
            <v>4306.8500000000004</v>
          </cell>
          <cell r="D38">
            <v>26.1</v>
          </cell>
          <cell r="E38">
            <v>0</v>
          </cell>
          <cell r="F38">
            <v>0</v>
          </cell>
          <cell r="G38">
            <v>21.9</v>
          </cell>
          <cell r="H38">
            <v>4284.95</v>
          </cell>
          <cell r="I38">
            <v>2508.61</v>
          </cell>
          <cell r="J38">
            <v>9.09</v>
          </cell>
          <cell r="K38">
            <v>1785.43</v>
          </cell>
          <cell r="L38">
            <v>41.54</v>
          </cell>
          <cell r="M38">
            <v>0.37</v>
          </cell>
        </row>
        <row r="39">
          <cell r="A39" t="str">
            <v>CERBRAS</v>
          </cell>
          <cell r="B39">
            <v>8</v>
          </cell>
          <cell r="C39">
            <v>3979.2574</v>
          </cell>
          <cell r="D39">
            <v>65.33</v>
          </cell>
          <cell r="E39">
            <v>0</v>
          </cell>
          <cell r="F39">
            <v>0</v>
          </cell>
          <cell r="G39">
            <v>0</v>
          </cell>
          <cell r="H39">
            <v>3979.2574</v>
          </cell>
          <cell r="I39">
            <v>2602.3469</v>
          </cell>
          <cell r="J39">
            <v>0</v>
          </cell>
          <cell r="K39">
            <v>1376.9105</v>
          </cell>
          <cell r="L39">
            <v>34.6</v>
          </cell>
          <cell r="M39">
            <v>0.34</v>
          </cell>
        </row>
        <row r="40">
          <cell r="A40" t="str">
            <v>BELLA PIA</v>
          </cell>
          <cell r="B40">
            <v>10</v>
          </cell>
          <cell r="C40">
            <v>3908.56</v>
          </cell>
          <cell r="D40">
            <v>229.92</v>
          </cell>
          <cell r="E40">
            <v>0</v>
          </cell>
          <cell r="F40">
            <v>0</v>
          </cell>
          <cell r="G40">
            <v>754.66</v>
          </cell>
          <cell r="H40">
            <v>3153.9</v>
          </cell>
          <cell r="I40">
            <v>2229.5</v>
          </cell>
          <cell r="J40">
            <v>426.35</v>
          </cell>
          <cell r="K40">
            <v>1350.75</v>
          </cell>
          <cell r="L40">
            <v>38.79</v>
          </cell>
          <cell r="M40">
            <v>0.33</v>
          </cell>
        </row>
        <row r="41">
          <cell r="A41" t="str">
            <v>METALURGICA MOR S/A</v>
          </cell>
          <cell r="B41">
            <v>8</v>
          </cell>
          <cell r="C41">
            <v>3821.43</v>
          </cell>
          <cell r="D41">
            <v>112.4</v>
          </cell>
          <cell r="E41">
            <v>0</v>
          </cell>
          <cell r="F41">
            <v>0</v>
          </cell>
          <cell r="G41">
            <v>0</v>
          </cell>
          <cell r="H41">
            <v>3821.43</v>
          </cell>
          <cell r="I41">
            <v>2307</v>
          </cell>
          <cell r="J41">
            <v>0</v>
          </cell>
          <cell r="K41">
            <v>1514.43</v>
          </cell>
          <cell r="L41">
            <v>39.630000000000003</v>
          </cell>
          <cell r="M41">
            <v>0.33</v>
          </cell>
        </row>
        <row r="42">
          <cell r="A42" t="str">
            <v>METALOSA</v>
          </cell>
          <cell r="B42">
            <v>3</v>
          </cell>
          <cell r="C42">
            <v>3786.3</v>
          </cell>
          <cell r="D42">
            <v>210.35</v>
          </cell>
          <cell r="E42">
            <v>0</v>
          </cell>
          <cell r="F42">
            <v>0</v>
          </cell>
          <cell r="G42">
            <v>0</v>
          </cell>
          <cell r="H42">
            <v>3786.3</v>
          </cell>
          <cell r="I42">
            <v>2120.36</v>
          </cell>
          <cell r="J42">
            <v>0</v>
          </cell>
          <cell r="K42">
            <v>1665.94</v>
          </cell>
          <cell r="L42">
            <v>44</v>
          </cell>
          <cell r="M42">
            <v>0.32</v>
          </cell>
        </row>
        <row r="43">
          <cell r="A43" t="str">
            <v>DOCOL METAIS</v>
          </cell>
          <cell r="B43">
            <v>9</v>
          </cell>
          <cell r="C43">
            <v>3323.23</v>
          </cell>
          <cell r="D43">
            <v>87.45</v>
          </cell>
          <cell r="E43">
            <v>0</v>
          </cell>
          <cell r="F43">
            <v>0</v>
          </cell>
          <cell r="G43">
            <v>0</v>
          </cell>
          <cell r="H43">
            <v>3323.23</v>
          </cell>
          <cell r="I43">
            <v>2117.36</v>
          </cell>
          <cell r="J43">
            <v>0</v>
          </cell>
          <cell r="K43">
            <v>1205.8699999999999</v>
          </cell>
          <cell r="L43">
            <v>36.29</v>
          </cell>
          <cell r="M43">
            <v>0.28000000000000003</v>
          </cell>
        </row>
        <row r="44">
          <cell r="A44" t="str">
            <v>NORTON</v>
          </cell>
          <cell r="B44">
            <v>20</v>
          </cell>
          <cell r="C44">
            <v>3033.29</v>
          </cell>
          <cell r="D44">
            <v>2.93</v>
          </cell>
          <cell r="E44">
            <v>0</v>
          </cell>
          <cell r="F44">
            <v>0</v>
          </cell>
          <cell r="G44">
            <v>0</v>
          </cell>
          <cell r="H44">
            <v>3033.29</v>
          </cell>
          <cell r="I44">
            <v>1598.53</v>
          </cell>
          <cell r="J44">
            <v>0</v>
          </cell>
          <cell r="K44">
            <v>1434.76</v>
          </cell>
          <cell r="L44">
            <v>47.3</v>
          </cell>
          <cell r="M44">
            <v>0.26</v>
          </cell>
        </row>
        <row r="45">
          <cell r="A45" t="str">
            <v>MYPA</v>
          </cell>
          <cell r="B45">
            <v>14</v>
          </cell>
          <cell r="C45">
            <v>2985.46</v>
          </cell>
          <cell r="D45">
            <v>16.77</v>
          </cell>
          <cell r="E45">
            <v>0</v>
          </cell>
          <cell r="F45">
            <v>0</v>
          </cell>
          <cell r="G45">
            <v>21.9</v>
          </cell>
          <cell r="H45">
            <v>2963.56</v>
          </cell>
          <cell r="I45">
            <v>1654.9</v>
          </cell>
          <cell r="J45">
            <v>11.71</v>
          </cell>
          <cell r="K45">
            <v>1320.37</v>
          </cell>
          <cell r="L45">
            <v>44.4</v>
          </cell>
          <cell r="M45">
            <v>0.25</v>
          </cell>
        </row>
        <row r="46">
          <cell r="A46" t="str">
            <v>FRANKLIN</v>
          </cell>
          <cell r="B46">
            <v>6</v>
          </cell>
          <cell r="C46">
            <v>2977.85</v>
          </cell>
          <cell r="D46">
            <v>496.31</v>
          </cell>
          <cell r="E46">
            <v>0</v>
          </cell>
          <cell r="F46">
            <v>0</v>
          </cell>
          <cell r="G46">
            <v>0</v>
          </cell>
          <cell r="H46">
            <v>2977.85</v>
          </cell>
          <cell r="I46">
            <v>1871.89</v>
          </cell>
          <cell r="J46">
            <v>0</v>
          </cell>
          <cell r="K46">
            <v>1105.96</v>
          </cell>
          <cell r="L46">
            <v>37.14</v>
          </cell>
          <cell r="M46">
            <v>0.25</v>
          </cell>
        </row>
        <row r="47">
          <cell r="A47" t="str">
            <v>AVANT</v>
          </cell>
          <cell r="B47">
            <v>8</v>
          </cell>
          <cell r="C47">
            <v>2785.18</v>
          </cell>
          <cell r="D47">
            <v>25.09</v>
          </cell>
          <cell r="E47">
            <v>0</v>
          </cell>
          <cell r="F47">
            <v>0</v>
          </cell>
          <cell r="G47">
            <v>81.099999999999994</v>
          </cell>
          <cell r="H47">
            <v>2704.08</v>
          </cell>
          <cell r="I47">
            <v>1449.17</v>
          </cell>
          <cell r="J47">
            <v>43.5</v>
          </cell>
          <cell r="K47">
            <v>1298.4100000000001</v>
          </cell>
          <cell r="L47">
            <v>47.36</v>
          </cell>
          <cell r="M47">
            <v>0.24</v>
          </cell>
        </row>
        <row r="48">
          <cell r="A48" t="str">
            <v>MGM</v>
          </cell>
          <cell r="B48">
            <v>5</v>
          </cell>
          <cell r="C48">
            <v>2683</v>
          </cell>
          <cell r="D48">
            <v>536.6</v>
          </cell>
          <cell r="E48">
            <v>0</v>
          </cell>
          <cell r="F48">
            <v>0</v>
          </cell>
          <cell r="G48">
            <v>0</v>
          </cell>
          <cell r="H48">
            <v>2683</v>
          </cell>
          <cell r="I48">
            <v>1622.15</v>
          </cell>
          <cell r="J48">
            <v>0</v>
          </cell>
          <cell r="K48">
            <v>1060.8499999999999</v>
          </cell>
          <cell r="L48">
            <v>39.54</v>
          </cell>
          <cell r="M48">
            <v>0.23</v>
          </cell>
        </row>
        <row r="49">
          <cell r="A49" t="str">
            <v>ADERE</v>
          </cell>
          <cell r="B49">
            <v>20</v>
          </cell>
          <cell r="C49">
            <v>2550.2399999999998</v>
          </cell>
          <cell r="D49">
            <v>9.59</v>
          </cell>
          <cell r="E49">
            <v>0</v>
          </cell>
          <cell r="F49">
            <v>0</v>
          </cell>
          <cell r="G49">
            <v>0</v>
          </cell>
          <cell r="H49">
            <v>2550.2399999999998</v>
          </cell>
          <cell r="I49">
            <v>1569.95</v>
          </cell>
          <cell r="J49">
            <v>0</v>
          </cell>
          <cell r="K49">
            <v>980.29</v>
          </cell>
          <cell r="L49">
            <v>38.44</v>
          </cell>
          <cell r="M49">
            <v>0.22</v>
          </cell>
        </row>
        <row r="50">
          <cell r="A50" t="str">
            <v>ORBI QUIMICA LTDA</v>
          </cell>
          <cell r="B50">
            <v>8</v>
          </cell>
          <cell r="C50">
            <v>2461.4299999999998</v>
          </cell>
          <cell r="D50">
            <v>19.38</v>
          </cell>
          <cell r="E50">
            <v>0</v>
          </cell>
          <cell r="F50">
            <v>0</v>
          </cell>
          <cell r="G50">
            <v>0</v>
          </cell>
          <cell r="H50">
            <v>2461.4299999999998</v>
          </cell>
          <cell r="I50">
            <v>1178.25</v>
          </cell>
          <cell r="J50">
            <v>0</v>
          </cell>
          <cell r="K50">
            <v>1283.18</v>
          </cell>
          <cell r="L50">
            <v>52.13</v>
          </cell>
          <cell r="M50">
            <v>0.21</v>
          </cell>
        </row>
        <row r="51">
          <cell r="A51" t="str">
            <v>PLASTMAR IND E COM</v>
          </cell>
          <cell r="B51">
            <v>7</v>
          </cell>
          <cell r="C51">
            <v>2303</v>
          </cell>
          <cell r="D51">
            <v>69.790000000000006</v>
          </cell>
          <cell r="E51">
            <v>0</v>
          </cell>
          <cell r="F51">
            <v>0</v>
          </cell>
          <cell r="G51">
            <v>0</v>
          </cell>
          <cell r="H51">
            <v>2303</v>
          </cell>
          <cell r="I51">
            <v>1332.81</v>
          </cell>
          <cell r="J51">
            <v>0</v>
          </cell>
          <cell r="K51">
            <v>970.19</v>
          </cell>
          <cell r="L51">
            <v>42.13</v>
          </cell>
          <cell r="M51">
            <v>0.2</v>
          </cell>
        </row>
        <row r="52">
          <cell r="A52" t="str">
            <v>KRONA</v>
          </cell>
          <cell r="B52">
            <v>14</v>
          </cell>
          <cell r="C52">
            <v>2011.28</v>
          </cell>
          <cell r="D52">
            <v>5.14</v>
          </cell>
          <cell r="E52">
            <v>0</v>
          </cell>
          <cell r="F52">
            <v>0</v>
          </cell>
          <cell r="G52">
            <v>31.48</v>
          </cell>
          <cell r="H52">
            <v>1979.8</v>
          </cell>
          <cell r="I52">
            <v>1125.9000000000001</v>
          </cell>
          <cell r="J52">
            <v>17.45</v>
          </cell>
          <cell r="K52">
            <v>871.35</v>
          </cell>
          <cell r="L52">
            <v>43.7</v>
          </cell>
          <cell r="M52">
            <v>0.17</v>
          </cell>
        </row>
        <row r="53">
          <cell r="A53" t="str">
            <v>CENSI</v>
          </cell>
          <cell r="B53">
            <v>23</v>
          </cell>
          <cell r="C53">
            <v>2010.61</v>
          </cell>
          <cell r="D53">
            <v>24.52</v>
          </cell>
          <cell r="E53">
            <v>0</v>
          </cell>
          <cell r="F53">
            <v>0</v>
          </cell>
          <cell r="G53">
            <v>63.39</v>
          </cell>
          <cell r="H53">
            <v>1947.22</v>
          </cell>
          <cell r="I53">
            <v>1215.28</v>
          </cell>
          <cell r="J53">
            <v>38.21</v>
          </cell>
          <cell r="K53">
            <v>770.15</v>
          </cell>
          <cell r="L53">
            <v>39.049999999999997</v>
          </cell>
          <cell r="M53">
            <v>0.17</v>
          </cell>
        </row>
        <row r="54">
          <cell r="A54" t="str">
            <v>EXATRON</v>
          </cell>
          <cell r="B54">
            <v>5</v>
          </cell>
          <cell r="C54">
            <v>1995.2</v>
          </cell>
          <cell r="D54">
            <v>52.51</v>
          </cell>
          <cell r="E54">
            <v>0</v>
          </cell>
          <cell r="F54">
            <v>0</v>
          </cell>
          <cell r="G54">
            <v>58.9</v>
          </cell>
          <cell r="H54">
            <v>1936.3</v>
          </cell>
          <cell r="I54">
            <v>1151.69</v>
          </cell>
          <cell r="J54">
            <v>33.130000000000003</v>
          </cell>
          <cell r="K54">
            <v>817.74</v>
          </cell>
          <cell r="L54">
            <v>41.68</v>
          </cell>
          <cell r="M54">
            <v>0.17</v>
          </cell>
        </row>
        <row r="55">
          <cell r="A55" t="str">
            <v>BEMFIXA</v>
          </cell>
          <cell r="B55">
            <v>8</v>
          </cell>
          <cell r="C55">
            <v>1947.36</v>
          </cell>
          <cell r="D55">
            <v>10.7</v>
          </cell>
          <cell r="E55">
            <v>0</v>
          </cell>
          <cell r="F55">
            <v>0</v>
          </cell>
          <cell r="G55">
            <v>27.2</v>
          </cell>
          <cell r="H55">
            <v>1920.16</v>
          </cell>
          <cell r="I55">
            <v>1191.45</v>
          </cell>
          <cell r="J55">
            <v>16.84</v>
          </cell>
          <cell r="K55">
            <v>745.55</v>
          </cell>
          <cell r="L55">
            <v>38.619999999999997</v>
          </cell>
          <cell r="M55">
            <v>0.17</v>
          </cell>
        </row>
        <row r="56">
          <cell r="A56" t="str">
            <v>PRATIMIX</v>
          </cell>
          <cell r="B56">
            <v>15</v>
          </cell>
          <cell r="C56">
            <v>1854.58</v>
          </cell>
          <cell r="D56">
            <v>10.78</v>
          </cell>
          <cell r="E56">
            <v>0</v>
          </cell>
          <cell r="F56">
            <v>0</v>
          </cell>
          <cell r="G56">
            <v>26</v>
          </cell>
          <cell r="H56">
            <v>1828.58</v>
          </cell>
          <cell r="I56">
            <v>1072.67</v>
          </cell>
          <cell r="J56">
            <v>14.44</v>
          </cell>
          <cell r="K56">
            <v>770.35</v>
          </cell>
          <cell r="L56">
            <v>41.86</v>
          </cell>
          <cell r="M56">
            <v>0.16</v>
          </cell>
        </row>
        <row r="57">
          <cell r="A57" t="str">
            <v>PRATEFIX</v>
          </cell>
          <cell r="B57">
            <v>6</v>
          </cell>
          <cell r="C57">
            <v>1833.41</v>
          </cell>
          <cell r="D57">
            <v>35.26</v>
          </cell>
          <cell r="E57">
            <v>0</v>
          </cell>
          <cell r="F57">
            <v>0</v>
          </cell>
          <cell r="G57">
            <v>0</v>
          </cell>
          <cell r="H57">
            <v>1833.41</v>
          </cell>
          <cell r="I57">
            <v>1003</v>
          </cell>
          <cell r="J57">
            <v>0</v>
          </cell>
          <cell r="K57">
            <v>830.41</v>
          </cell>
          <cell r="L57">
            <v>45.29</v>
          </cell>
          <cell r="M57">
            <v>0.16</v>
          </cell>
        </row>
        <row r="58">
          <cell r="A58" t="str">
            <v>BOTAFOGO</v>
          </cell>
          <cell r="B58">
            <v>1</v>
          </cell>
          <cell r="C58">
            <v>1818</v>
          </cell>
          <cell r="D58">
            <v>909</v>
          </cell>
          <cell r="E58">
            <v>0</v>
          </cell>
          <cell r="F58">
            <v>0</v>
          </cell>
          <cell r="G58">
            <v>0</v>
          </cell>
          <cell r="H58">
            <v>1818</v>
          </cell>
          <cell r="I58">
            <v>1041.24</v>
          </cell>
          <cell r="J58">
            <v>0</v>
          </cell>
          <cell r="K58">
            <v>776.76</v>
          </cell>
          <cell r="L58">
            <v>42.73</v>
          </cell>
          <cell r="M58">
            <v>0.16</v>
          </cell>
        </row>
        <row r="59">
          <cell r="A59" t="str">
            <v>VONDER</v>
          </cell>
          <cell r="B59">
            <v>6</v>
          </cell>
          <cell r="C59">
            <v>1781.31</v>
          </cell>
          <cell r="D59">
            <v>65.97</v>
          </cell>
          <cell r="E59">
            <v>0</v>
          </cell>
          <cell r="F59">
            <v>0</v>
          </cell>
          <cell r="G59">
            <v>0</v>
          </cell>
          <cell r="H59">
            <v>1781.31</v>
          </cell>
          <cell r="I59">
            <v>1105.08</v>
          </cell>
          <cell r="J59">
            <v>0</v>
          </cell>
          <cell r="K59">
            <v>676.23</v>
          </cell>
          <cell r="L59">
            <v>37.96</v>
          </cell>
          <cell r="M59">
            <v>0.15</v>
          </cell>
        </row>
        <row r="60">
          <cell r="A60" t="str">
            <v>TAF</v>
          </cell>
          <cell r="B60">
            <v>15</v>
          </cell>
          <cell r="C60">
            <v>1736.63</v>
          </cell>
          <cell r="D60">
            <v>17.54</v>
          </cell>
          <cell r="E60">
            <v>0</v>
          </cell>
          <cell r="F60">
            <v>0</v>
          </cell>
          <cell r="G60">
            <v>20.9</v>
          </cell>
          <cell r="H60">
            <v>1715.73</v>
          </cell>
          <cell r="I60">
            <v>968.3</v>
          </cell>
          <cell r="J60">
            <v>11.34</v>
          </cell>
          <cell r="K60">
            <v>758.77</v>
          </cell>
          <cell r="L60">
            <v>43.98</v>
          </cell>
          <cell r="M60">
            <v>0.15</v>
          </cell>
        </row>
        <row r="61">
          <cell r="A61" t="str">
            <v>BOGNAR</v>
          </cell>
          <cell r="B61">
            <v>8</v>
          </cell>
          <cell r="C61">
            <v>1701.27</v>
          </cell>
          <cell r="D61">
            <v>51.55</v>
          </cell>
          <cell r="E61">
            <v>0</v>
          </cell>
          <cell r="F61">
            <v>0</v>
          </cell>
          <cell r="G61">
            <v>0</v>
          </cell>
          <cell r="H61">
            <v>1701.27</v>
          </cell>
          <cell r="I61">
            <v>1183.25</v>
          </cell>
          <cell r="J61">
            <v>0</v>
          </cell>
          <cell r="K61">
            <v>518.02</v>
          </cell>
          <cell r="L61">
            <v>30.45</v>
          </cell>
          <cell r="M61">
            <v>0.15</v>
          </cell>
        </row>
        <row r="62">
          <cell r="A62" t="str">
            <v>COZIMAX</v>
          </cell>
          <cell r="B62">
            <v>7</v>
          </cell>
          <cell r="C62">
            <v>1649.26</v>
          </cell>
          <cell r="D62">
            <v>137.44</v>
          </cell>
          <cell r="E62">
            <v>0</v>
          </cell>
          <cell r="F62">
            <v>0</v>
          </cell>
          <cell r="G62">
            <v>267.8</v>
          </cell>
          <cell r="H62">
            <v>1381.46</v>
          </cell>
          <cell r="I62">
            <v>970.61</v>
          </cell>
          <cell r="J62">
            <v>149.28</v>
          </cell>
          <cell r="K62">
            <v>560.13</v>
          </cell>
          <cell r="L62">
            <v>37.340000000000003</v>
          </cell>
          <cell r="M62">
            <v>0.14000000000000001</v>
          </cell>
        </row>
        <row r="63">
          <cell r="A63" t="str">
            <v>BRASFORMA</v>
          </cell>
          <cell r="B63">
            <v>7</v>
          </cell>
          <cell r="C63">
            <v>1607.06</v>
          </cell>
          <cell r="D63">
            <v>42.29</v>
          </cell>
          <cell r="E63">
            <v>0</v>
          </cell>
          <cell r="F63">
            <v>0</v>
          </cell>
          <cell r="G63">
            <v>0</v>
          </cell>
          <cell r="H63">
            <v>1607.06</v>
          </cell>
          <cell r="I63">
            <v>978.33</v>
          </cell>
          <cell r="J63">
            <v>0</v>
          </cell>
          <cell r="K63">
            <v>628.73</v>
          </cell>
          <cell r="L63">
            <v>39.119999999999997</v>
          </cell>
          <cell r="M63">
            <v>0.14000000000000001</v>
          </cell>
        </row>
        <row r="64">
          <cell r="A64" t="str">
            <v>PULVITEC</v>
          </cell>
          <cell r="B64">
            <v>13</v>
          </cell>
          <cell r="C64">
            <v>1595.18</v>
          </cell>
          <cell r="D64">
            <v>7.06</v>
          </cell>
          <cell r="E64">
            <v>0</v>
          </cell>
          <cell r="F64">
            <v>0</v>
          </cell>
          <cell r="G64">
            <v>0</v>
          </cell>
          <cell r="H64">
            <v>1595.18</v>
          </cell>
          <cell r="I64">
            <v>804.71</v>
          </cell>
          <cell r="J64">
            <v>0</v>
          </cell>
          <cell r="K64">
            <v>790.47</v>
          </cell>
          <cell r="L64">
            <v>49.55</v>
          </cell>
          <cell r="M64">
            <v>0.14000000000000001</v>
          </cell>
        </row>
        <row r="65">
          <cell r="A65" t="str">
            <v>INCESA</v>
          </cell>
          <cell r="B65">
            <v>3</v>
          </cell>
          <cell r="C65">
            <v>1480.5</v>
          </cell>
          <cell r="D65">
            <v>32.9</v>
          </cell>
          <cell r="E65">
            <v>0</v>
          </cell>
          <cell r="F65">
            <v>0</v>
          </cell>
          <cell r="G65">
            <v>0</v>
          </cell>
          <cell r="H65">
            <v>1480.5</v>
          </cell>
          <cell r="I65">
            <v>1014.2</v>
          </cell>
          <cell r="J65">
            <v>0</v>
          </cell>
          <cell r="K65">
            <v>466.3</v>
          </cell>
          <cell r="L65">
            <v>31.5</v>
          </cell>
          <cell r="M65">
            <v>0.13</v>
          </cell>
        </row>
        <row r="66">
          <cell r="A66" t="str">
            <v>CORTAG</v>
          </cell>
          <cell r="B66">
            <v>16</v>
          </cell>
          <cell r="C66">
            <v>1428.1</v>
          </cell>
          <cell r="D66">
            <v>12.1</v>
          </cell>
          <cell r="E66">
            <v>0</v>
          </cell>
          <cell r="F66">
            <v>0</v>
          </cell>
          <cell r="G66">
            <v>0</v>
          </cell>
          <cell r="H66">
            <v>1428.1</v>
          </cell>
          <cell r="I66">
            <v>805.42</v>
          </cell>
          <cell r="J66">
            <v>0</v>
          </cell>
          <cell r="K66">
            <v>622.67999999999995</v>
          </cell>
          <cell r="L66">
            <v>43.6</v>
          </cell>
          <cell r="M66">
            <v>0.12</v>
          </cell>
        </row>
        <row r="67">
          <cell r="A67" t="str">
            <v>Momfort</v>
          </cell>
          <cell r="B67">
            <v>5</v>
          </cell>
          <cell r="C67">
            <v>1393.58</v>
          </cell>
          <cell r="D67">
            <v>30.97</v>
          </cell>
          <cell r="E67">
            <v>0</v>
          </cell>
          <cell r="F67">
            <v>0</v>
          </cell>
          <cell r="G67">
            <v>0</v>
          </cell>
          <cell r="H67">
            <v>1393.58</v>
          </cell>
          <cell r="I67">
            <v>734.99</v>
          </cell>
          <cell r="J67">
            <v>0</v>
          </cell>
          <cell r="K67">
            <v>658.59</v>
          </cell>
          <cell r="L67">
            <v>47.26</v>
          </cell>
          <cell r="M67">
            <v>0.12</v>
          </cell>
        </row>
        <row r="68">
          <cell r="A68" t="str">
            <v>ASTRA</v>
          </cell>
          <cell r="B68">
            <v>13</v>
          </cell>
          <cell r="C68">
            <v>1389.18</v>
          </cell>
          <cell r="D68">
            <v>17.149999999999999</v>
          </cell>
          <cell r="E68">
            <v>0</v>
          </cell>
          <cell r="F68">
            <v>0</v>
          </cell>
          <cell r="G68">
            <v>0</v>
          </cell>
          <cell r="H68">
            <v>1389.18</v>
          </cell>
          <cell r="I68">
            <v>778.06</v>
          </cell>
          <cell r="J68">
            <v>0</v>
          </cell>
          <cell r="K68">
            <v>611.12</v>
          </cell>
          <cell r="L68">
            <v>43.99</v>
          </cell>
          <cell r="M68">
            <v>0.12</v>
          </cell>
        </row>
        <row r="69">
          <cell r="A69" t="str">
            <v>ELIZABETH PORC.</v>
          </cell>
          <cell r="B69">
            <v>2</v>
          </cell>
          <cell r="C69">
            <v>1315.8545999999999</v>
          </cell>
          <cell r="D69">
            <v>53.02</v>
          </cell>
          <cell r="E69">
            <v>0</v>
          </cell>
          <cell r="F69">
            <v>0</v>
          </cell>
          <cell r="G69">
            <v>0</v>
          </cell>
          <cell r="H69">
            <v>1315.8545999999999</v>
          </cell>
          <cell r="I69">
            <v>894.10059999999999</v>
          </cell>
          <cell r="J69">
            <v>0</v>
          </cell>
          <cell r="K69">
            <v>421.75400000000002</v>
          </cell>
          <cell r="L69">
            <v>32.049999999999997</v>
          </cell>
          <cell r="M69">
            <v>0.11</v>
          </cell>
        </row>
        <row r="70">
          <cell r="A70" t="str">
            <v>TRAMONTINA</v>
          </cell>
          <cell r="B70">
            <v>4</v>
          </cell>
          <cell r="C70">
            <v>1297.8</v>
          </cell>
          <cell r="D70">
            <v>68.31</v>
          </cell>
          <cell r="E70">
            <v>0</v>
          </cell>
          <cell r="F70">
            <v>0</v>
          </cell>
          <cell r="G70">
            <v>0</v>
          </cell>
          <cell r="H70">
            <v>1297.8</v>
          </cell>
          <cell r="I70">
            <v>784.86</v>
          </cell>
          <cell r="J70">
            <v>0</v>
          </cell>
          <cell r="K70">
            <v>512.94000000000005</v>
          </cell>
          <cell r="L70">
            <v>39.520000000000003</v>
          </cell>
          <cell r="M70">
            <v>0.11</v>
          </cell>
        </row>
        <row r="71">
          <cell r="A71" t="str">
            <v>HERC</v>
          </cell>
          <cell r="B71">
            <v>9</v>
          </cell>
          <cell r="C71">
            <v>1278.75</v>
          </cell>
          <cell r="D71">
            <v>18.010000000000002</v>
          </cell>
          <cell r="E71">
            <v>0</v>
          </cell>
          <cell r="F71">
            <v>0</v>
          </cell>
          <cell r="G71">
            <v>31.88</v>
          </cell>
          <cell r="H71">
            <v>1246.8699999999999</v>
          </cell>
          <cell r="I71">
            <v>680.84</v>
          </cell>
          <cell r="J71">
            <v>18.28</v>
          </cell>
          <cell r="K71">
            <v>584.30999999999995</v>
          </cell>
          <cell r="L71">
            <v>46.36</v>
          </cell>
          <cell r="M71">
            <v>0.11</v>
          </cell>
        </row>
        <row r="72">
          <cell r="A72" t="str">
            <v>BOSCH</v>
          </cell>
          <cell r="B72">
            <v>4</v>
          </cell>
          <cell r="C72">
            <v>1018.4</v>
          </cell>
          <cell r="D72">
            <v>169.73</v>
          </cell>
          <cell r="E72">
            <v>0</v>
          </cell>
          <cell r="F72">
            <v>0</v>
          </cell>
          <cell r="G72">
            <v>0</v>
          </cell>
          <cell r="H72">
            <v>1018.4</v>
          </cell>
          <cell r="I72">
            <v>650.29999999999995</v>
          </cell>
          <cell r="J72">
            <v>0</v>
          </cell>
          <cell r="K72">
            <v>368.1</v>
          </cell>
          <cell r="L72">
            <v>36.14</v>
          </cell>
          <cell r="M72">
            <v>0.09</v>
          </cell>
        </row>
        <row r="73">
          <cell r="A73" t="str">
            <v>ALIANÇA</v>
          </cell>
          <cell r="B73">
            <v>2</v>
          </cell>
          <cell r="C73">
            <v>1007.16</v>
          </cell>
          <cell r="D73">
            <v>55.95</v>
          </cell>
          <cell r="E73">
            <v>0</v>
          </cell>
          <cell r="F73">
            <v>0</v>
          </cell>
          <cell r="G73">
            <v>0</v>
          </cell>
          <cell r="H73">
            <v>1007.16</v>
          </cell>
          <cell r="I73">
            <v>639.86</v>
          </cell>
          <cell r="J73">
            <v>0</v>
          </cell>
          <cell r="K73">
            <v>367.3</v>
          </cell>
          <cell r="L73">
            <v>36.47</v>
          </cell>
          <cell r="M73">
            <v>0.09</v>
          </cell>
        </row>
        <row r="74">
          <cell r="A74" t="str">
            <v>ULTRACLEAN</v>
          </cell>
          <cell r="B74">
            <v>6</v>
          </cell>
          <cell r="C74">
            <v>779.9</v>
          </cell>
          <cell r="D74">
            <v>21.66</v>
          </cell>
          <cell r="E74">
            <v>0</v>
          </cell>
          <cell r="F74">
            <v>0</v>
          </cell>
          <cell r="G74">
            <v>0</v>
          </cell>
          <cell r="H74">
            <v>779.9</v>
          </cell>
          <cell r="I74">
            <v>462.82</v>
          </cell>
          <cell r="J74">
            <v>0</v>
          </cell>
          <cell r="K74">
            <v>317.08</v>
          </cell>
          <cell r="L74">
            <v>40.659999999999997</v>
          </cell>
          <cell r="M74">
            <v>7.0000000000000007E-2</v>
          </cell>
        </row>
        <row r="75">
          <cell r="A75" t="str">
            <v>STARRETT INDUSTRIA E COMERCIO</v>
          </cell>
          <cell r="B75">
            <v>6</v>
          </cell>
          <cell r="C75">
            <v>769.9</v>
          </cell>
          <cell r="D75">
            <v>18.329999999999998</v>
          </cell>
          <cell r="E75">
            <v>0</v>
          </cell>
          <cell r="F75">
            <v>0</v>
          </cell>
          <cell r="G75">
            <v>0</v>
          </cell>
          <cell r="H75">
            <v>769.9</v>
          </cell>
          <cell r="I75">
            <v>433.64</v>
          </cell>
          <cell r="J75">
            <v>0</v>
          </cell>
          <cell r="K75">
            <v>336.26</v>
          </cell>
          <cell r="L75">
            <v>43.68</v>
          </cell>
          <cell r="M75">
            <v>7.0000000000000007E-2</v>
          </cell>
        </row>
        <row r="76">
          <cell r="A76" t="str">
            <v>ULTRA CLEAN</v>
          </cell>
          <cell r="B76">
            <v>6</v>
          </cell>
          <cell r="C76">
            <v>704.22</v>
          </cell>
          <cell r="D76">
            <v>22.72</v>
          </cell>
          <cell r="E76">
            <v>0</v>
          </cell>
          <cell r="F76">
            <v>0</v>
          </cell>
          <cell r="G76">
            <v>0</v>
          </cell>
          <cell r="H76">
            <v>704.22</v>
          </cell>
          <cell r="I76">
            <v>442.21</v>
          </cell>
          <cell r="J76">
            <v>0</v>
          </cell>
          <cell r="K76">
            <v>262.01</v>
          </cell>
          <cell r="L76">
            <v>37.21</v>
          </cell>
          <cell r="M76">
            <v>0.06</v>
          </cell>
        </row>
        <row r="77">
          <cell r="A77" t="str">
            <v>MARLUVAS</v>
          </cell>
          <cell r="B77">
            <v>3</v>
          </cell>
          <cell r="C77">
            <v>637.29999999999995</v>
          </cell>
          <cell r="D77">
            <v>91.04</v>
          </cell>
          <cell r="E77">
            <v>0</v>
          </cell>
          <cell r="F77">
            <v>0</v>
          </cell>
          <cell r="G77">
            <v>0</v>
          </cell>
          <cell r="H77">
            <v>637.29999999999995</v>
          </cell>
          <cell r="I77">
            <v>385.37</v>
          </cell>
          <cell r="J77">
            <v>0</v>
          </cell>
          <cell r="K77">
            <v>251.93</v>
          </cell>
          <cell r="L77">
            <v>39.53</v>
          </cell>
          <cell r="M77">
            <v>0.05</v>
          </cell>
        </row>
        <row r="78">
          <cell r="A78" t="str">
            <v>GERDAU</v>
          </cell>
          <cell r="B78">
            <v>7</v>
          </cell>
          <cell r="C78">
            <v>581.76</v>
          </cell>
          <cell r="D78">
            <v>27.7</v>
          </cell>
          <cell r="E78">
            <v>0</v>
          </cell>
          <cell r="F78">
            <v>0</v>
          </cell>
          <cell r="G78">
            <v>0</v>
          </cell>
          <cell r="H78">
            <v>581.76</v>
          </cell>
          <cell r="I78">
            <v>304.10000000000002</v>
          </cell>
          <cell r="J78">
            <v>0</v>
          </cell>
          <cell r="K78">
            <v>277.66000000000003</v>
          </cell>
          <cell r="L78">
            <v>47.73</v>
          </cell>
          <cell r="M78">
            <v>0.05</v>
          </cell>
        </row>
        <row r="79">
          <cell r="A79" t="str">
            <v>J LOBATO</v>
          </cell>
          <cell r="B79">
            <v>5</v>
          </cell>
          <cell r="C79">
            <v>553.05999999999995</v>
          </cell>
          <cell r="D79">
            <v>21.27</v>
          </cell>
          <cell r="E79">
            <v>0</v>
          </cell>
          <cell r="F79">
            <v>0</v>
          </cell>
          <cell r="G79">
            <v>37.200000000000003</v>
          </cell>
          <cell r="H79">
            <v>515.86</v>
          </cell>
          <cell r="I79">
            <v>250.75</v>
          </cell>
          <cell r="J79">
            <v>17.05</v>
          </cell>
          <cell r="K79">
            <v>282.16000000000003</v>
          </cell>
          <cell r="L79">
            <v>52.64</v>
          </cell>
          <cell r="M79">
            <v>0.05</v>
          </cell>
        </row>
        <row r="80">
          <cell r="A80" t="str">
            <v>HIDRACOR</v>
          </cell>
          <cell r="B80">
            <v>4</v>
          </cell>
          <cell r="C80">
            <v>545.16</v>
          </cell>
          <cell r="D80">
            <v>3.89</v>
          </cell>
          <cell r="E80">
            <v>0</v>
          </cell>
          <cell r="F80">
            <v>0</v>
          </cell>
          <cell r="G80">
            <v>0</v>
          </cell>
          <cell r="H80">
            <v>545.16</v>
          </cell>
          <cell r="I80">
            <v>202.53</v>
          </cell>
          <cell r="J80">
            <v>0</v>
          </cell>
          <cell r="K80">
            <v>342.63</v>
          </cell>
          <cell r="L80">
            <v>62.85</v>
          </cell>
          <cell r="M80">
            <v>0.05</v>
          </cell>
        </row>
        <row r="81">
          <cell r="A81" t="str">
            <v>REALLE</v>
          </cell>
          <cell r="B81">
            <v>3</v>
          </cell>
          <cell r="C81">
            <v>522.55799999999999</v>
          </cell>
          <cell r="D81">
            <v>32.619999999999997</v>
          </cell>
          <cell r="E81">
            <v>0</v>
          </cell>
          <cell r="F81">
            <v>0</v>
          </cell>
          <cell r="G81">
            <v>226.37010000000001</v>
          </cell>
          <cell r="H81">
            <v>296.18790000000001</v>
          </cell>
          <cell r="I81">
            <v>326.12400000000002</v>
          </cell>
          <cell r="J81">
            <v>146.43899999999999</v>
          </cell>
          <cell r="K81">
            <v>116.5029</v>
          </cell>
          <cell r="L81">
            <v>30.98</v>
          </cell>
          <cell r="M81">
            <v>0.04</v>
          </cell>
        </row>
        <row r="82">
          <cell r="A82" t="str">
            <v>TRAMONTINA NORDESTE</v>
          </cell>
          <cell r="B82">
            <v>3</v>
          </cell>
          <cell r="C82">
            <v>465</v>
          </cell>
          <cell r="D82">
            <v>46.5</v>
          </cell>
          <cell r="E82">
            <v>0</v>
          </cell>
          <cell r="F82">
            <v>0</v>
          </cell>
          <cell r="G82">
            <v>0</v>
          </cell>
          <cell r="H82">
            <v>465</v>
          </cell>
          <cell r="I82">
            <v>376.54</v>
          </cell>
          <cell r="J82">
            <v>0</v>
          </cell>
          <cell r="K82">
            <v>88.46</v>
          </cell>
          <cell r="L82">
            <v>19.02</v>
          </cell>
          <cell r="M82">
            <v>0.04</v>
          </cell>
        </row>
        <row r="83">
          <cell r="A83" t="str">
            <v>NAWA COM ATAC VAR PROD LAR E L</v>
          </cell>
          <cell r="B83">
            <v>2</v>
          </cell>
          <cell r="C83">
            <v>459.8</v>
          </cell>
          <cell r="D83">
            <v>229.9</v>
          </cell>
          <cell r="E83">
            <v>0</v>
          </cell>
          <cell r="F83">
            <v>0</v>
          </cell>
          <cell r="G83">
            <v>0</v>
          </cell>
          <cell r="H83">
            <v>459.8</v>
          </cell>
          <cell r="I83">
            <v>277.29000000000002</v>
          </cell>
          <cell r="J83">
            <v>0</v>
          </cell>
          <cell r="K83">
            <v>182.51</v>
          </cell>
          <cell r="L83">
            <v>39.69</v>
          </cell>
          <cell r="M83">
            <v>0.04</v>
          </cell>
        </row>
        <row r="84">
          <cell r="A84" t="str">
            <v>LGMAIS</v>
          </cell>
          <cell r="B84">
            <v>3</v>
          </cell>
          <cell r="C84">
            <v>456.42</v>
          </cell>
          <cell r="D84">
            <v>65.2</v>
          </cell>
          <cell r="E84">
            <v>0</v>
          </cell>
          <cell r="F84">
            <v>0</v>
          </cell>
          <cell r="G84">
            <v>0</v>
          </cell>
          <cell r="H84">
            <v>456.42</v>
          </cell>
          <cell r="I84">
            <v>289.41000000000003</v>
          </cell>
          <cell r="J84">
            <v>0</v>
          </cell>
          <cell r="K84">
            <v>167.01</v>
          </cell>
          <cell r="L84">
            <v>36.590000000000003</v>
          </cell>
          <cell r="M84">
            <v>0.04</v>
          </cell>
        </row>
        <row r="85">
          <cell r="A85" t="str">
            <v>Max-Giro</v>
          </cell>
          <cell r="B85">
            <v>5</v>
          </cell>
          <cell r="C85">
            <v>361.07</v>
          </cell>
          <cell r="D85">
            <v>9.5</v>
          </cell>
          <cell r="E85">
            <v>0</v>
          </cell>
          <cell r="F85">
            <v>0</v>
          </cell>
          <cell r="G85">
            <v>0</v>
          </cell>
          <cell r="H85">
            <v>361.07</v>
          </cell>
          <cell r="I85">
            <v>207.34</v>
          </cell>
          <cell r="J85">
            <v>0</v>
          </cell>
          <cell r="K85">
            <v>153.72999999999999</v>
          </cell>
          <cell r="L85">
            <v>42.58</v>
          </cell>
          <cell r="M85">
            <v>0.03</v>
          </cell>
        </row>
        <row r="86">
          <cell r="A86" t="str">
            <v>PADRAO FORTE</v>
          </cell>
          <cell r="B86">
            <v>3</v>
          </cell>
          <cell r="C86">
            <v>350.13</v>
          </cell>
          <cell r="D86">
            <v>35.01</v>
          </cell>
          <cell r="E86">
            <v>0</v>
          </cell>
          <cell r="F86">
            <v>0</v>
          </cell>
          <cell r="G86">
            <v>0</v>
          </cell>
          <cell r="H86">
            <v>350.13</v>
          </cell>
          <cell r="I86">
            <v>208.44</v>
          </cell>
          <cell r="J86">
            <v>0</v>
          </cell>
          <cell r="K86">
            <v>141.69</v>
          </cell>
          <cell r="L86">
            <v>40.47</v>
          </cell>
          <cell r="M86">
            <v>0.03</v>
          </cell>
        </row>
        <row r="87">
          <cell r="A87" t="str">
            <v>ILUMI</v>
          </cell>
          <cell r="B87">
            <v>3</v>
          </cell>
          <cell r="C87">
            <v>343.1</v>
          </cell>
          <cell r="D87">
            <v>16.34</v>
          </cell>
          <cell r="E87">
            <v>0</v>
          </cell>
          <cell r="F87">
            <v>0</v>
          </cell>
          <cell r="G87">
            <v>0</v>
          </cell>
          <cell r="H87">
            <v>343.1</v>
          </cell>
          <cell r="I87">
            <v>186.38</v>
          </cell>
          <cell r="J87">
            <v>0</v>
          </cell>
          <cell r="K87">
            <v>156.72</v>
          </cell>
          <cell r="L87">
            <v>45.68</v>
          </cell>
          <cell r="M87">
            <v>0.03</v>
          </cell>
        </row>
        <row r="88">
          <cell r="A88" t="str">
            <v>SECALUX</v>
          </cell>
          <cell r="B88">
            <v>2</v>
          </cell>
          <cell r="C88">
            <v>340.7</v>
          </cell>
          <cell r="D88">
            <v>68.14</v>
          </cell>
          <cell r="E88">
            <v>0</v>
          </cell>
          <cell r="F88">
            <v>0</v>
          </cell>
          <cell r="G88">
            <v>0</v>
          </cell>
          <cell r="H88">
            <v>340.7</v>
          </cell>
          <cell r="I88">
            <v>215.76</v>
          </cell>
          <cell r="J88">
            <v>0</v>
          </cell>
          <cell r="K88">
            <v>124.94</v>
          </cell>
          <cell r="L88">
            <v>36.67</v>
          </cell>
          <cell r="M88">
            <v>0.03</v>
          </cell>
        </row>
        <row r="89">
          <cell r="A89" t="str">
            <v>ARCELORMITTAL</v>
          </cell>
          <cell r="B89">
            <v>4</v>
          </cell>
          <cell r="C89">
            <v>319.85000000000002</v>
          </cell>
          <cell r="D89">
            <v>26.65</v>
          </cell>
          <cell r="E89">
            <v>0</v>
          </cell>
          <cell r="F89">
            <v>0</v>
          </cell>
          <cell r="G89">
            <v>0</v>
          </cell>
          <cell r="H89">
            <v>319.85000000000002</v>
          </cell>
          <cell r="I89">
            <v>179.08</v>
          </cell>
          <cell r="J89">
            <v>0</v>
          </cell>
          <cell r="K89">
            <v>140.77000000000001</v>
          </cell>
          <cell r="L89">
            <v>44.01</v>
          </cell>
          <cell r="M89">
            <v>0.03</v>
          </cell>
        </row>
        <row r="90">
          <cell r="A90" t="str">
            <v>BRASFORT</v>
          </cell>
          <cell r="B90">
            <v>6</v>
          </cell>
          <cell r="C90">
            <v>310.29000000000002</v>
          </cell>
          <cell r="D90">
            <v>8.39</v>
          </cell>
          <cell r="E90">
            <v>0</v>
          </cell>
          <cell r="F90">
            <v>0</v>
          </cell>
          <cell r="G90">
            <v>7.98</v>
          </cell>
          <cell r="H90">
            <v>302.31</v>
          </cell>
          <cell r="I90">
            <v>182.82</v>
          </cell>
          <cell r="J90">
            <v>4.7</v>
          </cell>
          <cell r="K90">
            <v>124.19</v>
          </cell>
          <cell r="L90">
            <v>40.64</v>
          </cell>
          <cell r="M90">
            <v>0.03</v>
          </cell>
        </row>
        <row r="91">
          <cell r="A91" t="str">
            <v>PRECON</v>
          </cell>
          <cell r="B91">
            <v>1</v>
          </cell>
          <cell r="C91">
            <v>246.76</v>
          </cell>
          <cell r="D91">
            <v>123.38</v>
          </cell>
          <cell r="E91">
            <v>0</v>
          </cell>
          <cell r="F91">
            <v>0</v>
          </cell>
          <cell r="G91">
            <v>0</v>
          </cell>
          <cell r="H91">
            <v>246.76</v>
          </cell>
          <cell r="I91">
            <v>158.63999999999999</v>
          </cell>
          <cell r="J91">
            <v>0</v>
          </cell>
          <cell r="K91">
            <v>88.12</v>
          </cell>
          <cell r="L91">
            <v>35.71</v>
          </cell>
          <cell r="M91">
            <v>0.02</v>
          </cell>
        </row>
        <row r="92">
          <cell r="A92" t="str">
            <v>EXTRALUZ</v>
          </cell>
          <cell r="B92">
            <v>3</v>
          </cell>
          <cell r="C92">
            <v>241.63</v>
          </cell>
          <cell r="D92">
            <v>26.85</v>
          </cell>
          <cell r="E92">
            <v>0</v>
          </cell>
          <cell r="F92">
            <v>0</v>
          </cell>
          <cell r="G92">
            <v>0</v>
          </cell>
          <cell r="H92">
            <v>241.63</v>
          </cell>
          <cell r="I92">
            <v>147.03</v>
          </cell>
          <cell r="J92">
            <v>0</v>
          </cell>
          <cell r="K92">
            <v>94.6</v>
          </cell>
          <cell r="L92">
            <v>39.15</v>
          </cell>
          <cell r="M92">
            <v>0.02</v>
          </cell>
        </row>
        <row r="93">
          <cell r="A93" t="str">
            <v>COMFORT DOOR</v>
          </cell>
          <cell r="B93">
            <v>4</v>
          </cell>
          <cell r="C93">
            <v>234.5</v>
          </cell>
          <cell r="D93">
            <v>26.06</v>
          </cell>
          <cell r="E93">
            <v>0</v>
          </cell>
          <cell r="F93">
            <v>0</v>
          </cell>
          <cell r="G93">
            <v>0</v>
          </cell>
          <cell r="H93">
            <v>234.5</v>
          </cell>
          <cell r="I93">
            <v>125.77</v>
          </cell>
          <cell r="J93">
            <v>0</v>
          </cell>
          <cell r="K93">
            <v>108.73</v>
          </cell>
          <cell r="L93">
            <v>46.37</v>
          </cell>
          <cell r="M93">
            <v>0.02</v>
          </cell>
        </row>
        <row r="94">
          <cell r="A94" t="str">
            <v>TRAMONTINA ELETRIK S.A.</v>
          </cell>
          <cell r="B94">
            <v>5</v>
          </cell>
          <cell r="C94">
            <v>206.99</v>
          </cell>
          <cell r="D94">
            <v>15.92</v>
          </cell>
          <cell r="E94">
            <v>0</v>
          </cell>
          <cell r="F94">
            <v>0</v>
          </cell>
          <cell r="G94">
            <v>0</v>
          </cell>
          <cell r="H94">
            <v>206.99</v>
          </cell>
          <cell r="I94">
            <v>129.32</v>
          </cell>
          <cell r="J94">
            <v>0</v>
          </cell>
          <cell r="K94">
            <v>77.67</v>
          </cell>
          <cell r="L94">
            <v>37.520000000000003</v>
          </cell>
          <cell r="M94">
            <v>0.02</v>
          </cell>
        </row>
        <row r="95">
          <cell r="A95" t="str">
            <v>ARAFORROS</v>
          </cell>
          <cell r="B95">
            <v>1</v>
          </cell>
          <cell r="C95">
            <v>193.9</v>
          </cell>
          <cell r="D95">
            <v>193.9</v>
          </cell>
          <cell r="E95">
            <v>0</v>
          </cell>
          <cell r="F95">
            <v>0</v>
          </cell>
          <cell r="G95">
            <v>0</v>
          </cell>
          <cell r="H95">
            <v>193.9</v>
          </cell>
          <cell r="I95">
            <v>124.97</v>
          </cell>
          <cell r="J95">
            <v>0</v>
          </cell>
          <cell r="K95">
            <v>68.930000000000007</v>
          </cell>
          <cell r="L95">
            <v>35.549999999999997</v>
          </cell>
          <cell r="M95">
            <v>0.02</v>
          </cell>
        </row>
        <row r="96">
          <cell r="A96" t="str">
            <v>FRANKE</v>
          </cell>
          <cell r="B96">
            <v>1</v>
          </cell>
          <cell r="C96">
            <v>184.9</v>
          </cell>
          <cell r="D96">
            <v>184.9</v>
          </cell>
          <cell r="E96">
            <v>0</v>
          </cell>
          <cell r="F96">
            <v>0</v>
          </cell>
          <cell r="G96">
            <v>0</v>
          </cell>
          <cell r="H96">
            <v>184.9</v>
          </cell>
          <cell r="I96">
            <v>93.15</v>
          </cell>
          <cell r="J96">
            <v>0</v>
          </cell>
          <cell r="K96">
            <v>91.75</v>
          </cell>
          <cell r="L96">
            <v>49.62</v>
          </cell>
          <cell r="M96">
            <v>0.02</v>
          </cell>
        </row>
        <row r="97">
          <cell r="A97" t="str">
            <v>KALIPSO</v>
          </cell>
          <cell r="B97">
            <v>3</v>
          </cell>
          <cell r="C97">
            <v>166.9</v>
          </cell>
          <cell r="D97">
            <v>8.7799999999999994</v>
          </cell>
          <cell r="E97">
            <v>0</v>
          </cell>
          <cell r="F97">
            <v>0</v>
          </cell>
          <cell r="G97">
            <v>0</v>
          </cell>
          <cell r="H97">
            <v>166.9</v>
          </cell>
          <cell r="I97">
            <v>84.32</v>
          </cell>
          <cell r="J97">
            <v>0</v>
          </cell>
          <cell r="K97">
            <v>82.58</v>
          </cell>
          <cell r="L97">
            <v>49.48</v>
          </cell>
          <cell r="M97">
            <v>0.01</v>
          </cell>
        </row>
        <row r="98">
          <cell r="A98" t="str">
            <v>LEDAN</v>
          </cell>
          <cell r="B98">
            <v>2</v>
          </cell>
          <cell r="C98">
            <v>128.09</v>
          </cell>
          <cell r="D98">
            <v>5.82</v>
          </cell>
          <cell r="E98">
            <v>0</v>
          </cell>
          <cell r="F98">
            <v>0</v>
          </cell>
          <cell r="G98">
            <v>0</v>
          </cell>
          <cell r="H98">
            <v>128.09</v>
          </cell>
          <cell r="I98">
            <v>81.290000000000006</v>
          </cell>
          <cell r="J98">
            <v>0</v>
          </cell>
          <cell r="K98">
            <v>46.8</v>
          </cell>
          <cell r="L98">
            <v>36.54</v>
          </cell>
          <cell r="M98">
            <v>0.01</v>
          </cell>
        </row>
        <row r="99">
          <cell r="A99" t="str">
            <v>RANCAN</v>
          </cell>
          <cell r="B99">
            <v>1</v>
          </cell>
          <cell r="C99">
            <v>119.8</v>
          </cell>
          <cell r="D99">
            <v>59.9</v>
          </cell>
          <cell r="E99">
            <v>0</v>
          </cell>
          <cell r="F99">
            <v>0</v>
          </cell>
          <cell r="G99">
            <v>0</v>
          </cell>
          <cell r="H99">
            <v>119.8</v>
          </cell>
          <cell r="I99">
            <v>62.7</v>
          </cell>
          <cell r="J99">
            <v>0</v>
          </cell>
          <cell r="K99">
            <v>57.1</v>
          </cell>
          <cell r="L99">
            <v>47.66</v>
          </cell>
          <cell r="M99">
            <v>0.01</v>
          </cell>
        </row>
        <row r="100">
          <cell r="A100" t="str">
            <v>PINTSILK</v>
          </cell>
          <cell r="B100">
            <v>1</v>
          </cell>
          <cell r="C100">
            <v>112.9</v>
          </cell>
          <cell r="D100">
            <v>112.9</v>
          </cell>
          <cell r="E100">
            <v>0</v>
          </cell>
          <cell r="F100">
            <v>0</v>
          </cell>
          <cell r="G100">
            <v>0</v>
          </cell>
          <cell r="H100">
            <v>112.9</v>
          </cell>
          <cell r="I100">
            <v>63.21</v>
          </cell>
          <cell r="J100">
            <v>0</v>
          </cell>
          <cell r="K100">
            <v>49.69</v>
          </cell>
          <cell r="L100">
            <v>44.01</v>
          </cell>
          <cell r="M100">
            <v>0.01</v>
          </cell>
        </row>
        <row r="101">
          <cell r="A101" t="str">
            <v>ATTENA</v>
          </cell>
          <cell r="B101">
            <v>2</v>
          </cell>
          <cell r="C101">
            <v>106.85</v>
          </cell>
          <cell r="D101">
            <v>35.619999999999997</v>
          </cell>
          <cell r="E101">
            <v>0</v>
          </cell>
          <cell r="F101">
            <v>0</v>
          </cell>
          <cell r="G101">
            <v>0</v>
          </cell>
          <cell r="H101">
            <v>106.85</v>
          </cell>
          <cell r="I101">
            <v>182.78</v>
          </cell>
          <cell r="J101">
            <v>0</v>
          </cell>
          <cell r="K101">
            <v>-75.930000000000007</v>
          </cell>
          <cell r="L101">
            <v>0</v>
          </cell>
          <cell r="M101">
            <v>0.01</v>
          </cell>
        </row>
        <row r="102">
          <cell r="A102" t="str">
            <v>PADOVA</v>
          </cell>
          <cell r="B102">
            <v>1</v>
          </cell>
          <cell r="C102">
            <v>95.6</v>
          </cell>
          <cell r="D102">
            <v>23.9</v>
          </cell>
          <cell r="E102">
            <v>0</v>
          </cell>
          <cell r="F102">
            <v>0</v>
          </cell>
          <cell r="G102">
            <v>0</v>
          </cell>
          <cell r="H102">
            <v>95.6</v>
          </cell>
          <cell r="I102">
            <v>58.64</v>
          </cell>
          <cell r="J102">
            <v>0</v>
          </cell>
          <cell r="K102">
            <v>36.96</v>
          </cell>
          <cell r="L102">
            <v>38.659999999999997</v>
          </cell>
          <cell r="M102">
            <v>0.01</v>
          </cell>
        </row>
        <row r="103">
          <cell r="A103" t="str">
            <v>STAM</v>
          </cell>
          <cell r="B103">
            <v>1</v>
          </cell>
          <cell r="C103">
            <v>93.8</v>
          </cell>
          <cell r="D103">
            <v>46.9</v>
          </cell>
          <cell r="E103">
            <v>0</v>
          </cell>
          <cell r="F103">
            <v>0</v>
          </cell>
          <cell r="G103">
            <v>0</v>
          </cell>
          <cell r="H103">
            <v>93.8</v>
          </cell>
          <cell r="I103">
            <v>50.39</v>
          </cell>
          <cell r="J103">
            <v>0</v>
          </cell>
          <cell r="K103">
            <v>43.41</v>
          </cell>
          <cell r="L103">
            <v>46.28</v>
          </cell>
          <cell r="M103">
            <v>0.01</v>
          </cell>
        </row>
        <row r="104">
          <cell r="A104" t="str">
            <v>OVERTIME</v>
          </cell>
          <cell r="B104">
            <v>2</v>
          </cell>
          <cell r="C104">
            <v>86.8</v>
          </cell>
          <cell r="D104">
            <v>12.4</v>
          </cell>
          <cell r="E104">
            <v>0</v>
          </cell>
          <cell r="F104">
            <v>0</v>
          </cell>
          <cell r="G104">
            <v>0</v>
          </cell>
          <cell r="H104">
            <v>86.8</v>
          </cell>
          <cell r="I104">
            <v>51.06</v>
          </cell>
          <cell r="J104">
            <v>0</v>
          </cell>
          <cell r="K104">
            <v>35.74</v>
          </cell>
          <cell r="L104">
            <v>41.18</v>
          </cell>
          <cell r="M104">
            <v>0.01</v>
          </cell>
        </row>
        <row r="105">
          <cell r="A105" t="str">
            <v>BRASILIT</v>
          </cell>
          <cell r="B105">
            <v>1</v>
          </cell>
          <cell r="C105">
            <v>79.900000000000006</v>
          </cell>
          <cell r="D105">
            <v>79.900000000000006</v>
          </cell>
          <cell r="E105">
            <v>0</v>
          </cell>
          <cell r="F105">
            <v>0</v>
          </cell>
          <cell r="G105">
            <v>0</v>
          </cell>
          <cell r="H105">
            <v>79.900000000000006</v>
          </cell>
          <cell r="I105">
            <v>64.89</v>
          </cell>
          <cell r="J105">
            <v>0</v>
          </cell>
          <cell r="K105">
            <v>15.01</v>
          </cell>
          <cell r="L105">
            <v>18.79</v>
          </cell>
          <cell r="M105">
            <v>0.01</v>
          </cell>
        </row>
        <row r="106">
          <cell r="A106" t="str">
            <v>NOVA FIXACAO</v>
          </cell>
          <cell r="B106">
            <v>2</v>
          </cell>
          <cell r="C106">
            <v>65.900000000000006</v>
          </cell>
          <cell r="D106">
            <v>1.78</v>
          </cell>
          <cell r="E106">
            <v>0</v>
          </cell>
          <cell r="F106">
            <v>0</v>
          </cell>
          <cell r="G106">
            <v>0</v>
          </cell>
          <cell r="H106">
            <v>65.900000000000006</v>
          </cell>
          <cell r="I106">
            <v>37.090000000000003</v>
          </cell>
          <cell r="J106">
            <v>0</v>
          </cell>
          <cell r="K106">
            <v>28.81</v>
          </cell>
          <cell r="L106">
            <v>43.72</v>
          </cell>
          <cell r="M106">
            <v>0.01</v>
          </cell>
        </row>
        <row r="107">
          <cell r="A107" t="str">
            <v>EMPLAC</v>
          </cell>
          <cell r="B107">
            <v>2</v>
          </cell>
          <cell r="C107">
            <v>60.4</v>
          </cell>
          <cell r="D107">
            <v>7.55</v>
          </cell>
          <cell r="E107">
            <v>0</v>
          </cell>
          <cell r="F107">
            <v>0</v>
          </cell>
          <cell r="G107">
            <v>0</v>
          </cell>
          <cell r="H107">
            <v>60.4</v>
          </cell>
          <cell r="I107">
            <v>26.31</v>
          </cell>
          <cell r="J107">
            <v>0</v>
          </cell>
          <cell r="K107">
            <v>34.090000000000003</v>
          </cell>
          <cell r="L107">
            <v>56.44</v>
          </cell>
          <cell r="M107">
            <v>0.01</v>
          </cell>
        </row>
        <row r="108">
          <cell r="A108" t="str">
            <v>PORTO RICO</v>
          </cell>
          <cell r="B108">
            <v>1</v>
          </cell>
          <cell r="C108">
            <v>55.8</v>
          </cell>
          <cell r="D108">
            <v>13.95</v>
          </cell>
          <cell r="E108">
            <v>0</v>
          </cell>
          <cell r="F108">
            <v>0</v>
          </cell>
          <cell r="G108">
            <v>0</v>
          </cell>
          <cell r="H108">
            <v>55.8</v>
          </cell>
          <cell r="I108">
            <v>68.8</v>
          </cell>
          <cell r="J108">
            <v>0</v>
          </cell>
          <cell r="K108">
            <v>-13</v>
          </cell>
          <cell r="L108">
            <v>0</v>
          </cell>
          <cell r="M108">
            <v>0</v>
          </cell>
        </row>
        <row r="109">
          <cell r="A109" t="str">
            <v>GABRIELLA</v>
          </cell>
          <cell r="B109">
            <v>1</v>
          </cell>
          <cell r="C109">
            <v>38.6</v>
          </cell>
          <cell r="D109">
            <v>19.3</v>
          </cell>
          <cell r="E109">
            <v>0</v>
          </cell>
          <cell r="F109">
            <v>0</v>
          </cell>
          <cell r="G109">
            <v>0</v>
          </cell>
          <cell r="H109">
            <v>38.6</v>
          </cell>
          <cell r="I109">
            <v>22.36</v>
          </cell>
          <cell r="J109">
            <v>0</v>
          </cell>
          <cell r="K109">
            <v>16.239999999999998</v>
          </cell>
          <cell r="L109">
            <v>42.07</v>
          </cell>
          <cell r="M109">
            <v>0</v>
          </cell>
        </row>
        <row r="110">
          <cell r="A110" t="str">
            <v>EXTRALUX</v>
          </cell>
          <cell r="B110">
            <v>1</v>
          </cell>
          <cell r="C110">
            <v>29.9</v>
          </cell>
          <cell r="D110">
            <v>29.9</v>
          </cell>
          <cell r="E110">
            <v>0</v>
          </cell>
          <cell r="F110">
            <v>0</v>
          </cell>
          <cell r="G110">
            <v>0</v>
          </cell>
          <cell r="H110">
            <v>29.9</v>
          </cell>
          <cell r="I110">
            <v>17.64</v>
          </cell>
          <cell r="J110">
            <v>0</v>
          </cell>
          <cell r="K110">
            <v>12.26</v>
          </cell>
          <cell r="L110">
            <v>41</v>
          </cell>
          <cell r="M110">
            <v>0</v>
          </cell>
        </row>
        <row r="111">
          <cell r="A111" t="str">
            <v>PHILIPS ILUMINACAO LA</v>
          </cell>
          <cell r="B111">
            <v>1</v>
          </cell>
          <cell r="C111">
            <v>18.399999999999999</v>
          </cell>
          <cell r="D111">
            <v>9.1999999999999993</v>
          </cell>
          <cell r="E111">
            <v>0</v>
          </cell>
          <cell r="F111">
            <v>0</v>
          </cell>
          <cell r="G111">
            <v>0</v>
          </cell>
          <cell r="H111">
            <v>18.399999999999999</v>
          </cell>
          <cell r="I111">
            <v>10.99</v>
          </cell>
          <cell r="J111">
            <v>0</v>
          </cell>
          <cell r="K111">
            <v>7.41</v>
          </cell>
          <cell r="L111">
            <v>40.270000000000003</v>
          </cell>
          <cell r="M111">
            <v>0</v>
          </cell>
        </row>
        <row r="112">
          <cell r="A112" t="str">
            <v>INJEPLAST</v>
          </cell>
          <cell r="B112">
            <v>2</v>
          </cell>
          <cell r="C112">
            <v>16.8</v>
          </cell>
          <cell r="D112">
            <v>0.4</v>
          </cell>
          <cell r="E112">
            <v>0</v>
          </cell>
          <cell r="F112">
            <v>0</v>
          </cell>
          <cell r="G112">
            <v>0</v>
          </cell>
          <cell r="H112">
            <v>16.8</v>
          </cell>
          <cell r="I112">
            <v>7.56</v>
          </cell>
          <cell r="J112">
            <v>0</v>
          </cell>
          <cell r="K112">
            <v>9.24</v>
          </cell>
          <cell r="L112">
            <v>55</v>
          </cell>
          <cell r="M112">
            <v>0</v>
          </cell>
        </row>
        <row r="113">
          <cell r="A113" t="str">
            <v>INCA</v>
          </cell>
          <cell r="B113">
            <v>2</v>
          </cell>
          <cell r="C113">
            <v>15.1</v>
          </cell>
          <cell r="D113">
            <v>1.68</v>
          </cell>
          <cell r="E113">
            <v>0</v>
          </cell>
          <cell r="F113">
            <v>0</v>
          </cell>
          <cell r="G113">
            <v>0</v>
          </cell>
          <cell r="H113">
            <v>15.1</v>
          </cell>
          <cell r="I113">
            <v>8.0399999999999991</v>
          </cell>
          <cell r="J113">
            <v>0</v>
          </cell>
          <cell r="K113">
            <v>7.06</v>
          </cell>
          <cell r="L113">
            <v>46.75</v>
          </cell>
          <cell r="M113">
            <v>0</v>
          </cell>
        </row>
        <row r="114">
          <cell r="A114" t="str">
            <v>MASCOTE</v>
          </cell>
          <cell r="B114">
            <v>1</v>
          </cell>
          <cell r="C114">
            <v>4</v>
          </cell>
          <cell r="D114">
            <v>4</v>
          </cell>
          <cell r="E114">
            <v>0</v>
          </cell>
          <cell r="F114">
            <v>0</v>
          </cell>
          <cell r="G114">
            <v>0</v>
          </cell>
          <cell r="H114">
            <v>4</v>
          </cell>
          <cell r="I114">
            <v>1.99</v>
          </cell>
          <cell r="J114">
            <v>0</v>
          </cell>
          <cell r="K114">
            <v>2.0099999999999998</v>
          </cell>
          <cell r="L114">
            <v>50.25</v>
          </cell>
          <cell r="M114">
            <v>0</v>
          </cell>
        </row>
        <row r="115">
          <cell r="A115" t="str">
            <v>outros</v>
          </cell>
          <cell r="B115">
            <v>0</v>
          </cell>
          <cell r="C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MAIO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216</v>
          </cell>
          <cell r="C2">
            <v>290463.01329999999</v>
          </cell>
          <cell r="D2">
            <v>32.9</v>
          </cell>
          <cell r="E2">
            <v>0</v>
          </cell>
          <cell r="F2">
            <v>0</v>
          </cell>
          <cell r="G2">
            <v>11782.255499999999</v>
          </cell>
          <cell r="H2">
            <v>278680.75780000002</v>
          </cell>
          <cell r="I2">
            <v>188028.63449999999</v>
          </cell>
          <cell r="J2">
            <v>7554.7655999999997</v>
          </cell>
          <cell r="K2">
            <v>98206.888900000005</v>
          </cell>
          <cell r="L2">
            <v>34.71</v>
          </cell>
          <cell r="M2">
            <v>21.1</v>
          </cell>
        </row>
        <row r="3">
          <cell r="A3" t="str">
            <v>DO MESTRE</v>
          </cell>
          <cell r="B3">
            <v>248</v>
          </cell>
          <cell r="C3">
            <v>102730.08</v>
          </cell>
          <cell r="D3">
            <v>23.42</v>
          </cell>
          <cell r="E3">
            <v>0</v>
          </cell>
          <cell r="F3">
            <v>0</v>
          </cell>
          <cell r="G3">
            <v>2308.41</v>
          </cell>
          <cell r="H3">
            <v>100421.67</v>
          </cell>
          <cell r="I3">
            <v>61126.89</v>
          </cell>
          <cell r="J3">
            <v>1374.62</v>
          </cell>
          <cell r="K3">
            <v>40669.4</v>
          </cell>
          <cell r="L3">
            <v>40.130000000000003</v>
          </cell>
          <cell r="M3">
            <v>7.46</v>
          </cell>
        </row>
        <row r="4">
          <cell r="A4" t="str">
            <v>ARIELLE</v>
          </cell>
          <cell r="B4">
            <v>108</v>
          </cell>
          <cell r="C4">
            <v>100381.71829999999</v>
          </cell>
          <cell r="D4">
            <v>29.97</v>
          </cell>
          <cell r="E4">
            <v>0</v>
          </cell>
          <cell r="F4">
            <v>0</v>
          </cell>
          <cell r="G4">
            <v>5136.3445000000002</v>
          </cell>
          <cell r="H4">
            <v>95245.373800000001</v>
          </cell>
          <cell r="I4">
            <v>61974.979500000001</v>
          </cell>
          <cell r="J4">
            <v>3093.3252000000002</v>
          </cell>
          <cell r="K4">
            <v>36363.719499999999</v>
          </cell>
          <cell r="L4">
            <v>37.380000000000003</v>
          </cell>
          <cell r="M4">
            <v>7.29</v>
          </cell>
        </row>
        <row r="5">
          <cell r="A5" t="str">
            <v>MEGAÓ</v>
          </cell>
          <cell r="B5">
            <v>67</v>
          </cell>
          <cell r="C5">
            <v>72523.08</v>
          </cell>
          <cell r="D5">
            <v>56.79</v>
          </cell>
          <cell r="E5">
            <v>0</v>
          </cell>
          <cell r="F5">
            <v>0</v>
          </cell>
          <cell r="G5">
            <v>563.67999999999995</v>
          </cell>
          <cell r="H5">
            <v>71959.399999999994</v>
          </cell>
          <cell r="I5">
            <v>45344.15</v>
          </cell>
          <cell r="J5">
            <v>342.31</v>
          </cell>
          <cell r="K5">
            <v>26957.56</v>
          </cell>
          <cell r="L5">
            <v>37.35</v>
          </cell>
          <cell r="M5">
            <v>5.27</v>
          </cell>
        </row>
        <row r="6">
          <cell r="A6" t="str">
            <v>POINTER</v>
          </cell>
          <cell r="B6">
            <v>70</v>
          </cell>
          <cell r="C6">
            <v>67285.280400000003</v>
          </cell>
          <cell r="D6">
            <v>38.6</v>
          </cell>
          <cell r="E6">
            <v>0</v>
          </cell>
          <cell r="F6">
            <v>0</v>
          </cell>
          <cell r="G6">
            <v>0</v>
          </cell>
          <cell r="H6">
            <v>67285.280400000003</v>
          </cell>
          <cell r="I6">
            <v>40749.994200000001</v>
          </cell>
          <cell r="J6">
            <v>0</v>
          </cell>
          <cell r="K6">
            <v>26535.286199999999</v>
          </cell>
          <cell r="L6">
            <v>39.44</v>
          </cell>
          <cell r="M6">
            <v>4.8899999999999997</v>
          </cell>
        </row>
        <row r="7">
          <cell r="A7" t="str">
            <v>ROCA</v>
          </cell>
          <cell r="B7">
            <v>80</v>
          </cell>
          <cell r="C7">
            <v>59944.11</v>
          </cell>
          <cell r="D7">
            <v>171.27</v>
          </cell>
          <cell r="E7">
            <v>0</v>
          </cell>
          <cell r="F7">
            <v>0</v>
          </cell>
          <cell r="G7">
            <v>1774.13</v>
          </cell>
          <cell r="H7">
            <v>58169.98</v>
          </cell>
          <cell r="I7">
            <v>41958.64</v>
          </cell>
          <cell r="J7">
            <v>1228.74</v>
          </cell>
          <cell r="K7">
            <v>17440.080000000002</v>
          </cell>
          <cell r="L7">
            <v>29.7</v>
          </cell>
          <cell r="M7">
            <v>4.3499999999999996</v>
          </cell>
        </row>
        <row r="8">
          <cell r="A8" t="str">
            <v>IQUINE</v>
          </cell>
          <cell r="B8">
            <v>52</v>
          </cell>
          <cell r="C8">
            <v>59380.608800000002</v>
          </cell>
          <cell r="D8">
            <v>55.66</v>
          </cell>
          <cell r="E8">
            <v>0</v>
          </cell>
          <cell r="F8">
            <v>0</v>
          </cell>
          <cell r="G8">
            <v>673.53</v>
          </cell>
          <cell r="H8">
            <v>58707.078800000003</v>
          </cell>
          <cell r="I8">
            <v>35171.426399999997</v>
          </cell>
          <cell r="J8">
            <v>406.3</v>
          </cell>
          <cell r="K8">
            <v>23941.952399999998</v>
          </cell>
          <cell r="L8">
            <v>40.6</v>
          </cell>
          <cell r="M8">
            <v>4.3099999999999996</v>
          </cell>
        </row>
        <row r="9">
          <cell r="A9" t="str">
            <v>QUALITY</v>
          </cell>
          <cell r="B9">
            <v>58</v>
          </cell>
          <cell r="C9">
            <v>56107.22</v>
          </cell>
          <cell r="D9">
            <v>233.78</v>
          </cell>
          <cell r="E9">
            <v>0</v>
          </cell>
          <cell r="F9">
            <v>0</v>
          </cell>
          <cell r="G9">
            <v>3371.6</v>
          </cell>
          <cell r="H9">
            <v>52735.62</v>
          </cell>
          <cell r="I9">
            <v>35676.230000000003</v>
          </cell>
          <cell r="J9">
            <v>2135.85</v>
          </cell>
          <cell r="K9">
            <v>19195.240000000002</v>
          </cell>
          <cell r="L9">
            <v>35.57</v>
          </cell>
          <cell r="M9">
            <v>4.08</v>
          </cell>
        </row>
        <row r="10">
          <cell r="A10" t="str">
            <v>WEBER QUARTZOLIT</v>
          </cell>
          <cell r="B10">
            <v>101</v>
          </cell>
          <cell r="C10">
            <v>49975.64</v>
          </cell>
          <cell r="D10">
            <v>34.9</v>
          </cell>
          <cell r="E10">
            <v>0</v>
          </cell>
          <cell r="F10">
            <v>0</v>
          </cell>
          <cell r="G10">
            <v>1623.67</v>
          </cell>
          <cell r="H10">
            <v>48351.97</v>
          </cell>
          <cell r="I10">
            <v>32359</v>
          </cell>
          <cell r="J10">
            <v>1027.4000000000001</v>
          </cell>
          <cell r="K10">
            <v>17020.37</v>
          </cell>
          <cell r="L10">
            <v>34.770000000000003</v>
          </cell>
          <cell r="M10">
            <v>3.63</v>
          </cell>
        </row>
        <row r="11">
          <cell r="A11" t="str">
            <v>FORTLEV</v>
          </cell>
          <cell r="B11">
            <v>60</v>
          </cell>
          <cell r="C11">
            <v>46058.18</v>
          </cell>
          <cell r="D11">
            <v>22.71</v>
          </cell>
          <cell r="E11">
            <v>0</v>
          </cell>
          <cell r="F11">
            <v>0</v>
          </cell>
          <cell r="G11">
            <v>1952.78</v>
          </cell>
          <cell r="H11">
            <v>44105.4</v>
          </cell>
          <cell r="I11">
            <v>32703.94</v>
          </cell>
          <cell r="J11">
            <v>1473.21</v>
          </cell>
          <cell r="K11">
            <v>12874.67</v>
          </cell>
          <cell r="L11">
            <v>28.88</v>
          </cell>
          <cell r="M11">
            <v>3.35</v>
          </cell>
        </row>
        <row r="12">
          <cell r="A12" t="str">
            <v>BRASILIT</v>
          </cell>
          <cell r="B12">
            <v>30</v>
          </cell>
          <cell r="C12">
            <v>42001.13</v>
          </cell>
          <cell r="D12">
            <v>73.430000000000007</v>
          </cell>
          <cell r="E12">
            <v>0</v>
          </cell>
          <cell r="F12">
            <v>0</v>
          </cell>
          <cell r="G12">
            <v>115.6</v>
          </cell>
          <cell r="H12">
            <v>41885.53</v>
          </cell>
          <cell r="I12">
            <v>34196.559999999998</v>
          </cell>
          <cell r="J12">
            <v>79.28</v>
          </cell>
          <cell r="K12">
            <v>7768.25</v>
          </cell>
          <cell r="L12">
            <v>18.53</v>
          </cell>
          <cell r="M12">
            <v>3.05</v>
          </cell>
        </row>
        <row r="13">
          <cell r="A13" t="str">
            <v>ETERNIT</v>
          </cell>
          <cell r="B13">
            <v>26</v>
          </cell>
          <cell r="C13">
            <v>30197.84</v>
          </cell>
          <cell r="D13">
            <v>67.260000000000005</v>
          </cell>
          <cell r="E13">
            <v>0</v>
          </cell>
          <cell r="F13">
            <v>0</v>
          </cell>
          <cell r="G13">
            <v>2831.7</v>
          </cell>
          <cell r="H13">
            <v>27366.14</v>
          </cell>
          <cell r="I13">
            <v>22150.080000000002</v>
          </cell>
          <cell r="J13">
            <v>2058.5500000000002</v>
          </cell>
          <cell r="K13">
            <v>7274.61</v>
          </cell>
          <cell r="L13">
            <v>25.85</v>
          </cell>
          <cell r="M13">
            <v>2.19</v>
          </cell>
        </row>
        <row r="14">
          <cell r="A14" t="str">
            <v>COBRECOM</v>
          </cell>
          <cell r="B14">
            <v>20</v>
          </cell>
          <cell r="C14">
            <v>30179.52</v>
          </cell>
          <cell r="D14">
            <v>189.81</v>
          </cell>
          <cell r="E14">
            <v>0</v>
          </cell>
          <cell r="F14">
            <v>0</v>
          </cell>
          <cell r="G14">
            <v>138.22</v>
          </cell>
          <cell r="H14">
            <v>30041.3</v>
          </cell>
          <cell r="I14">
            <v>21166.84</v>
          </cell>
          <cell r="J14">
            <v>99.65</v>
          </cell>
          <cell r="K14">
            <v>8974.11</v>
          </cell>
          <cell r="L14">
            <v>29.83</v>
          </cell>
          <cell r="M14">
            <v>2.19</v>
          </cell>
        </row>
        <row r="15">
          <cell r="A15" t="str">
            <v>TECNOGRES</v>
          </cell>
          <cell r="B15">
            <v>24</v>
          </cell>
          <cell r="C15">
            <v>25528.547399999999</v>
          </cell>
          <cell r="D15">
            <v>71.31</v>
          </cell>
          <cell r="E15">
            <v>0</v>
          </cell>
          <cell r="F15">
            <v>0</v>
          </cell>
          <cell r="G15">
            <v>0</v>
          </cell>
          <cell r="H15">
            <v>25528.547399999999</v>
          </cell>
          <cell r="I15">
            <v>15892.6396</v>
          </cell>
          <cell r="J15">
            <v>0</v>
          </cell>
          <cell r="K15">
            <v>9635.9078000000009</v>
          </cell>
          <cell r="L15">
            <v>37.75</v>
          </cell>
          <cell r="M15">
            <v>1.85</v>
          </cell>
        </row>
        <row r="16">
          <cell r="A16" t="str">
            <v>CARMELO FIOR</v>
          </cell>
          <cell r="B16">
            <v>22</v>
          </cell>
          <cell r="C16">
            <v>25438.864000000001</v>
          </cell>
          <cell r="D16">
            <v>63.88</v>
          </cell>
          <cell r="E16">
            <v>0</v>
          </cell>
          <cell r="F16">
            <v>0</v>
          </cell>
          <cell r="G16">
            <v>0</v>
          </cell>
          <cell r="H16">
            <v>25438.864000000001</v>
          </cell>
          <cell r="I16">
            <v>8346.91</v>
          </cell>
          <cell r="J16">
            <v>0</v>
          </cell>
          <cell r="K16">
            <v>17091.954000000002</v>
          </cell>
          <cell r="L16">
            <v>67.19</v>
          </cell>
          <cell r="M16">
            <v>1.85</v>
          </cell>
        </row>
        <row r="17">
          <cell r="A17" t="str">
            <v>ATLAS</v>
          </cell>
          <cell r="B17">
            <v>55</v>
          </cell>
          <cell r="C17">
            <v>16911.48</v>
          </cell>
          <cell r="D17">
            <v>19.04</v>
          </cell>
          <cell r="E17">
            <v>0</v>
          </cell>
          <cell r="F17">
            <v>0</v>
          </cell>
          <cell r="G17">
            <v>25.4</v>
          </cell>
          <cell r="H17">
            <v>16886.080000000002</v>
          </cell>
          <cell r="I17">
            <v>9086.26</v>
          </cell>
          <cell r="J17">
            <v>12.75</v>
          </cell>
          <cell r="K17">
            <v>7812.57</v>
          </cell>
          <cell r="L17">
            <v>46.23</v>
          </cell>
          <cell r="M17">
            <v>1.23</v>
          </cell>
        </row>
        <row r="18">
          <cell r="A18" t="str">
            <v>METAIS LEAO</v>
          </cell>
          <cell r="B18">
            <v>56</v>
          </cell>
          <cell r="C18">
            <v>16738.97</v>
          </cell>
          <cell r="D18">
            <v>49.97</v>
          </cell>
          <cell r="E18">
            <v>0</v>
          </cell>
          <cell r="F18">
            <v>0</v>
          </cell>
          <cell r="G18">
            <v>334.5</v>
          </cell>
          <cell r="H18">
            <v>16404.47</v>
          </cell>
          <cell r="I18">
            <v>9984.11</v>
          </cell>
          <cell r="J18">
            <v>183.82</v>
          </cell>
          <cell r="K18">
            <v>6604.18</v>
          </cell>
          <cell r="L18">
            <v>39.89</v>
          </cell>
          <cell r="M18">
            <v>1.22</v>
          </cell>
        </row>
        <row r="19">
          <cell r="A19" t="str">
            <v>GHEL'PLUS</v>
          </cell>
          <cell r="B19">
            <v>25</v>
          </cell>
          <cell r="C19">
            <v>16434.02</v>
          </cell>
          <cell r="D19">
            <v>117.39</v>
          </cell>
          <cell r="E19">
            <v>0</v>
          </cell>
          <cell r="F19">
            <v>0</v>
          </cell>
          <cell r="G19">
            <v>281.32</v>
          </cell>
          <cell r="H19">
            <v>16152.7</v>
          </cell>
          <cell r="I19">
            <v>10375.540000000001</v>
          </cell>
          <cell r="J19">
            <v>174.04</v>
          </cell>
          <cell r="K19">
            <v>5951.2</v>
          </cell>
          <cell r="L19">
            <v>36.6</v>
          </cell>
          <cell r="M19">
            <v>1.19</v>
          </cell>
        </row>
        <row r="20">
          <cell r="A20" t="str">
            <v>FERTAK COMERCIO E IMPORTAÇÃO</v>
          </cell>
          <cell r="B20">
            <v>67</v>
          </cell>
          <cell r="C20">
            <v>16269.34</v>
          </cell>
          <cell r="D20">
            <v>10.98</v>
          </cell>
          <cell r="E20">
            <v>0</v>
          </cell>
          <cell r="F20">
            <v>0</v>
          </cell>
          <cell r="G20">
            <v>305.57</v>
          </cell>
          <cell r="H20">
            <v>15963.77</v>
          </cell>
          <cell r="I20">
            <v>9141.16</v>
          </cell>
          <cell r="J20">
            <v>179.21</v>
          </cell>
          <cell r="K20">
            <v>7001.82</v>
          </cell>
          <cell r="L20">
            <v>43.52</v>
          </cell>
          <cell r="M20">
            <v>1.18</v>
          </cell>
        </row>
        <row r="21">
          <cell r="A21" t="str">
            <v>PAMESA</v>
          </cell>
          <cell r="B21">
            <v>24</v>
          </cell>
          <cell r="C21">
            <v>13929.1816</v>
          </cell>
          <cell r="D21">
            <v>28.69</v>
          </cell>
          <cell r="E21">
            <v>0</v>
          </cell>
          <cell r="F21">
            <v>0</v>
          </cell>
          <cell r="G21">
            <v>838.27009999999996</v>
          </cell>
          <cell r="H21">
            <v>13090.9115</v>
          </cell>
          <cell r="I21">
            <v>10267.7664</v>
          </cell>
          <cell r="J21">
            <v>541.85599999999999</v>
          </cell>
          <cell r="K21">
            <v>3365.0011</v>
          </cell>
          <cell r="L21">
            <v>25.14</v>
          </cell>
          <cell r="M21">
            <v>1.01</v>
          </cell>
        </row>
        <row r="22">
          <cell r="A22" t="str">
            <v>LORENZETTI</v>
          </cell>
          <cell r="B22">
            <v>18</v>
          </cell>
          <cell r="C22">
            <v>13718.93</v>
          </cell>
          <cell r="D22">
            <v>81.66</v>
          </cell>
          <cell r="E22">
            <v>0</v>
          </cell>
          <cell r="F22">
            <v>0</v>
          </cell>
          <cell r="G22">
            <v>275.27</v>
          </cell>
          <cell r="H22">
            <v>13443.66</v>
          </cell>
          <cell r="I22">
            <v>8758.7099999999991</v>
          </cell>
          <cell r="J22">
            <v>177.66</v>
          </cell>
          <cell r="K22">
            <v>4862.6099999999997</v>
          </cell>
          <cell r="L22">
            <v>35.909999999999997</v>
          </cell>
          <cell r="M22">
            <v>1</v>
          </cell>
        </row>
        <row r="23">
          <cell r="A23" t="str">
            <v>MEC-TRONIC</v>
          </cell>
          <cell r="B23">
            <v>34</v>
          </cell>
          <cell r="C23">
            <v>13665.24</v>
          </cell>
          <cell r="D23">
            <v>10.37</v>
          </cell>
          <cell r="E23">
            <v>0</v>
          </cell>
          <cell r="F23">
            <v>0</v>
          </cell>
          <cell r="G23">
            <v>324.93</v>
          </cell>
          <cell r="H23">
            <v>13340.31</v>
          </cell>
          <cell r="I23">
            <v>6969.97</v>
          </cell>
          <cell r="J23">
            <v>183.23</v>
          </cell>
          <cell r="K23">
            <v>6553.57</v>
          </cell>
          <cell r="L23">
            <v>48.61</v>
          </cell>
          <cell r="M23">
            <v>0.99</v>
          </cell>
        </row>
        <row r="24">
          <cell r="A24" t="str">
            <v>NITROLUX</v>
          </cell>
          <cell r="B24">
            <v>27</v>
          </cell>
          <cell r="C24">
            <v>11821.51</v>
          </cell>
          <cell r="D24">
            <v>25.87</v>
          </cell>
          <cell r="E24">
            <v>0</v>
          </cell>
          <cell r="F24">
            <v>0</v>
          </cell>
          <cell r="G24">
            <v>1080.43</v>
          </cell>
          <cell r="H24">
            <v>10741.08</v>
          </cell>
          <cell r="I24">
            <v>6650.5</v>
          </cell>
          <cell r="J24">
            <v>646.99</v>
          </cell>
          <cell r="K24">
            <v>4737.57</v>
          </cell>
          <cell r="L24">
            <v>42.4</v>
          </cell>
          <cell r="M24">
            <v>0.86</v>
          </cell>
        </row>
        <row r="25">
          <cell r="A25" t="str">
            <v>GRANPLAST</v>
          </cell>
          <cell r="B25">
            <v>40</v>
          </cell>
          <cell r="C25">
            <v>11217.94</v>
          </cell>
          <cell r="D25">
            <v>16.62</v>
          </cell>
          <cell r="E25">
            <v>0</v>
          </cell>
          <cell r="F25">
            <v>0</v>
          </cell>
          <cell r="G25">
            <v>18.899999999999999</v>
          </cell>
          <cell r="H25">
            <v>11199.04</v>
          </cell>
          <cell r="I25">
            <v>6705.92</v>
          </cell>
          <cell r="J25">
            <v>11</v>
          </cell>
          <cell r="K25">
            <v>4504.12</v>
          </cell>
          <cell r="L25">
            <v>40.19</v>
          </cell>
          <cell r="M25">
            <v>0.81</v>
          </cell>
        </row>
        <row r="26">
          <cell r="A26" t="str">
            <v>Perfilplast Industria e Comerc</v>
          </cell>
          <cell r="B26">
            <v>15</v>
          </cell>
          <cell r="C26">
            <v>9963.616</v>
          </cell>
          <cell r="D26">
            <v>61.81</v>
          </cell>
          <cell r="E26">
            <v>0</v>
          </cell>
          <cell r="F26">
            <v>0</v>
          </cell>
          <cell r="G26">
            <v>31.04</v>
          </cell>
          <cell r="H26">
            <v>9932.5759999999991</v>
          </cell>
          <cell r="I26">
            <v>6315.8779999999997</v>
          </cell>
          <cell r="J26">
            <v>21.29</v>
          </cell>
          <cell r="K26">
            <v>3637.9879999999998</v>
          </cell>
          <cell r="L26">
            <v>36.590000000000003</v>
          </cell>
          <cell r="M26">
            <v>0.72</v>
          </cell>
        </row>
        <row r="27">
          <cell r="A27" t="str">
            <v>BLACK DECKER</v>
          </cell>
          <cell r="B27">
            <v>12</v>
          </cell>
          <cell r="C27">
            <v>8006.8</v>
          </cell>
          <cell r="D27">
            <v>76.260000000000005</v>
          </cell>
          <cell r="E27">
            <v>0</v>
          </cell>
          <cell r="F27">
            <v>0</v>
          </cell>
          <cell r="G27">
            <v>216.39</v>
          </cell>
          <cell r="H27">
            <v>7790.41</v>
          </cell>
          <cell r="I27">
            <v>5062.95</v>
          </cell>
          <cell r="J27">
            <v>123.1</v>
          </cell>
          <cell r="K27">
            <v>2850.56</v>
          </cell>
          <cell r="L27">
            <v>36.159999999999997</v>
          </cell>
          <cell r="M27">
            <v>0.57999999999999996</v>
          </cell>
        </row>
        <row r="28">
          <cell r="A28" t="str">
            <v>VIQUA</v>
          </cell>
          <cell r="B28">
            <v>32</v>
          </cell>
          <cell r="C28">
            <v>7968.96</v>
          </cell>
          <cell r="D28">
            <v>38.130000000000003</v>
          </cell>
          <cell r="E28">
            <v>0</v>
          </cell>
          <cell r="F28">
            <v>0</v>
          </cell>
          <cell r="G28">
            <v>245</v>
          </cell>
          <cell r="H28">
            <v>7723.96</v>
          </cell>
          <cell r="I28">
            <v>5136.43</v>
          </cell>
          <cell r="J28">
            <v>156.15</v>
          </cell>
          <cell r="K28">
            <v>2743.68</v>
          </cell>
          <cell r="L28">
            <v>35.119999999999997</v>
          </cell>
          <cell r="M28">
            <v>0.57999999999999996</v>
          </cell>
        </row>
        <row r="29">
          <cell r="A29" t="str">
            <v>INTECH MACHINE</v>
          </cell>
          <cell r="B29">
            <v>12</v>
          </cell>
          <cell r="C29">
            <v>7508.2</v>
          </cell>
          <cell r="D29">
            <v>202.92</v>
          </cell>
          <cell r="E29">
            <v>0</v>
          </cell>
          <cell r="F29">
            <v>0</v>
          </cell>
          <cell r="G29">
            <v>378</v>
          </cell>
          <cell r="H29">
            <v>7130.2</v>
          </cell>
          <cell r="I29">
            <v>4536.25</v>
          </cell>
          <cell r="J29">
            <v>231.08</v>
          </cell>
          <cell r="K29">
            <v>2825.03</v>
          </cell>
          <cell r="L29">
            <v>38.82</v>
          </cell>
          <cell r="M29">
            <v>0.55000000000000004</v>
          </cell>
        </row>
        <row r="30">
          <cell r="A30" t="str">
            <v>LEDVANCE</v>
          </cell>
          <cell r="B30">
            <v>34</v>
          </cell>
          <cell r="C30">
            <v>7280.66</v>
          </cell>
          <cell r="D30">
            <v>7.7</v>
          </cell>
          <cell r="E30">
            <v>0</v>
          </cell>
          <cell r="F30">
            <v>0</v>
          </cell>
          <cell r="G30">
            <v>36.9</v>
          </cell>
          <cell r="H30">
            <v>7243.76</v>
          </cell>
          <cell r="I30">
            <v>4141.9799999999996</v>
          </cell>
          <cell r="J30">
            <v>19.190000000000001</v>
          </cell>
          <cell r="K30">
            <v>3120.97</v>
          </cell>
          <cell r="L30">
            <v>42.98</v>
          </cell>
          <cell r="M30">
            <v>0.53</v>
          </cell>
        </row>
        <row r="31">
          <cell r="A31" t="str">
            <v>BLUKIT</v>
          </cell>
          <cell r="B31">
            <v>47</v>
          </cell>
          <cell r="C31">
            <v>7104.14</v>
          </cell>
          <cell r="D31">
            <v>21.08</v>
          </cell>
          <cell r="E31">
            <v>0</v>
          </cell>
          <cell r="F31">
            <v>0</v>
          </cell>
          <cell r="G31">
            <v>183.83</v>
          </cell>
          <cell r="H31">
            <v>6920.31</v>
          </cell>
          <cell r="I31">
            <v>4015.99</v>
          </cell>
          <cell r="J31">
            <v>107.82</v>
          </cell>
          <cell r="K31">
            <v>3012.14</v>
          </cell>
          <cell r="L31">
            <v>43.05</v>
          </cell>
          <cell r="M31">
            <v>0.52</v>
          </cell>
        </row>
        <row r="32">
          <cell r="A32" t="str">
            <v>KDK PORTAS</v>
          </cell>
          <cell r="B32">
            <v>17</v>
          </cell>
          <cell r="C32">
            <v>6555.56</v>
          </cell>
          <cell r="D32">
            <v>163.89</v>
          </cell>
          <cell r="E32">
            <v>0</v>
          </cell>
          <cell r="F32">
            <v>0</v>
          </cell>
          <cell r="G32">
            <v>882.59</v>
          </cell>
          <cell r="H32">
            <v>5672.97</v>
          </cell>
          <cell r="I32">
            <v>3740.4</v>
          </cell>
          <cell r="J32">
            <v>489.29</v>
          </cell>
          <cell r="K32">
            <v>2421.86</v>
          </cell>
          <cell r="L32">
            <v>39.92</v>
          </cell>
          <cell r="M32">
            <v>0.48</v>
          </cell>
        </row>
        <row r="33">
          <cell r="A33" t="str">
            <v>PADO</v>
          </cell>
          <cell r="B33">
            <v>11</v>
          </cell>
          <cell r="C33">
            <v>6425.29</v>
          </cell>
          <cell r="D33">
            <v>47.24</v>
          </cell>
          <cell r="E33">
            <v>0</v>
          </cell>
          <cell r="F33">
            <v>0</v>
          </cell>
          <cell r="G33">
            <v>0</v>
          </cell>
          <cell r="H33">
            <v>6425.29</v>
          </cell>
          <cell r="I33">
            <v>3541.2</v>
          </cell>
          <cell r="J33">
            <v>0</v>
          </cell>
          <cell r="K33">
            <v>2884.09</v>
          </cell>
          <cell r="L33">
            <v>44.89</v>
          </cell>
          <cell r="M33">
            <v>0.47</v>
          </cell>
        </row>
        <row r="34">
          <cell r="A34" t="str">
            <v>LUCONI</v>
          </cell>
          <cell r="B34">
            <v>47</v>
          </cell>
          <cell r="C34">
            <v>6143.24</v>
          </cell>
          <cell r="D34">
            <v>10.82</v>
          </cell>
          <cell r="E34">
            <v>0</v>
          </cell>
          <cell r="F34">
            <v>0</v>
          </cell>
          <cell r="G34">
            <v>26.7</v>
          </cell>
          <cell r="H34">
            <v>6116.54</v>
          </cell>
          <cell r="I34">
            <v>2943.77</v>
          </cell>
          <cell r="J34">
            <v>11.75</v>
          </cell>
          <cell r="K34">
            <v>3184.52</v>
          </cell>
          <cell r="L34">
            <v>51.94</v>
          </cell>
          <cell r="M34">
            <v>0.45</v>
          </cell>
        </row>
        <row r="35">
          <cell r="A35" t="str">
            <v>MULT MIX IMPORTADORA</v>
          </cell>
          <cell r="B35">
            <v>26</v>
          </cell>
          <cell r="C35">
            <v>5895.07</v>
          </cell>
          <cell r="D35">
            <v>16.420000000000002</v>
          </cell>
          <cell r="E35">
            <v>0</v>
          </cell>
          <cell r="F35">
            <v>0</v>
          </cell>
          <cell r="G35">
            <v>15.4</v>
          </cell>
          <cell r="H35">
            <v>5879.67</v>
          </cell>
          <cell r="I35">
            <v>3034.84</v>
          </cell>
          <cell r="J35">
            <v>8.09</v>
          </cell>
          <cell r="K35">
            <v>2852.92</v>
          </cell>
          <cell r="L35">
            <v>48.46</v>
          </cell>
          <cell r="M35">
            <v>0.43</v>
          </cell>
        </row>
        <row r="36">
          <cell r="A36" t="str">
            <v>LEGRAND</v>
          </cell>
          <cell r="B36">
            <v>9</v>
          </cell>
          <cell r="C36">
            <v>4836.3900000000003</v>
          </cell>
          <cell r="D36">
            <v>18.670000000000002</v>
          </cell>
          <cell r="E36">
            <v>0</v>
          </cell>
          <cell r="F36">
            <v>0</v>
          </cell>
          <cell r="G36">
            <v>133.28</v>
          </cell>
          <cell r="H36">
            <v>4703.1099999999997</v>
          </cell>
          <cell r="I36">
            <v>2957.44</v>
          </cell>
          <cell r="J36">
            <v>83.54</v>
          </cell>
          <cell r="K36">
            <v>1829.21</v>
          </cell>
          <cell r="L36">
            <v>38.49</v>
          </cell>
          <cell r="M36">
            <v>0.35</v>
          </cell>
        </row>
        <row r="37">
          <cell r="A37" t="str">
            <v>SILVANA</v>
          </cell>
          <cell r="B37">
            <v>14</v>
          </cell>
          <cell r="C37">
            <v>4745.3</v>
          </cell>
          <cell r="D37">
            <v>22.81</v>
          </cell>
          <cell r="E37">
            <v>0</v>
          </cell>
          <cell r="F37">
            <v>0</v>
          </cell>
          <cell r="G37">
            <v>0</v>
          </cell>
          <cell r="H37">
            <v>4745.3</v>
          </cell>
          <cell r="I37">
            <v>2795.25</v>
          </cell>
          <cell r="J37">
            <v>0</v>
          </cell>
          <cell r="K37">
            <v>1950.05</v>
          </cell>
          <cell r="L37">
            <v>41.09</v>
          </cell>
          <cell r="M37">
            <v>0.34</v>
          </cell>
        </row>
        <row r="38">
          <cell r="A38" t="str">
            <v>VEDACIT</v>
          </cell>
          <cell r="B38">
            <v>12</v>
          </cell>
          <cell r="C38">
            <v>4436.84</v>
          </cell>
          <cell r="D38">
            <v>59.16</v>
          </cell>
          <cell r="E38">
            <v>0</v>
          </cell>
          <cell r="F38">
            <v>0</v>
          </cell>
          <cell r="G38">
            <v>51.8</v>
          </cell>
          <cell r="H38">
            <v>4385.04</v>
          </cell>
          <cell r="I38">
            <v>2535.21</v>
          </cell>
          <cell r="J38">
            <v>29.78</v>
          </cell>
          <cell r="K38">
            <v>1879.61</v>
          </cell>
          <cell r="L38">
            <v>42.65</v>
          </cell>
          <cell r="M38">
            <v>0.32</v>
          </cell>
        </row>
        <row r="39">
          <cell r="A39" t="str">
            <v>BELLA PIA</v>
          </cell>
          <cell r="B39">
            <v>12</v>
          </cell>
          <cell r="C39">
            <v>4419.53</v>
          </cell>
          <cell r="D39">
            <v>220.98</v>
          </cell>
          <cell r="E39">
            <v>0</v>
          </cell>
          <cell r="F39">
            <v>0</v>
          </cell>
          <cell r="G39">
            <v>0</v>
          </cell>
          <cell r="H39">
            <v>4419.53</v>
          </cell>
          <cell r="I39">
            <v>2534.86</v>
          </cell>
          <cell r="J39">
            <v>0</v>
          </cell>
          <cell r="K39">
            <v>1884.67</v>
          </cell>
          <cell r="L39">
            <v>42.64</v>
          </cell>
          <cell r="M39">
            <v>0.32</v>
          </cell>
        </row>
        <row r="40">
          <cell r="A40" t="str">
            <v>MYPA</v>
          </cell>
          <cell r="B40">
            <v>17</v>
          </cell>
          <cell r="C40">
            <v>4236.2</v>
          </cell>
          <cell r="D40">
            <v>16.809999999999999</v>
          </cell>
          <cell r="E40">
            <v>0</v>
          </cell>
          <cell r="F40">
            <v>0</v>
          </cell>
          <cell r="G40">
            <v>89</v>
          </cell>
          <cell r="H40">
            <v>4147.2</v>
          </cell>
          <cell r="I40">
            <v>2410.3000000000002</v>
          </cell>
          <cell r="J40">
            <v>52.21</v>
          </cell>
          <cell r="K40">
            <v>1789.11</v>
          </cell>
          <cell r="L40">
            <v>42.76</v>
          </cell>
          <cell r="M40">
            <v>0.31</v>
          </cell>
        </row>
        <row r="41">
          <cell r="A41" t="str">
            <v>MGM</v>
          </cell>
          <cell r="B41">
            <v>7</v>
          </cell>
          <cell r="C41">
            <v>4131.5200000000004</v>
          </cell>
          <cell r="D41">
            <v>516.44000000000005</v>
          </cell>
          <cell r="E41">
            <v>0</v>
          </cell>
          <cell r="F41">
            <v>0</v>
          </cell>
          <cell r="G41">
            <v>0</v>
          </cell>
          <cell r="H41">
            <v>4131.5200000000004</v>
          </cell>
          <cell r="I41">
            <v>2490.61</v>
          </cell>
          <cell r="J41">
            <v>0</v>
          </cell>
          <cell r="K41">
            <v>1640.91</v>
          </cell>
          <cell r="L41">
            <v>39.72</v>
          </cell>
          <cell r="M41">
            <v>0.3</v>
          </cell>
        </row>
        <row r="42">
          <cell r="A42" t="str">
            <v>METALURGICA MOR S/A</v>
          </cell>
          <cell r="B42">
            <v>7</v>
          </cell>
          <cell r="C42">
            <v>4088.51</v>
          </cell>
          <cell r="D42">
            <v>80.17</v>
          </cell>
          <cell r="E42">
            <v>0</v>
          </cell>
          <cell r="F42">
            <v>0</v>
          </cell>
          <cell r="G42">
            <v>0</v>
          </cell>
          <cell r="H42">
            <v>4088.51</v>
          </cell>
          <cell r="I42">
            <v>2467.8000000000002</v>
          </cell>
          <cell r="J42">
            <v>0</v>
          </cell>
          <cell r="K42">
            <v>1620.71</v>
          </cell>
          <cell r="L42">
            <v>39.64</v>
          </cell>
          <cell r="M42">
            <v>0.3</v>
          </cell>
        </row>
        <row r="43">
          <cell r="A43" t="str">
            <v>AVANT</v>
          </cell>
          <cell r="B43">
            <v>11</v>
          </cell>
          <cell r="C43">
            <v>3705.73</v>
          </cell>
          <cell r="D43">
            <v>40.28</v>
          </cell>
          <cell r="E43">
            <v>0</v>
          </cell>
          <cell r="F43">
            <v>0</v>
          </cell>
          <cell r="G43">
            <v>9.9</v>
          </cell>
          <cell r="H43">
            <v>3695.83</v>
          </cell>
          <cell r="I43">
            <v>2301.14</v>
          </cell>
          <cell r="J43">
            <v>5.12</v>
          </cell>
          <cell r="K43">
            <v>1399.81</v>
          </cell>
          <cell r="L43">
            <v>37.83</v>
          </cell>
          <cell r="M43">
            <v>0.27</v>
          </cell>
        </row>
        <row r="44">
          <cell r="A44" t="str">
            <v>PULVITEC</v>
          </cell>
          <cell r="B44">
            <v>25</v>
          </cell>
          <cell r="C44">
            <v>3625.07</v>
          </cell>
          <cell r="D44">
            <v>9.15</v>
          </cell>
          <cell r="E44">
            <v>0</v>
          </cell>
          <cell r="F44">
            <v>0</v>
          </cell>
          <cell r="G44">
            <v>0</v>
          </cell>
          <cell r="H44">
            <v>3625.07</v>
          </cell>
          <cell r="I44">
            <v>1801.69</v>
          </cell>
          <cell r="J44">
            <v>0</v>
          </cell>
          <cell r="K44">
            <v>1823.38</v>
          </cell>
          <cell r="L44">
            <v>50.3</v>
          </cell>
          <cell r="M44">
            <v>0.26</v>
          </cell>
        </row>
        <row r="45">
          <cell r="A45" t="str">
            <v>ANAUGER</v>
          </cell>
          <cell r="B45">
            <v>4</v>
          </cell>
          <cell r="C45">
            <v>3544.73</v>
          </cell>
          <cell r="D45">
            <v>443.09</v>
          </cell>
          <cell r="E45">
            <v>0</v>
          </cell>
          <cell r="F45">
            <v>0</v>
          </cell>
          <cell r="G45">
            <v>0</v>
          </cell>
          <cell r="H45">
            <v>3544.73</v>
          </cell>
          <cell r="I45">
            <v>2478.9299999999998</v>
          </cell>
          <cell r="J45">
            <v>0</v>
          </cell>
          <cell r="K45">
            <v>1065.8</v>
          </cell>
          <cell r="L45">
            <v>30.07</v>
          </cell>
          <cell r="M45">
            <v>0.26</v>
          </cell>
        </row>
        <row r="46">
          <cell r="A46" t="str">
            <v>DOCOL METAIS</v>
          </cell>
          <cell r="B46">
            <v>13</v>
          </cell>
          <cell r="C46">
            <v>3515.03</v>
          </cell>
          <cell r="D46">
            <v>90.13</v>
          </cell>
          <cell r="E46">
            <v>0</v>
          </cell>
          <cell r="F46">
            <v>0</v>
          </cell>
          <cell r="G46">
            <v>344.95</v>
          </cell>
          <cell r="H46">
            <v>3170.08</v>
          </cell>
          <cell r="I46">
            <v>2051.7399999999998</v>
          </cell>
          <cell r="J46">
            <v>192.04</v>
          </cell>
          <cell r="K46">
            <v>1310.3800000000001</v>
          </cell>
          <cell r="L46">
            <v>39.43</v>
          </cell>
          <cell r="M46">
            <v>0.26</v>
          </cell>
        </row>
        <row r="47">
          <cell r="A47" t="str">
            <v>FRANKLIN</v>
          </cell>
          <cell r="B47">
            <v>3</v>
          </cell>
          <cell r="C47">
            <v>3218.9</v>
          </cell>
          <cell r="D47">
            <v>1072.97</v>
          </cell>
          <cell r="E47">
            <v>0</v>
          </cell>
          <cell r="F47">
            <v>0</v>
          </cell>
          <cell r="G47">
            <v>0</v>
          </cell>
          <cell r="H47">
            <v>3218.9</v>
          </cell>
          <cell r="I47">
            <v>2002.03</v>
          </cell>
          <cell r="J47">
            <v>0</v>
          </cell>
          <cell r="K47">
            <v>1216.8699999999999</v>
          </cell>
          <cell r="L47">
            <v>37.799999999999997</v>
          </cell>
          <cell r="M47">
            <v>0.23</v>
          </cell>
        </row>
        <row r="48">
          <cell r="A48" t="str">
            <v>PRECON</v>
          </cell>
          <cell r="B48">
            <v>4</v>
          </cell>
          <cell r="C48">
            <v>3027.5</v>
          </cell>
          <cell r="D48">
            <v>100.92</v>
          </cell>
          <cell r="E48">
            <v>0</v>
          </cell>
          <cell r="F48">
            <v>0</v>
          </cell>
          <cell r="G48">
            <v>568.9</v>
          </cell>
          <cell r="H48">
            <v>2458.6</v>
          </cell>
          <cell r="I48">
            <v>1918.96</v>
          </cell>
          <cell r="J48">
            <v>357.8</v>
          </cell>
          <cell r="K48">
            <v>897.44</v>
          </cell>
          <cell r="L48">
            <v>33.619999999999997</v>
          </cell>
          <cell r="M48">
            <v>0.22</v>
          </cell>
        </row>
        <row r="49">
          <cell r="A49" t="str">
            <v>BOTAFOGO</v>
          </cell>
          <cell r="B49">
            <v>2</v>
          </cell>
          <cell r="C49">
            <v>2907</v>
          </cell>
          <cell r="D49">
            <v>969</v>
          </cell>
          <cell r="E49">
            <v>0</v>
          </cell>
          <cell r="F49">
            <v>0</v>
          </cell>
          <cell r="G49">
            <v>819</v>
          </cell>
          <cell r="H49">
            <v>2088</v>
          </cell>
          <cell r="I49">
            <v>1784.27</v>
          </cell>
          <cell r="J49">
            <v>462.43</v>
          </cell>
          <cell r="K49">
            <v>766.16</v>
          </cell>
          <cell r="L49">
            <v>31.34</v>
          </cell>
          <cell r="M49">
            <v>0.21</v>
          </cell>
        </row>
        <row r="50">
          <cell r="A50" t="str">
            <v>NORTON</v>
          </cell>
          <cell r="B50">
            <v>19</v>
          </cell>
          <cell r="C50">
            <v>2771.43</v>
          </cell>
          <cell r="D50">
            <v>2.69</v>
          </cell>
          <cell r="E50">
            <v>0</v>
          </cell>
          <cell r="F50">
            <v>0</v>
          </cell>
          <cell r="G50">
            <v>1.35</v>
          </cell>
          <cell r="H50">
            <v>2770.08</v>
          </cell>
          <cell r="I50">
            <v>1426.92</v>
          </cell>
          <cell r="J50">
            <v>0.77</v>
          </cell>
          <cell r="K50">
            <v>1343.93</v>
          </cell>
          <cell r="L50">
            <v>48.51</v>
          </cell>
          <cell r="M50">
            <v>0.2</v>
          </cell>
        </row>
        <row r="51">
          <cell r="A51" t="str">
            <v>PLASTMAR IND E COM</v>
          </cell>
          <cell r="B51">
            <v>4</v>
          </cell>
          <cell r="C51">
            <v>2469.6</v>
          </cell>
          <cell r="D51">
            <v>48.42</v>
          </cell>
          <cell r="E51">
            <v>0</v>
          </cell>
          <cell r="F51">
            <v>0</v>
          </cell>
          <cell r="G51">
            <v>0</v>
          </cell>
          <cell r="H51">
            <v>2469.6</v>
          </cell>
          <cell r="I51">
            <v>1431.3</v>
          </cell>
          <cell r="J51">
            <v>0</v>
          </cell>
          <cell r="K51">
            <v>1038.3</v>
          </cell>
          <cell r="L51">
            <v>42.04</v>
          </cell>
          <cell r="M51">
            <v>0.18</v>
          </cell>
        </row>
        <row r="52">
          <cell r="A52" t="str">
            <v>KRONA</v>
          </cell>
          <cell r="B52">
            <v>16</v>
          </cell>
          <cell r="C52">
            <v>2353.77</v>
          </cell>
          <cell r="D52">
            <v>5.86</v>
          </cell>
          <cell r="E52">
            <v>0</v>
          </cell>
          <cell r="F52">
            <v>0</v>
          </cell>
          <cell r="G52">
            <v>93.79</v>
          </cell>
          <cell r="H52">
            <v>2259.98</v>
          </cell>
          <cell r="I52">
            <v>1344.33</v>
          </cell>
          <cell r="J52">
            <v>60.78</v>
          </cell>
          <cell r="K52">
            <v>976.43</v>
          </cell>
          <cell r="L52">
            <v>42.58</v>
          </cell>
          <cell r="M52">
            <v>0.17</v>
          </cell>
        </row>
        <row r="53">
          <cell r="A53" t="str">
            <v>TAF</v>
          </cell>
          <cell r="B53">
            <v>9</v>
          </cell>
          <cell r="C53">
            <v>2058.69</v>
          </cell>
          <cell r="D53">
            <v>19.989999999999998</v>
          </cell>
          <cell r="E53">
            <v>0</v>
          </cell>
          <cell r="F53">
            <v>0</v>
          </cell>
          <cell r="G53">
            <v>0</v>
          </cell>
          <cell r="H53">
            <v>2058.69</v>
          </cell>
          <cell r="I53">
            <v>1158.4000000000001</v>
          </cell>
          <cell r="J53">
            <v>0</v>
          </cell>
          <cell r="K53">
            <v>900.29</v>
          </cell>
          <cell r="L53">
            <v>43.73</v>
          </cell>
          <cell r="M53">
            <v>0.15</v>
          </cell>
        </row>
        <row r="54">
          <cell r="A54" t="str">
            <v>ELIZABETH PORC.</v>
          </cell>
          <cell r="B54">
            <v>1</v>
          </cell>
          <cell r="C54">
            <v>2045.3076000000001</v>
          </cell>
          <cell r="D54">
            <v>53.15</v>
          </cell>
          <cell r="E54">
            <v>0</v>
          </cell>
          <cell r="F54">
            <v>0</v>
          </cell>
          <cell r="G54">
            <v>0</v>
          </cell>
          <cell r="H54">
            <v>2045.3076000000001</v>
          </cell>
          <cell r="I54">
            <v>1232.7752</v>
          </cell>
          <cell r="J54">
            <v>0</v>
          </cell>
          <cell r="K54">
            <v>812.53240000000005</v>
          </cell>
          <cell r="L54">
            <v>39.729999999999997</v>
          </cell>
          <cell r="M54">
            <v>0.15</v>
          </cell>
        </row>
        <row r="55">
          <cell r="A55" t="str">
            <v>BRASFORMA</v>
          </cell>
          <cell r="B55">
            <v>4</v>
          </cell>
          <cell r="C55">
            <v>2038.88</v>
          </cell>
          <cell r="D55">
            <v>41.61</v>
          </cell>
          <cell r="E55">
            <v>0</v>
          </cell>
          <cell r="F55">
            <v>0</v>
          </cell>
          <cell r="G55">
            <v>0</v>
          </cell>
          <cell r="H55">
            <v>2038.88</v>
          </cell>
          <cell r="I55">
            <v>1234.07</v>
          </cell>
          <cell r="J55">
            <v>0</v>
          </cell>
          <cell r="K55">
            <v>804.81</v>
          </cell>
          <cell r="L55">
            <v>39.47</v>
          </cell>
          <cell r="M55">
            <v>0.15</v>
          </cell>
        </row>
        <row r="56">
          <cell r="A56" t="str">
            <v>BOGNAR</v>
          </cell>
          <cell r="B56">
            <v>13</v>
          </cell>
          <cell r="C56">
            <v>1939.03</v>
          </cell>
          <cell r="D56">
            <v>49.72</v>
          </cell>
          <cell r="E56">
            <v>0</v>
          </cell>
          <cell r="F56">
            <v>0</v>
          </cell>
          <cell r="G56">
            <v>0</v>
          </cell>
          <cell r="H56">
            <v>1939.03</v>
          </cell>
          <cell r="I56">
            <v>1362.4</v>
          </cell>
          <cell r="J56">
            <v>0</v>
          </cell>
          <cell r="K56">
            <v>576.63</v>
          </cell>
          <cell r="L56">
            <v>29.74</v>
          </cell>
          <cell r="M56">
            <v>0.14000000000000001</v>
          </cell>
        </row>
        <row r="57">
          <cell r="A57" t="str">
            <v>BEMFIXA</v>
          </cell>
          <cell r="B57">
            <v>6</v>
          </cell>
          <cell r="C57">
            <v>1854.35</v>
          </cell>
          <cell r="D57">
            <v>13.74</v>
          </cell>
          <cell r="E57">
            <v>0</v>
          </cell>
          <cell r="F57">
            <v>0</v>
          </cell>
          <cell r="G57">
            <v>9.6</v>
          </cell>
          <cell r="H57">
            <v>1844.75</v>
          </cell>
          <cell r="I57">
            <v>1099.9100000000001</v>
          </cell>
          <cell r="J57">
            <v>5.21</v>
          </cell>
          <cell r="K57">
            <v>750.05</v>
          </cell>
          <cell r="L57">
            <v>40.56</v>
          </cell>
          <cell r="M57">
            <v>0.13</v>
          </cell>
        </row>
        <row r="58">
          <cell r="A58" t="str">
            <v>TOP MIX</v>
          </cell>
          <cell r="B58">
            <v>1</v>
          </cell>
          <cell r="C58">
            <v>1799.35</v>
          </cell>
          <cell r="D58">
            <v>899.68</v>
          </cell>
          <cell r="E58">
            <v>0</v>
          </cell>
          <cell r="F58">
            <v>0</v>
          </cell>
          <cell r="G58">
            <v>0</v>
          </cell>
          <cell r="H58">
            <v>1799.35</v>
          </cell>
          <cell r="I58">
            <v>827.4</v>
          </cell>
          <cell r="J58">
            <v>0</v>
          </cell>
          <cell r="K58">
            <v>971.95</v>
          </cell>
          <cell r="L58">
            <v>54.02</v>
          </cell>
          <cell r="M58">
            <v>0.13</v>
          </cell>
        </row>
        <row r="59">
          <cell r="A59" t="str">
            <v>REALLE</v>
          </cell>
          <cell r="B59">
            <v>2</v>
          </cell>
          <cell r="C59">
            <v>1786.482</v>
          </cell>
          <cell r="D59">
            <v>34.82</v>
          </cell>
          <cell r="E59">
            <v>0</v>
          </cell>
          <cell r="F59">
            <v>0</v>
          </cell>
          <cell r="G59">
            <v>0</v>
          </cell>
          <cell r="H59">
            <v>1786.482</v>
          </cell>
          <cell r="I59">
            <v>1100.3579999999999</v>
          </cell>
          <cell r="J59">
            <v>0</v>
          </cell>
          <cell r="K59">
            <v>686.12400000000002</v>
          </cell>
          <cell r="L59">
            <v>38.409999999999997</v>
          </cell>
          <cell r="M59">
            <v>0.13</v>
          </cell>
        </row>
        <row r="60">
          <cell r="A60" t="str">
            <v>SECALUX</v>
          </cell>
          <cell r="B60">
            <v>2</v>
          </cell>
          <cell r="C60">
            <v>1697.3</v>
          </cell>
          <cell r="D60">
            <v>80.819999999999993</v>
          </cell>
          <cell r="E60">
            <v>0</v>
          </cell>
          <cell r="F60">
            <v>0</v>
          </cell>
          <cell r="G60">
            <v>92.9</v>
          </cell>
          <cell r="H60">
            <v>1604.4</v>
          </cell>
          <cell r="I60">
            <v>1072.1099999999999</v>
          </cell>
          <cell r="J60">
            <v>60.05</v>
          </cell>
          <cell r="K60">
            <v>592.34</v>
          </cell>
          <cell r="L60">
            <v>36.18</v>
          </cell>
          <cell r="M60">
            <v>0.12</v>
          </cell>
        </row>
        <row r="61">
          <cell r="A61" t="str">
            <v>METALOSA</v>
          </cell>
          <cell r="B61">
            <v>3</v>
          </cell>
          <cell r="C61">
            <v>1678.85</v>
          </cell>
          <cell r="D61">
            <v>186.54</v>
          </cell>
          <cell r="E61">
            <v>0</v>
          </cell>
          <cell r="F61">
            <v>0</v>
          </cell>
          <cell r="G61">
            <v>0</v>
          </cell>
          <cell r="H61">
            <v>1678.85</v>
          </cell>
          <cell r="I61">
            <v>946.42</v>
          </cell>
          <cell r="J61">
            <v>0</v>
          </cell>
          <cell r="K61">
            <v>732.43</v>
          </cell>
          <cell r="L61">
            <v>43.63</v>
          </cell>
          <cell r="M61">
            <v>0.12</v>
          </cell>
        </row>
        <row r="62">
          <cell r="A62" t="str">
            <v>EXATRON</v>
          </cell>
          <cell r="B62">
            <v>6</v>
          </cell>
          <cell r="C62">
            <v>1649.43</v>
          </cell>
          <cell r="D62">
            <v>40.229999999999997</v>
          </cell>
          <cell r="E62">
            <v>0</v>
          </cell>
          <cell r="F62">
            <v>0</v>
          </cell>
          <cell r="G62">
            <v>0</v>
          </cell>
          <cell r="H62">
            <v>1649.43</v>
          </cell>
          <cell r="I62">
            <v>974.87</v>
          </cell>
          <cell r="J62">
            <v>0</v>
          </cell>
          <cell r="K62">
            <v>674.56</v>
          </cell>
          <cell r="L62">
            <v>40.9</v>
          </cell>
          <cell r="M62">
            <v>0.12</v>
          </cell>
        </row>
        <row r="63">
          <cell r="A63" t="str">
            <v>ASTRA</v>
          </cell>
          <cell r="B63">
            <v>17</v>
          </cell>
          <cell r="C63">
            <v>1613.61</v>
          </cell>
          <cell r="D63">
            <v>18.760000000000002</v>
          </cell>
          <cell r="E63">
            <v>0</v>
          </cell>
          <cell r="F63">
            <v>0</v>
          </cell>
          <cell r="G63">
            <v>7.5</v>
          </cell>
          <cell r="H63">
            <v>1606.11</v>
          </cell>
          <cell r="I63">
            <v>867.02</v>
          </cell>
          <cell r="J63">
            <v>2.76</v>
          </cell>
          <cell r="K63">
            <v>741.85</v>
          </cell>
          <cell r="L63">
            <v>46.05</v>
          </cell>
          <cell r="M63">
            <v>0.12</v>
          </cell>
        </row>
        <row r="64">
          <cell r="A64" t="str">
            <v>ORBI QUIMICA LTDA</v>
          </cell>
          <cell r="B64">
            <v>7</v>
          </cell>
          <cell r="C64">
            <v>1595.79</v>
          </cell>
          <cell r="D64">
            <v>18.34</v>
          </cell>
          <cell r="E64">
            <v>0</v>
          </cell>
          <cell r="F64">
            <v>0</v>
          </cell>
          <cell r="G64">
            <v>53.8</v>
          </cell>
          <cell r="H64">
            <v>1541.99</v>
          </cell>
          <cell r="I64">
            <v>770.19</v>
          </cell>
          <cell r="J64">
            <v>23.38</v>
          </cell>
          <cell r="K64">
            <v>795.18</v>
          </cell>
          <cell r="L64">
            <v>50.57</v>
          </cell>
          <cell r="M64">
            <v>0.12</v>
          </cell>
        </row>
        <row r="65">
          <cell r="A65" t="str">
            <v>ADERE</v>
          </cell>
          <cell r="B65">
            <v>13</v>
          </cell>
          <cell r="C65">
            <v>1594.3</v>
          </cell>
          <cell r="D65">
            <v>10.7</v>
          </cell>
          <cell r="E65">
            <v>0</v>
          </cell>
          <cell r="F65">
            <v>0</v>
          </cell>
          <cell r="G65">
            <v>0</v>
          </cell>
          <cell r="H65">
            <v>1594.3</v>
          </cell>
          <cell r="I65">
            <v>988.68</v>
          </cell>
          <cell r="J65">
            <v>0</v>
          </cell>
          <cell r="K65">
            <v>605.62</v>
          </cell>
          <cell r="L65">
            <v>37.99</v>
          </cell>
          <cell r="M65">
            <v>0.12</v>
          </cell>
        </row>
        <row r="66">
          <cell r="A66" t="str">
            <v>PRATEFIX</v>
          </cell>
          <cell r="B66">
            <v>8</v>
          </cell>
          <cell r="C66">
            <v>1582.35</v>
          </cell>
          <cell r="D66">
            <v>35.159999999999997</v>
          </cell>
          <cell r="E66">
            <v>0</v>
          </cell>
          <cell r="F66">
            <v>0</v>
          </cell>
          <cell r="G66">
            <v>0</v>
          </cell>
          <cell r="H66">
            <v>1582.35</v>
          </cell>
          <cell r="I66">
            <v>852.85</v>
          </cell>
          <cell r="J66">
            <v>0</v>
          </cell>
          <cell r="K66">
            <v>729.5</v>
          </cell>
          <cell r="L66">
            <v>46.1</v>
          </cell>
          <cell r="M66">
            <v>0.11</v>
          </cell>
        </row>
        <row r="67">
          <cell r="A67" t="str">
            <v>CENSI</v>
          </cell>
          <cell r="B67">
            <v>8</v>
          </cell>
          <cell r="C67">
            <v>1545.56</v>
          </cell>
          <cell r="D67">
            <v>35.130000000000003</v>
          </cell>
          <cell r="E67">
            <v>0</v>
          </cell>
          <cell r="F67">
            <v>0</v>
          </cell>
          <cell r="G67">
            <v>60.4</v>
          </cell>
          <cell r="H67">
            <v>1485.16</v>
          </cell>
          <cell r="I67">
            <v>931.95</v>
          </cell>
          <cell r="J67">
            <v>37.229999999999997</v>
          </cell>
          <cell r="K67">
            <v>590.44000000000005</v>
          </cell>
          <cell r="L67">
            <v>39.15</v>
          </cell>
          <cell r="M67">
            <v>0.11</v>
          </cell>
        </row>
        <row r="68">
          <cell r="A68" t="str">
            <v>TRAMONTINA NORDESTE</v>
          </cell>
          <cell r="B68">
            <v>4</v>
          </cell>
          <cell r="C68">
            <v>1410.61</v>
          </cell>
          <cell r="D68">
            <v>176.33</v>
          </cell>
          <cell r="E68">
            <v>0</v>
          </cell>
          <cell r="F68">
            <v>0</v>
          </cell>
          <cell r="G68">
            <v>0</v>
          </cell>
          <cell r="H68">
            <v>1410.61</v>
          </cell>
          <cell r="I68">
            <v>938.09</v>
          </cell>
          <cell r="J68">
            <v>0</v>
          </cell>
          <cell r="K68">
            <v>472.52</v>
          </cell>
          <cell r="L68">
            <v>33.5</v>
          </cell>
          <cell r="M68">
            <v>0.1</v>
          </cell>
        </row>
        <row r="69">
          <cell r="A69" t="str">
            <v>PRATIMIX</v>
          </cell>
          <cell r="B69">
            <v>15</v>
          </cell>
          <cell r="C69">
            <v>1395.23</v>
          </cell>
          <cell r="D69">
            <v>10.73</v>
          </cell>
          <cell r="E69">
            <v>0</v>
          </cell>
          <cell r="F69">
            <v>0</v>
          </cell>
          <cell r="G69">
            <v>61.094999999999999</v>
          </cell>
          <cell r="H69">
            <v>1334.135</v>
          </cell>
          <cell r="I69">
            <v>800.86</v>
          </cell>
          <cell r="J69">
            <v>36.28</v>
          </cell>
          <cell r="K69">
            <v>569.55499999999995</v>
          </cell>
          <cell r="L69">
            <v>41.91</v>
          </cell>
          <cell r="M69">
            <v>0.1</v>
          </cell>
        </row>
        <row r="70">
          <cell r="A70" t="str">
            <v>HERC</v>
          </cell>
          <cell r="B70">
            <v>11</v>
          </cell>
          <cell r="C70">
            <v>1393.13</v>
          </cell>
          <cell r="D70">
            <v>25.8</v>
          </cell>
          <cell r="E70">
            <v>0</v>
          </cell>
          <cell r="F70">
            <v>0</v>
          </cell>
          <cell r="G70">
            <v>0</v>
          </cell>
          <cell r="H70">
            <v>1393.13</v>
          </cell>
          <cell r="I70">
            <v>787.79</v>
          </cell>
          <cell r="J70">
            <v>0</v>
          </cell>
          <cell r="K70">
            <v>605.34</v>
          </cell>
          <cell r="L70">
            <v>43.45</v>
          </cell>
          <cell r="M70">
            <v>0.1</v>
          </cell>
        </row>
        <row r="71">
          <cell r="A71" t="str">
            <v>NORCOLA</v>
          </cell>
          <cell r="B71">
            <v>2</v>
          </cell>
          <cell r="C71">
            <v>1372.9</v>
          </cell>
          <cell r="D71">
            <v>457.63</v>
          </cell>
          <cell r="E71">
            <v>0</v>
          </cell>
          <cell r="F71">
            <v>0</v>
          </cell>
          <cell r="G71">
            <v>0</v>
          </cell>
          <cell r="H71">
            <v>1372.9</v>
          </cell>
          <cell r="I71">
            <v>996.9</v>
          </cell>
          <cell r="J71">
            <v>0</v>
          </cell>
          <cell r="K71">
            <v>376</v>
          </cell>
          <cell r="L71">
            <v>27.39</v>
          </cell>
          <cell r="M71">
            <v>0.1</v>
          </cell>
        </row>
        <row r="72">
          <cell r="A72" t="str">
            <v>CERBRAS</v>
          </cell>
          <cell r="B72">
            <v>4</v>
          </cell>
          <cell r="C72">
            <v>1302.6295</v>
          </cell>
          <cell r="D72">
            <v>43.2</v>
          </cell>
          <cell r="E72">
            <v>0</v>
          </cell>
          <cell r="F72">
            <v>0</v>
          </cell>
          <cell r="G72">
            <v>0</v>
          </cell>
          <cell r="H72">
            <v>1302.6295</v>
          </cell>
          <cell r="I72">
            <v>1284.2405000000001</v>
          </cell>
          <cell r="J72">
            <v>0</v>
          </cell>
          <cell r="K72">
            <v>18.388999999999999</v>
          </cell>
          <cell r="L72">
            <v>1.41</v>
          </cell>
          <cell r="M72">
            <v>0.09</v>
          </cell>
        </row>
        <row r="73">
          <cell r="A73" t="str">
            <v>CORTAG</v>
          </cell>
          <cell r="B73">
            <v>15</v>
          </cell>
          <cell r="C73">
            <v>1205.74</v>
          </cell>
          <cell r="D73">
            <v>11.82</v>
          </cell>
          <cell r="E73">
            <v>0</v>
          </cell>
          <cell r="F73">
            <v>0</v>
          </cell>
          <cell r="G73">
            <v>13.2</v>
          </cell>
          <cell r="H73">
            <v>1192.54</v>
          </cell>
          <cell r="I73">
            <v>661.48</v>
          </cell>
          <cell r="J73">
            <v>6.89</v>
          </cell>
          <cell r="K73">
            <v>537.95000000000005</v>
          </cell>
          <cell r="L73">
            <v>44.87</v>
          </cell>
          <cell r="M73">
            <v>0.09</v>
          </cell>
        </row>
        <row r="74">
          <cell r="A74" t="str">
            <v>Momfort</v>
          </cell>
          <cell r="B74">
            <v>6</v>
          </cell>
          <cell r="C74">
            <v>1184.6600000000001</v>
          </cell>
          <cell r="D74">
            <v>29.62</v>
          </cell>
          <cell r="E74">
            <v>0</v>
          </cell>
          <cell r="F74">
            <v>0</v>
          </cell>
          <cell r="G74">
            <v>39.9</v>
          </cell>
          <cell r="H74">
            <v>1144.76</v>
          </cell>
          <cell r="I74">
            <v>633.59</v>
          </cell>
          <cell r="J74">
            <v>18.16</v>
          </cell>
          <cell r="K74">
            <v>529.33000000000004</v>
          </cell>
          <cell r="L74">
            <v>45.38</v>
          </cell>
          <cell r="M74">
            <v>0.09</v>
          </cell>
        </row>
        <row r="75">
          <cell r="A75" t="str">
            <v>J LOBATO</v>
          </cell>
          <cell r="B75">
            <v>4</v>
          </cell>
          <cell r="C75">
            <v>1160.8</v>
          </cell>
          <cell r="D75">
            <v>22.32</v>
          </cell>
          <cell r="E75">
            <v>0</v>
          </cell>
          <cell r="F75">
            <v>0</v>
          </cell>
          <cell r="G75">
            <v>0</v>
          </cell>
          <cell r="H75">
            <v>1160.8</v>
          </cell>
          <cell r="I75">
            <v>530.53</v>
          </cell>
          <cell r="J75">
            <v>0</v>
          </cell>
          <cell r="K75">
            <v>630.27</v>
          </cell>
          <cell r="L75">
            <v>54.3</v>
          </cell>
          <cell r="M75">
            <v>0.08</v>
          </cell>
        </row>
        <row r="76">
          <cell r="A76" t="str">
            <v>MARLUVAS</v>
          </cell>
          <cell r="B76">
            <v>3</v>
          </cell>
          <cell r="C76">
            <v>1095.5</v>
          </cell>
          <cell r="D76">
            <v>73.03</v>
          </cell>
          <cell r="E76">
            <v>0</v>
          </cell>
          <cell r="F76">
            <v>0</v>
          </cell>
          <cell r="G76">
            <v>0</v>
          </cell>
          <cell r="H76">
            <v>1095.5</v>
          </cell>
          <cell r="I76">
            <v>632.51</v>
          </cell>
          <cell r="J76">
            <v>0</v>
          </cell>
          <cell r="K76">
            <v>462.99</v>
          </cell>
          <cell r="L76">
            <v>42.26</v>
          </cell>
          <cell r="M76">
            <v>0.08</v>
          </cell>
        </row>
        <row r="77">
          <cell r="A77" t="str">
            <v>BOSCH</v>
          </cell>
          <cell r="B77">
            <v>2</v>
          </cell>
          <cell r="C77">
            <v>976.8</v>
          </cell>
          <cell r="D77">
            <v>488.4</v>
          </cell>
          <cell r="E77">
            <v>0</v>
          </cell>
          <cell r="F77">
            <v>0</v>
          </cell>
          <cell r="G77">
            <v>0</v>
          </cell>
          <cell r="H77">
            <v>976.8</v>
          </cell>
          <cell r="I77">
            <v>634.36</v>
          </cell>
          <cell r="J77">
            <v>0</v>
          </cell>
          <cell r="K77">
            <v>342.44</v>
          </cell>
          <cell r="L77">
            <v>35.06</v>
          </cell>
          <cell r="M77">
            <v>7.0000000000000007E-2</v>
          </cell>
        </row>
        <row r="78">
          <cell r="A78" t="str">
            <v>ILUMI</v>
          </cell>
          <cell r="B78">
            <v>6</v>
          </cell>
          <cell r="C78">
            <v>910.23</v>
          </cell>
          <cell r="D78">
            <v>24.6</v>
          </cell>
          <cell r="E78">
            <v>0</v>
          </cell>
          <cell r="F78">
            <v>0</v>
          </cell>
          <cell r="G78">
            <v>38.6</v>
          </cell>
          <cell r="H78">
            <v>871.63</v>
          </cell>
          <cell r="I78">
            <v>497.78</v>
          </cell>
          <cell r="J78">
            <v>20.13</v>
          </cell>
          <cell r="K78">
            <v>393.98</v>
          </cell>
          <cell r="L78">
            <v>44.26</v>
          </cell>
          <cell r="M78">
            <v>7.0000000000000007E-2</v>
          </cell>
        </row>
        <row r="79">
          <cell r="A79" t="str">
            <v>COZIMAX</v>
          </cell>
          <cell r="B79">
            <v>5</v>
          </cell>
          <cell r="C79">
            <v>771.4</v>
          </cell>
          <cell r="D79">
            <v>128.57</v>
          </cell>
          <cell r="E79">
            <v>0</v>
          </cell>
          <cell r="F79">
            <v>0</v>
          </cell>
          <cell r="G79">
            <v>0</v>
          </cell>
          <cell r="H79">
            <v>771.4</v>
          </cell>
          <cell r="I79">
            <v>432.7</v>
          </cell>
          <cell r="J79">
            <v>0</v>
          </cell>
          <cell r="K79">
            <v>338.7</v>
          </cell>
          <cell r="L79">
            <v>43.91</v>
          </cell>
          <cell r="M79">
            <v>0.06</v>
          </cell>
        </row>
        <row r="80">
          <cell r="A80" t="str">
            <v>VONDER</v>
          </cell>
          <cell r="B80">
            <v>4</v>
          </cell>
          <cell r="C80">
            <v>725.61</v>
          </cell>
          <cell r="D80">
            <v>42.68</v>
          </cell>
          <cell r="E80">
            <v>0</v>
          </cell>
          <cell r="F80">
            <v>0</v>
          </cell>
          <cell r="G80">
            <v>0</v>
          </cell>
          <cell r="H80">
            <v>725.61</v>
          </cell>
          <cell r="I80">
            <v>430.17</v>
          </cell>
          <cell r="J80">
            <v>0</v>
          </cell>
          <cell r="K80">
            <v>295.44</v>
          </cell>
          <cell r="L80">
            <v>40.72</v>
          </cell>
          <cell r="M80">
            <v>0.05</v>
          </cell>
        </row>
        <row r="81">
          <cell r="A81" t="str">
            <v>TRAMONTINA</v>
          </cell>
          <cell r="B81">
            <v>4</v>
          </cell>
          <cell r="C81">
            <v>725.39</v>
          </cell>
          <cell r="D81">
            <v>45.34</v>
          </cell>
          <cell r="E81">
            <v>0</v>
          </cell>
          <cell r="F81">
            <v>0</v>
          </cell>
          <cell r="G81">
            <v>0</v>
          </cell>
          <cell r="H81">
            <v>725.39</v>
          </cell>
          <cell r="I81">
            <v>433.31</v>
          </cell>
          <cell r="J81">
            <v>0</v>
          </cell>
          <cell r="K81">
            <v>292.08</v>
          </cell>
          <cell r="L81">
            <v>40.270000000000003</v>
          </cell>
          <cell r="M81">
            <v>0.05</v>
          </cell>
        </row>
        <row r="82">
          <cell r="A82" t="str">
            <v>PORTO RICO</v>
          </cell>
          <cell r="B82">
            <v>2</v>
          </cell>
          <cell r="C82">
            <v>717.6</v>
          </cell>
          <cell r="D82">
            <v>25.63</v>
          </cell>
          <cell r="E82">
            <v>0</v>
          </cell>
          <cell r="F82">
            <v>0</v>
          </cell>
          <cell r="G82">
            <v>0</v>
          </cell>
          <cell r="H82">
            <v>717.6</v>
          </cell>
          <cell r="I82">
            <v>481.6</v>
          </cell>
          <cell r="J82">
            <v>0</v>
          </cell>
          <cell r="K82">
            <v>236</v>
          </cell>
          <cell r="L82">
            <v>32.89</v>
          </cell>
          <cell r="M82">
            <v>0.05</v>
          </cell>
        </row>
        <row r="83">
          <cell r="A83" t="str">
            <v>PINTSILK</v>
          </cell>
          <cell r="B83">
            <v>2</v>
          </cell>
          <cell r="C83">
            <v>688.6</v>
          </cell>
          <cell r="D83">
            <v>137.72</v>
          </cell>
          <cell r="E83">
            <v>0</v>
          </cell>
          <cell r="F83">
            <v>0</v>
          </cell>
          <cell r="G83">
            <v>51.9</v>
          </cell>
          <cell r="H83">
            <v>636.70000000000005</v>
          </cell>
          <cell r="I83">
            <v>375.04</v>
          </cell>
          <cell r="J83">
            <v>25.96</v>
          </cell>
          <cell r="K83">
            <v>287.62</v>
          </cell>
          <cell r="L83">
            <v>43.41</v>
          </cell>
          <cell r="M83">
            <v>0.05</v>
          </cell>
        </row>
        <row r="84">
          <cell r="A84" t="str">
            <v>ULTRA CLEAN</v>
          </cell>
          <cell r="B84">
            <v>5</v>
          </cell>
          <cell r="C84">
            <v>679.9</v>
          </cell>
          <cell r="D84">
            <v>21.93</v>
          </cell>
          <cell r="E84">
            <v>0</v>
          </cell>
          <cell r="F84">
            <v>0</v>
          </cell>
          <cell r="G84">
            <v>0</v>
          </cell>
          <cell r="H84">
            <v>679.9</v>
          </cell>
          <cell r="I84">
            <v>427.36</v>
          </cell>
          <cell r="J84">
            <v>0</v>
          </cell>
          <cell r="K84">
            <v>252.54</v>
          </cell>
          <cell r="L84">
            <v>37.14</v>
          </cell>
          <cell r="M84">
            <v>0.05</v>
          </cell>
        </row>
        <row r="85">
          <cell r="A85" t="str">
            <v>Max-Giro</v>
          </cell>
          <cell r="B85">
            <v>5</v>
          </cell>
          <cell r="C85">
            <v>591.19000000000005</v>
          </cell>
          <cell r="D85">
            <v>11.37</v>
          </cell>
          <cell r="E85">
            <v>0</v>
          </cell>
          <cell r="F85">
            <v>0</v>
          </cell>
          <cell r="G85">
            <v>16.899999999999999</v>
          </cell>
          <cell r="H85">
            <v>574.29</v>
          </cell>
          <cell r="I85">
            <v>323.32</v>
          </cell>
          <cell r="J85">
            <v>7.96</v>
          </cell>
          <cell r="K85">
            <v>258.93</v>
          </cell>
          <cell r="L85">
            <v>44.4</v>
          </cell>
          <cell r="M85">
            <v>0.04</v>
          </cell>
        </row>
        <row r="86">
          <cell r="A86" t="str">
            <v>HIDRACOR</v>
          </cell>
          <cell r="B86">
            <v>7</v>
          </cell>
          <cell r="C86">
            <v>568.44000000000005</v>
          </cell>
          <cell r="D86">
            <v>3.89</v>
          </cell>
          <cell r="E86">
            <v>0</v>
          </cell>
          <cell r="F86">
            <v>0</v>
          </cell>
          <cell r="G86">
            <v>7.8</v>
          </cell>
          <cell r="H86">
            <v>560.64</v>
          </cell>
          <cell r="I86">
            <v>213.47</v>
          </cell>
          <cell r="J86">
            <v>2.92</v>
          </cell>
          <cell r="K86">
            <v>350.09</v>
          </cell>
          <cell r="L86">
            <v>61.91</v>
          </cell>
          <cell r="M86">
            <v>0.04</v>
          </cell>
        </row>
        <row r="87">
          <cell r="A87" t="str">
            <v>PADRAO FORTE</v>
          </cell>
          <cell r="B87">
            <v>2</v>
          </cell>
          <cell r="C87">
            <v>563.83000000000004</v>
          </cell>
          <cell r="D87">
            <v>93.97</v>
          </cell>
          <cell r="E87">
            <v>0</v>
          </cell>
          <cell r="F87">
            <v>0</v>
          </cell>
          <cell r="G87">
            <v>0</v>
          </cell>
          <cell r="H87">
            <v>563.83000000000004</v>
          </cell>
          <cell r="I87">
            <v>334.56</v>
          </cell>
          <cell r="J87">
            <v>0</v>
          </cell>
          <cell r="K87">
            <v>229.27</v>
          </cell>
          <cell r="L87">
            <v>40.659999999999997</v>
          </cell>
          <cell r="M87">
            <v>0.04</v>
          </cell>
        </row>
        <row r="88">
          <cell r="A88" t="str">
            <v>GERDAU</v>
          </cell>
          <cell r="B88">
            <v>3</v>
          </cell>
          <cell r="C88">
            <v>479.45</v>
          </cell>
          <cell r="D88">
            <v>26.64</v>
          </cell>
          <cell r="E88">
            <v>0</v>
          </cell>
          <cell r="F88">
            <v>0</v>
          </cell>
          <cell r="G88">
            <v>0</v>
          </cell>
          <cell r="H88">
            <v>479.45</v>
          </cell>
          <cell r="I88">
            <v>250.41</v>
          </cell>
          <cell r="J88">
            <v>0</v>
          </cell>
          <cell r="K88">
            <v>229.04</v>
          </cell>
          <cell r="L88">
            <v>47.77</v>
          </cell>
          <cell r="M88">
            <v>0.03</v>
          </cell>
        </row>
        <row r="89">
          <cell r="A89" t="str">
            <v>EXTRALUZ</v>
          </cell>
          <cell r="B89">
            <v>3</v>
          </cell>
          <cell r="C89">
            <v>462.8</v>
          </cell>
          <cell r="D89">
            <v>27.22</v>
          </cell>
          <cell r="E89">
            <v>0</v>
          </cell>
          <cell r="F89">
            <v>0</v>
          </cell>
          <cell r="G89">
            <v>0</v>
          </cell>
          <cell r="H89">
            <v>462.8</v>
          </cell>
          <cell r="I89">
            <v>273.39</v>
          </cell>
          <cell r="J89">
            <v>0</v>
          </cell>
          <cell r="K89">
            <v>189.41</v>
          </cell>
          <cell r="L89">
            <v>40.93</v>
          </cell>
          <cell r="M89">
            <v>0.03</v>
          </cell>
        </row>
        <row r="90">
          <cell r="A90" t="str">
            <v>ALIANÇA</v>
          </cell>
          <cell r="B90">
            <v>2</v>
          </cell>
          <cell r="C90">
            <v>444.3</v>
          </cell>
          <cell r="D90">
            <v>63.47</v>
          </cell>
          <cell r="E90">
            <v>0</v>
          </cell>
          <cell r="F90">
            <v>0</v>
          </cell>
          <cell r="G90">
            <v>0</v>
          </cell>
          <cell r="H90">
            <v>444.3</v>
          </cell>
          <cell r="I90">
            <v>273.7</v>
          </cell>
          <cell r="J90">
            <v>0</v>
          </cell>
          <cell r="K90">
            <v>170.6</v>
          </cell>
          <cell r="L90">
            <v>38.4</v>
          </cell>
          <cell r="M90">
            <v>0.03</v>
          </cell>
        </row>
        <row r="91">
          <cell r="A91" t="str">
            <v>ULTRACLEAN</v>
          </cell>
          <cell r="B91">
            <v>6</v>
          </cell>
          <cell r="C91">
            <v>439.68</v>
          </cell>
          <cell r="D91">
            <v>19.989999999999998</v>
          </cell>
          <cell r="E91">
            <v>0</v>
          </cell>
          <cell r="F91">
            <v>0</v>
          </cell>
          <cell r="G91">
            <v>0</v>
          </cell>
          <cell r="H91">
            <v>439.68</v>
          </cell>
          <cell r="I91">
            <v>274.18</v>
          </cell>
          <cell r="J91">
            <v>0</v>
          </cell>
          <cell r="K91">
            <v>165.5</v>
          </cell>
          <cell r="L91">
            <v>37.64</v>
          </cell>
          <cell r="M91">
            <v>0.03</v>
          </cell>
        </row>
        <row r="92">
          <cell r="A92" t="str">
            <v>STARRETT INDUSTRIA E COMERCIO</v>
          </cell>
          <cell r="B92">
            <v>6</v>
          </cell>
          <cell r="C92">
            <v>439.16</v>
          </cell>
          <cell r="D92">
            <v>18.3</v>
          </cell>
          <cell r="E92">
            <v>0</v>
          </cell>
          <cell r="F92">
            <v>0</v>
          </cell>
          <cell r="G92">
            <v>0</v>
          </cell>
          <cell r="H92">
            <v>439.16</v>
          </cell>
          <cell r="I92">
            <v>253.41</v>
          </cell>
          <cell r="J92">
            <v>0</v>
          </cell>
          <cell r="K92">
            <v>185.75</v>
          </cell>
          <cell r="L92">
            <v>42.3</v>
          </cell>
          <cell r="M92">
            <v>0.03</v>
          </cell>
        </row>
        <row r="93">
          <cell r="A93" t="str">
            <v>ARCELORMITTAL</v>
          </cell>
          <cell r="B93">
            <v>2</v>
          </cell>
          <cell r="C93">
            <v>434.4</v>
          </cell>
          <cell r="D93">
            <v>27.15</v>
          </cell>
          <cell r="E93">
            <v>0</v>
          </cell>
          <cell r="F93">
            <v>0</v>
          </cell>
          <cell r="G93">
            <v>0</v>
          </cell>
          <cell r="H93">
            <v>434.4</v>
          </cell>
          <cell r="I93">
            <v>238.82</v>
          </cell>
          <cell r="J93">
            <v>0</v>
          </cell>
          <cell r="K93">
            <v>195.58</v>
          </cell>
          <cell r="L93">
            <v>45.02</v>
          </cell>
          <cell r="M93">
            <v>0.03</v>
          </cell>
        </row>
        <row r="94">
          <cell r="A94" t="str">
            <v>TRAMONTINA ELETRIK S.A.</v>
          </cell>
          <cell r="B94">
            <v>4</v>
          </cell>
          <cell r="C94">
            <v>374.48</v>
          </cell>
          <cell r="D94">
            <v>15.6</v>
          </cell>
          <cell r="E94">
            <v>0</v>
          </cell>
          <cell r="F94">
            <v>0</v>
          </cell>
          <cell r="G94">
            <v>0</v>
          </cell>
          <cell r="H94">
            <v>374.48</v>
          </cell>
          <cell r="I94">
            <v>233.88</v>
          </cell>
          <cell r="J94">
            <v>0</v>
          </cell>
          <cell r="K94">
            <v>140.6</v>
          </cell>
          <cell r="L94">
            <v>37.549999999999997</v>
          </cell>
          <cell r="M94">
            <v>0.03</v>
          </cell>
        </row>
        <row r="95">
          <cell r="A95" t="str">
            <v>KALIPSO</v>
          </cell>
          <cell r="B95">
            <v>4</v>
          </cell>
          <cell r="C95">
            <v>332.95</v>
          </cell>
          <cell r="D95">
            <v>17.52</v>
          </cell>
          <cell r="E95">
            <v>0</v>
          </cell>
          <cell r="F95">
            <v>0</v>
          </cell>
          <cell r="G95">
            <v>0</v>
          </cell>
          <cell r="H95">
            <v>332.95</v>
          </cell>
          <cell r="I95">
            <v>170.76</v>
          </cell>
          <cell r="J95">
            <v>0</v>
          </cell>
          <cell r="K95">
            <v>162.19</v>
          </cell>
          <cell r="L95">
            <v>48.71</v>
          </cell>
          <cell r="M95">
            <v>0.02</v>
          </cell>
        </row>
        <row r="96">
          <cell r="A96" t="str">
            <v>ATTENA</v>
          </cell>
          <cell r="B96">
            <v>2</v>
          </cell>
          <cell r="C96">
            <v>307.60000000000002</v>
          </cell>
          <cell r="D96">
            <v>34.18</v>
          </cell>
          <cell r="E96">
            <v>0</v>
          </cell>
          <cell r="F96">
            <v>0</v>
          </cell>
          <cell r="G96">
            <v>0</v>
          </cell>
          <cell r="H96">
            <v>307.60000000000002</v>
          </cell>
          <cell r="I96">
            <v>378.03</v>
          </cell>
          <cell r="J96">
            <v>0</v>
          </cell>
          <cell r="K96">
            <v>-70.430000000000007</v>
          </cell>
          <cell r="L96">
            <v>0</v>
          </cell>
          <cell r="M96">
            <v>0.02</v>
          </cell>
        </row>
        <row r="97">
          <cell r="A97" t="str">
            <v>NAWA COM ATAC VAR PROD LAR E L</v>
          </cell>
          <cell r="B97">
            <v>1</v>
          </cell>
          <cell r="C97">
            <v>303.7</v>
          </cell>
          <cell r="D97">
            <v>303.7</v>
          </cell>
          <cell r="E97">
            <v>0</v>
          </cell>
          <cell r="F97">
            <v>0</v>
          </cell>
          <cell r="G97">
            <v>0</v>
          </cell>
          <cell r="H97">
            <v>303.7</v>
          </cell>
          <cell r="I97">
            <v>177.28</v>
          </cell>
          <cell r="J97">
            <v>0</v>
          </cell>
          <cell r="K97">
            <v>126.42</v>
          </cell>
          <cell r="L97">
            <v>41.63</v>
          </cell>
          <cell r="M97">
            <v>0.02</v>
          </cell>
        </row>
        <row r="98">
          <cell r="A98" t="str">
            <v>STAM</v>
          </cell>
          <cell r="B98">
            <v>2</v>
          </cell>
          <cell r="C98">
            <v>299.60000000000002</v>
          </cell>
          <cell r="D98">
            <v>74.900000000000006</v>
          </cell>
          <cell r="E98">
            <v>0</v>
          </cell>
          <cell r="F98">
            <v>0</v>
          </cell>
          <cell r="G98">
            <v>116.9</v>
          </cell>
          <cell r="H98">
            <v>182.7</v>
          </cell>
          <cell r="I98">
            <v>167.4</v>
          </cell>
          <cell r="J98">
            <v>65.88</v>
          </cell>
          <cell r="K98">
            <v>81.180000000000007</v>
          </cell>
          <cell r="L98">
            <v>34.729999999999997</v>
          </cell>
          <cell r="M98">
            <v>0.02</v>
          </cell>
        </row>
        <row r="99">
          <cell r="A99" t="str">
            <v>GARDENLIFE</v>
          </cell>
          <cell r="B99">
            <v>1</v>
          </cell>
          <cell r="C99">
            <v>298.36</v>
          </cell>
          <cell r="D99">
            <v>74.59</v>
          </cell>
          <cell r="E99">
            <v>0</v>
          </cell>
          <cell r="F99">
            <v>0</v>
          </cell>
          <cell r="G99">
            <v>0</v>
          </cell>
          <cell r="H99">
            <v>298.36</v>
          </cell>
          <cell r="I99">
            <v>189.84</v>
          </cell>
          <cell r="J99">
            <v>0</v>
          </cell>
          <cell r="K99">
            <v>108.52</v>
          </cell>
          <cell r="L99">
            <v>36.369999999999997</v>
          </cell>
          <cell r="M99">
            <v>0.02</v>
          </cell>
        </row>
        <row r="100">
          <cell r="A100" t="str">
            <v>FRANKE</v>
          </cell>
          <cell r="B100">
            <v>1</v>
          </cell>
          <cell r="C100">
            <v>279.89999999999998</v>
          </cell>
          <cell r="D100">
            <v>279.89999999999998</v>
          </cell>
          <cell r="E100">
            <v>0</v>
          </cell>
          <cell r="F100">
            <v>0</v>
          </cell>
          <cell r="G100">
            <v>0</v>
          </cell>
          <cell r="H100">
            <v>279.89999999999998</v>
          </cell>
          <cell r="I100">
            <v>175.19</v>
          </cell>
          <cell r="J100">
            <v>0</v>
          </cell>
          <cell r="K100">
            <v>104.71</v>
          </cell>
          <cell r="L100">
            <v>37.409999999999997</v>
          </cell>
          <cell r="M100">
            <v>0.02</v>
          </cell>
        </row>
        <row r="101">
          <cell r="A101" t="str">
            <v>RHPE</v>
          </cell>
          <cell r="B101">
            <v>1</v>
          </cell>
          <cell r="C101">
            <v>257.7</v>
          </cell>
          <cell r="D101">
            <v>85.9</v>
          </cell>
          <cell r="E101">
            <v>0</v>
          </cell>
          <cell r="F101">
            <v>0</v>
          </cell>
          <cell r="G101">
            <v>85.9</v>
          </cell>
          <cell r="H101">
            <v>171.8</v>
          </cell>
          <cell r="I101">
            <v>160.02000000000001</v>
          </cell>
          <cell r="J101">
            <v>53.34</v>
          </cell>
          <cell r="K101">
            <v>65.12</v>
          </cell>
          <cell r="L101">
            <v>31.87</v>
          </cell>
          <cell r="M101">
            <v>0.02</v>
          </cell>
        </row>
        <row r="102">
          <cell r="A102" t="str">
            <v>COMFORT DOOR</v>
          </cell>
          <cell r="B102">
            <v>2</v>
          </cell>
          <cell r="C102">
            <v>248.3</v>
          </cell>
          <cell r="D102">
            <v>27.59</v>
          </cell>
          <cell r="E102">
            <v>0</v>
          </cell>
          <cell r="F102">
            <v>0</v>
          </cell>
          <cell r="G102">
            <v>0</v>
          </cell>
          <cell r="H102">
            <v>248.3</v>
          </cell>
          <cell r="I102">
            <v>136.78</v>
          </cell>
          <cell r="J102">
            <v>0</v>
          </cell>
          <cell r="K102">
            <v>111.52</v>
          </cell>
          <cell r="L102">
            <v>44.91</v>
          </cell>
          <cell r="M102">
            <v>0.02</v>
          </cell>
        </row>
        <row r="103">
          <cell r="A103" t="str">
            <v>LEDAN</v>
          </cell>
          <cell r="B103">
            <v>3</v>
          </cell>
          <cell r="C103">
            <v>207.49</v>
          </cell>
          <cell r="D103">
            <v>29.64</v>
          </cell>
          <cell r="E103">
            <v>0</v>
          </cell>
          <cell r="F103">
            <v>0</v>
          </cell>
          <cell r="G103">
            <v>0</v>
          </cell>
          <cell r="H103">
            <v>207.49</v>
          </cell>
          <cell r="I103">
            <v>126.38</v>
          </cell>
          <cell r="J103">
            <v>0</v>
          </cell>
          <cell r="K103">
            <v>81.11</v>
          </cell>
          <cell r="L103">
            <v>39.090000000000003</v>
          </cell>
          <cell r="M103">
            <v>0.02</v>
          </cell>
        </row>
        <row r="104">
          <cell r="A104" t="str">
            <v>BRASFORT</v>
          </cell>
          <cell r="B104">
            <v>3</v>
          </cell>
          <cell r="C104">
            <v>181.16</v>
          </cell>
          <cell r="D104">
            <v>6.97</v>
          </cell>
          <cell r="E104">
            <v>0</v>
          </cell>
          <cell r="F104">
            <v>0</v>
          </cell>
          <cell r="G104">
            <v>0</v>
          </cell>
          <cell r="H104">
            <v>181.16</v>
          </cell>
          <cell r="I104">
            <v>106.58</v>
          </cell>
          <cell r="J104">
            <v>0</v>
          </cell>
          <cell r="K104">
            <v>74.58</v>
          </cell>
          <cell r="L104">
            <v>41.17</v>
          </cell>
          <cell r="M104">
            <v>0.01</v>
          </cell>
        </row>
        <row r="105">
          <cell r="A105" t="str">
            <v>NOVA FIXACAO</v>
          </cell>
          <cell r="B105">
            <v>2</v>
          </cell>
          <cell r="C105">
            <v>163.18</v>
          </cell>
          <cell r="D105">
            <v>1.99</v>
          </cell>
          <cell r="E105">
            <v>0</v>
          </cell>
          <cell r="F105">
            <v>0</v>
          </cell>
          <cell r="G105">
            <v>0</v>
          </cell>
          <cell r="H105">
            <v>163.18</v>
          </cell>
          <cell r="I105">
            <v>95.12</v>
          </cell>
          <cell r="J105">
            <v>0</v>
          </cell>
          <cell r="K105">
            <v>68.06</v>
          </cell>
          <cell r="L105">
            <v>41.71</v>
          </cell>
          <cell r="M105">
            <v>0.01</v>
          </cell>
        </row>
        <row r="106">
          <cell r="A106" t="str">
            <v>LGMAIS</v>
          </cell>
          <cell r="B106">
            <v>1</v>
          </cell>
          <cell r="C106">
            <v>159.9</v>
          </cell>
          <cell r="D106">
            <v>159.9</v>
          </cell>
          <cell r="E106">
            <v>0</v>
          </cell>
          <cell r="F106">
            <v>0</v>
          </cell>
          <cell r="G106">
            <v>0</v>
          </cell>
          <cell r="H106">
            <v>159.9</v>
          </cell>
          <cell r="I106">
            <v>98.16</v>
          </cell>
          <cell r="J106">
            <v>0</v>
          </cell>
          <cell r="K106">
            <v>61.74</v>
          </cell>
          <cell r="L106">
            <v>38.61</v>
          </cell>
          <cell r="M106">
            <v>0.01</v>
          </cell>
        </row>
        <row r="107">
          <cell r="A107" t="str">
            <v>ARAFORROS</v>
          </cell>
          <cell r="B107">
            <v>1</v>
          </cell>
          <cell r="C107">
            <v>155.88</v>
          </cell>
          <cell r="D107">
            <v>77.94</v>
          </cell>
          <cell r="E107">
            <v>0</v>
          </cell>
          <cell r="F107">
            <v>0</v>
          </cell>
          <cell r="G107">
            <v>0</v>
          </cell>
          <cell r="H107">
            <v>155.88</v>
          </cell>
          <cell r="I107">
            <v>148.59</v>
          </cell>
          <cell r="J107">
            <v>0</v>
          </cell>
          <cell r="K107">
            <v>7.29</v>
          </cell>
          <cell r="L107">
            <v>4.68</v>
          </cell>
          <cell r="M107">
            <v>0.01</v>
          </cell>
        </row>
        <row r="108">
          <cell r="A108" t="str">
            <v>RANCAN</v>
          </cell>
          <cell r="B108">
            <v>2</v>
          </cell>
          <cell r="C108">
            <v>119.8</v>
          </cell>
          <cell r="D108">
            <v>59.9</v>
          </cell>
          <cell r="E108">
            <v>0</v>
          </cell>
          <cell r="F108">
            <v>0</v>
          </cell>
          <cell r="G108">
            <v>0</v>
          </cell>
          <cell r="H108">
            <v>119.8</v>
          </cell>
          <cell r="I108">
            <v>65.13</v>
          </cell>
          <cell r="J108">
            <v>0</v>
          </cell>
          <cell r="K108">
            <v>54.67</v>
          </cell>
          <cell r="L108">
            <v>45.63</v>
          </cell>
          <cell r="M108">
            <v>0.01</v>
          </cell>
        </row>
        <row r="109">
          <cell r="A109" t="str">
            <v>EXTRALUX</v>
          </cell>
          <cell r="B109">
            <v>1</v>
          </cell>
          <cell r="C109">
            <v>83.7</v>
          </cell>
          <cell r="D109">
            <v>27.9</v>
          </cell>
          <cell r="E109">
            <v>0</v>
          </cell>
          <cell r="F109">
            <v>0</v>
          </cell>
          <cell r="G109">
            <v>0</v>
          </cell>
          <cell r="H109">
            <v>83.7</v>
          </cell>
          <cell r="I109">
            <v>49.8</v>
          </cell>
          <cell r="J109">
            <v>0</v>
          </cell>
          <cell r="K109">
            <v>33.9</v>
          </cell>
          <cell r="L109">
            <v>40.5</v>
          </cell>
          <cell r="M109">
            <v>0.01</v>
          </cell>
        </row>
        <row r="110">
          <cell r="A110" t="str">
            <v>INCESA</v>
          </cell>
          <cell r="B110">
            <v>1</v>
          </cell>
          <cell r="C110">
            <v>82.25</v>
          </cell>
          <cell r="D110">
            <v>32.9</v>
          </cell>
          <cell r="E110">
            <v>0</v>
          </cell>
          <cell r="F110">
            <v>0</v>
          </cell>
          <cell r="G110">
            <v>0</v>
          </cell>
          <cell r="H110">
            <v>82.25</v>
          </cell>
          <cell r="I110">
            <v>44.65</v>
          </cell>
          <cell r="J110">
            <v>0</v>
          </cell>
          <cell r="K110">
            <v>37.6</v>
          </cell>
          <cell r="L110">
            <v>45.71</v>
          </cell>
          <cell r="M110">
            <v>0.01</v>
          </cell>
        </row>
        <row r="111">
          <cell r="A111" t="str">
            <v>CRIVAL</v>
          </cell>
          <cell r="B111">
            <v>1</v>
          </cell>
          <cell r="C111">
            <v>63.9</v>
          </cell>
          <cell r="D111">
            <v>63.9</v>
          </cell>
          <cell r="E111">
            <v>0</v>
          </cell>
          <cell r="F111">
            <v>0</v>
          </cell>
          <cell r="G111">
            <v>0</v>
          </cell>
          <cell r="H111">
            <v>63.9</v>
          </cell>
          <cell r="I111">
            <v>38.18</v>
          </cell>
          <cell r="J111">
            <v>0</v>
          </cell>
          <cell r="K111">
            <v>25.72</v>
          </cell>
          <cell r="L111">
            <v>40.25</v>
          </cell>
          <cell r="M111">
            <v>0</v>
          </cell>
        </row>
        <row r="112">
          <cell r="A112" t="str">
            <v>INCA</v>
          </cell>
          <cell r="B112">
            <v>3</v>
          </cell>
          <cell r="C112">
            <v>49.95</v>
          </cell>
          <cell r="D112">
            <v>3.12</v>
          </cell>
          <cell r="E112">
            <v>0</v>
          </cell>
          <cell r="F112">
            <v>0</v>
          </cell>
          <cell r="G112">
            <v>5.85</v>
          </cell>
          <cell r="H112">
            <v>44.1</v>
          </cell>
          <cell r="I112">
            <v>26.17</v>
          </cell>
          <cell r="J112">
            <v>3.06</v>
          </cell>
          <cell r="K112">
            <v>20.99</v>
          </cell>
          <cell r="L112">
            <v>44.76</v>
          </cell>
          <cell r="M112">
            <v>0</v>
          </cell>
        </row>
        <row r="113">
          <cell r="A113" t="str">
            <v>PADOVA</v>
          </cell>
          <cell r="B113">
            <v>2</v>
          </cell>
          <cell r="C113">
            <v>47.8</v>
          </cell>
          <cell r="D113">
            <v>23.9</v>
          </cell>
          <cell r="E113">
            <v>0</v>
          </cell>
          <cell r="F113">
            <v>0</v>
          </cell>
          <cell r="G113">
            <v>0</v>
          </cell>
          <cell r="H113">
            <v>47.8</v>
          </cell>
          <cell r="I113">
            <v>29.32</v>
          </cell>
          <cell r="J113">
            <v>0</v>
          </cell>
          <cell r="K113">
            <v>18.48</v>
          </cell>
          <cell r="L113">
            <v>38.659999999999997</v>
          </cell>
          <cell r="M113">
            <v>0</v>
          </cell>
        </row>
        <row r="114">
          <cell r="A114" t="str">
            <v>SIGMA</v>
          </cell>
          <cell r="B114">
            <v>1</v>
          </cell>
          <cell r="C114">
            <v>44.9</v>
          </cell>
          <cell r="D114">
            <v>44.9</v>
          </cell>
          <cell r="E114">
            <v>0</v>
          </cell>
          <cell r="F114">
            <v>0</v>
          </cell>
          <cell r="G114">
            <v>0</v>
          </cell>
          <cell r="H114">
            <v>44.9</v>
          </cell>
          <cell r="I114">
            <v>26.93</v>
          </cell>
          <cell r="J114">
            <v>0</v>
          </cell>
          <cell r="K114">
            <v>17.97</v>
          </cell>
          <cell r="L114">
            <v>40.020000000000003</v>
          </cell>
          <cell r="M114">
            <v>0</v>
          </cell>
        </row>
        <row r="115">
          <cell r="A115" t="str">
            <v>OVERTIME</v>
          </cell>
          <cell r="B115">
            <v>2</v>
          </cell>
          <cell r="C115">
            <v>35.29</v>
          </cell>
          <cell r="D115">
            <v>11.76</v>
          </cell>
          <cell r="E115">
            <v>0</v>
          </cell>
          <cell r="F115">
            <v>0</v>
          </cell>
          <cell r="G115">
            <v>0</v>
          </cell>
          <cell r="H115">
            <v>35.29</v>
          </cell>
          <cell r="I115">
            <v>20.89</v>
          </cell>
          <cell r="J115">
            <v>0</v>
          </cell>
          <cell r="K115">
            <v>14.4</v>
          </cell>
          <cell r="L115">
            <v>40.799999999999997</v>
          </cell>
          <cell r="M115">
            <v>0</v>
          </cell>
        </row>
        <row r="116">
          <cell r="A116" t="str">
            <v>DUDA</v>
          </cell>
          <cell r="B116">
            <v>1</v>
          </cell>
          <cell r="C116">
            <v>29.9</v>
          </cell>
          <cell r="D116">
            <v>29.9</v>
          </cell>
          <cell r="E116">
            <v>0</v>
          </cell>
          <cell r="F116">
            <v>0</v>
          </cell>
          <cell r="G116">
            <v>0</v>
          </cell>
          <cell r="H116">
            <v>29.9</v>
          </cell>
          <cell r="I116">
            <v>19.5</v>
          </cell>
          <cell r="J116">
            <v>0</v>
          </cell>
          <cell r="K116">
            <v>10.4</v>
          </cell>
          <cell r="L116">
            <v>34.78</v>
          </cell>
          <cell r="M116">
            <v>0</v>
          </cell>
        </row>
        <row r="117">
          <cell r="A117" t="str">
            <v>EMPLAC</v>
          </cell>
          <cell r="B117">
            <v>1</v>
          </cell>
          <cell r="C117">
            <v>29.8</v>
          </cell>
          <cell r="D117">
            <v>14.9</v>
          </cell>
          <cell r="E117">
            <v>0</v>
          </cell>
          <cell r="F117">
            <v>0</v>
          </cell>
          <cell r="G117">
            <v>0</v>
          </cell>
          <cell r="H117">
            <v>29.8</v>
          </cell>
          <cell r="I117">
            <v>13</v>
          </cell>
          <cell r="J117">
            <v>0</v>
          </cell>
          <cell r="K117">
            <v>16.8</v>
          </cell>
          <cell r="L117">
            <v>56.38</v>
          </cell>
          <cell r="M117">
            <v>0</v>
          </cell>
        </row>
        <row r="118">
          <cell r="A118" t="str">
            <v>outros</v>
          </cell>
          <cell r="B118">
            <v>0</v>
          </cell>
          <cell r="C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JUN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200</v>
          </cell>
          <cell r="C2">
            <v>237698.19500000001</v>
          </cell>
          <cell r="D2">
            <v>32.450000000000003</v>
          </cell>
          <cell r="E2">
            <v>0</v>
          </cell>
          <cell r="F2">
            <v>0</v>
          </cell>
          <cell r="G2">
            <v>6855.6835000000001</v>
          </cell>
          <cell r="H2">
            <v>230842.51149999999</v>
          </cell>
          <cell r="I2">
            <v>153290.10079999999</v>
          </cell>
          <cell r="J2">
            <v>4337.3590000000004</v>
          </cell>
          <cell r="K2">
            <v>81889.769700000004</v>
          </cell>
          <cell r="L2">
            <v>35.090000000000003</v>
          </cell>
          <cell r="M2">
            <v>19.64</v>
          </cell>
        </row>
        <row r="3">
          <cell r="A3" t="str">
            <v>ARIELLE</v>
          </cell>
          <cell r="B3">
            <v>118</v>
          </cell>
          <cell r="C3">
            <v>102235.0863</v>
          </cell>
          <cell r="D3">
            <v>27.82</v>
          </cell>
          <cell r="E3">
            <v>0</v>
          </cell>
          <cell r="F3">
            <v>0</v>
          </cell>
          <cell r="G3">
            <v>3711.9398999999999</v>
          </cell>
          <cell r="H3">
            <v>98523.146399999998</v>
          </cell>
          <cell r="I3">
            <v>63464.907500000001</v>
          </cell>
          <cell r="J3">
            <v>2288.4342000000001</v>
          </cell>
          <cell r="K3">
            <v>37346.6731</v>
          </cell>
          <cell r="L3">
            <v>37.369999999999997</v>
          </cell>
          <cell r="M3">
            <v>8.4499999999999993</v>
          </cell>
        </row>
        <row r="4">
          <cell r="A4" t="str">
            <v>DO MESTRE</v>
          </cell>
          <cell r="B4">
            <v>257</v>
          </cell>
          <cell r="C4">
            <v>97827.5</v>
          </cell>
          <cell r="D4">
            <v>22.79</v>
          </cell>
          <cell r="E4">
            <v>0</v>
          </cell>
          <cell r="F4">
            <v>0</v>
          </cell>
          <cell r="G4">
            <v>1557.2</v>
          </cell>
          <cell r="H4">
            <v>96270.3</v>
          </cell>
          <cell r="I4">
            <v>58645.74</v>
          </cell>
          <cell r="J4">
            <v>922.98</v>
          </cell>
          <cell r="K4">
            <v>38547.54</v>
          </cell>
          <cell r="L4">
            <v>39.78</v>
          </cell>
          <cell r="M4">
            <v>8.08</v>
          </cell>
        </row>
        <row r="5">
          <cell r="A5" t="str">
            <v>IQUINE</v>
          </cell>
          <cell r="B5">
            <v>42</v>
          </cell>
          <cell r="C5">
            <v>66021.000400000004</v>
          </cell>
          <cell r="D5">
            <v>42.16</v>
          </cell>
          <cell r="E5">
            <v>0</v>
          </cell>
          <cell r="F5">
            <v>0</v>
          </cell>
          <cell r="G5">
            <v>1821.95</v>
          </cell>
          <cell r="H5">
            <v>64199.0504</v>
          </cell>
          <cell r="I5">
            <v>40143.463600000003</v>
          </cell>
          <cell r="J5">
            <v>1128.74</v>
          </cell>
          <cell r="K5">
            <v>25184.326799999999</v>
          </cell>
          <cell r="L5">
            <v>38.81</v>
          </cell>
          <cell r="M5">
            <v>5.46</v>
          </cell>
        </row>
        <row r="6">
          <cell r="A6" t="str">
            <v>MEGAÓ</v>
          </cell>
          <cell r="B6">
            <v>55</v>
          </cell>
          <cell r="C6">
            <v>58717.27</v>
          </cell>
          <cell r="D6">
            <v>56.62</v>
          </cell>
          <cell r="E6">
            <v>0</v>
          </cell>
          <cell r="F6">
            <v>0</v>
          </cell>
          <cell r="G6">
            <v>1108.4000000000001</v>
          </cell>
          <cell r="H6">
            <v>57608.87</v>
          </cell>
          <cell r="I6">
            <v>36876.01</v>
          </cell>
          <cell r="J6">
            <v>696.59</v>
          </cell>
          <cell r="K6">
            <v>21429.45</v>
          </cell>
          <cell r="L6">
            <v>36.93</v>
          </cell>
          <cell r="M6">
            <v>4.8499999999999996</v>
          </cell>
        </row>
        <row r="7">
          <cell r="A7" t="str">
            <v>TECNOGRES</v>
          </cell>
          <cell r="B7">
            <v>30</v>
          </cell>
          <cell r="C7">
            <v>53511.280400000003</v>
          </cell>
          <cell r="D7">
            <v>37.9</v>
          </cell>
          <cell r="E7">
            <v>0</v>
          </cell>
          <cell r="F7">
            <v>0</v>
          </cell>
          <cell r="G7">
            <v>50.26</v>
          </cell>
          <cell r="H7">
            <v>53461.020400000001</v>
          </cell>
          <cell r="I7">
            <v>33788.313300000002</v>
          </cell>
          <cell r="J7">
            <v>28.0656</v>
          </cell>
          <cell r="K7">
            <v>19700.772700000001</v>
          </cell>
          <cell r="L7">
            <v>36.840000000000003</v>
          </cell>
          <cell r="M7">
            <v>4.42</v>
          </cell>
        </row>
        <row r="8">
          <cell r="A8" t="str">
            <v>QUALITY</v>
          </cell>
          <cell r="B8">
            <v>57</v>
          </cell>
          <cell r="C8">
            <v>52006.05</v>
          </cell>
          <cell r="D8">
            <v>257.45999999999998</v>
          </cell>
          <cell r="E8">
            <v>0</v>
          </cell>
          <cell r="F8">
            <v>0</v>
          </cell>
          <cell r="G8">
            <v>4129.09</v>
          </cell>
          <cell r="H8">
            <v>47876.959999999999</v>
          </cell>
          <cell r="I8">
            <v>33347.050000000003</v>
          </cell>
          <cell r="J8">
            <v>2754.03</v>
          </cell>
          <cell r="K8">
            <v>17283.939999999999</v>
          </cell>
          <cell r="L8">
            <v>35.090000000000003</v>
          </cell>
          <cell r="M8">
            <v>4.3</v>
          </cell>
        </row>
        <row r="9">
          <cell r="A9" t="str">
            <v>POINTER</v>
          </cell>
          <cell r="B9">
            <v>68</v>
          </cell>
          <cell r="C9">
            <v>49723.704299999998</v>
          </cell>
          <cell r="D9">
            <v>36.01</v>
          </cell>
          <cell r="E9">
            <v>0</v>
          </cell>
          <cell r="F9">
            <v>0</v>
          </cell>
          <cell r="G9">
            <v>1497.1217999999999</v>
          </cell>
          <cell r="H9">
            <v>48226.582499999997</v>
          </cell>
          <cell r="I9">
            <v>30724.494200000001</v>
          </cell>
          <cell r="J9">
            <v>868.00800000000004</v>
          </cell>
          <cell r="K9">
            <v>18370.096300000001</v>
          </cell>
          <cell r="L9">
            <v>37.6</v>
          </cell>
          <cell r="M9">
            <v>4.1100000000000003</v>
          </cell>
        </row>
        <row r="10">
          <cell r="A10" t="str">
            <v>ROCA</v>
          </cell>
          <cell r="B10">
            <v>49</v>
          </cell>
          <cell r="C10">
            <v>43951.03</v>
          </cell>
          <cell r="D10">
            <v>220.86</v>
          </cell>
          <cell r="E10">
            <v>0</v>
          </cell>
          <cell r="F10">
            <v>0</v>
          </cell>
          <cell r="G10">
            <v>781.6</v>
          </cell>
          <cell r="H10">
            <v>43169.43</v>
          </cell>
          <cell r="I10">
            <v>28716.38</v>
          </cell>
          <cell r="J10">
            <v>516.91</v>
          </cell>
          <cell r="K10">
            <v>14969.96</v>
          </cell>
          <cell r="L10">
            <v>34.47</v>
          </cell>
          <cell r="M10">
            <v>3.63</v>
          </cell>
        </row>
        <row r="11">
          <cell r="A11" t="str">
            <v>CARMELO FIOR</v>
          </cell>
          <cell r="B11">
            <v>26</v>
          </cell>
          <cell r="C11">
            <v>37343.614000000001</v>
          </cell>
          <cell r="D11">
            <v>63.34</v>
          </cell>
          <cell r="E11">
            <v>0</v>
          </cell>
          <cell r="F11">
            <v>0</v>
          </cell>
          <cell r="G11">
            <v>2988.33</v>
          </cell>
          <cell r="H11">
            <v>34355.284</v>
          </cell>
          <cell r="I11">
            <v>12445.84</v>
          </cell>
          <cell r="J11">
            <v>1026.9159999999999</v>
          </cell>
          <cell r="K11">
            <v>22936.36</v>
          </cell>
          <cell r="L11">
            <v>63.16</v>
          </cell>
          <cell r="M11">
            <v>3.09</v>
          </cell>
        </row>
        <row r="12">
          <cell r="A12" t="str">
            <v>BRASILIT</v>
          </cell>
          <cell r="B12">
            <v>32</v>
          </cell>
          <cell r="C12">
            <v>37083.9</v>
          </cell>
          <cell r="D12">
            <v>74.02</v>
          </cell>
          <cell r="E12">
            <v>0</v>
          </cell>
          <cell r="F12">
            <v>0</v>
          </cell>
          <cell r="G12">
            <v>373.5</v>
          </cell>
          <cell r="H12">
            <v>36710.400000000001</v>
          </cell>
          <cell r="I12">
            <v>29526.48</v>
          </cell>
          <cell r="J12">
            <v>285.22000000000003</v>
          </cell>
          <cell r="K12">
            <v>7469.14</v>
          </cell>
          <cell r="L12">
            <v>20.3</v>
          </cell>
          <cell r="M12">
            <v>3.06</v>
          </cell>
        </row>
        <row r="13">
          <cell r="A13" t="str">
            <v>WEBER QUARTZOLIT</v>
          </cell>
          <cell r="B13">
            <v>93</v>
          </cell>
          <cell r="C13">
            <v>34721.47</v>
          </cell>
          <cell r="D13">
            <v>31.39</v>
          </cell>
          <cell r="E13">
            <v>0</v>
          </cell>
          <cell r="F13">
            <v>0</v>
          </cell>
          <cell r="G13">
            <v>1387.68</v>
          </cell>
          <cell r="H13">
            <v>33333.79</v>
          </cell>
          <cell r="I13">
            <v>21926.959999999999</v>
          </cell>
          <cell r="J13">
            <v>884.49</v>
          </cell>
          <cell r="K13">
            <v>12291.32</v>
          </cell>
          <cell r="L13">
            <v>36.33</v>
          </cell>
          <cell r="M13">
            <v>2.87</v>
          </cell>
        </row>
        <row r="14">
          <cell r="A14" t="str">
            <v>FORTLEV</v>
          </cell>
          <cell r="B14">
            <v>43</v>
          </cell>
          <cell r="C14">
            <v>31367.09</v>
          </cell>
          <cell r="D14">
            <v>11.43</v>
          </cell>
          <cell r="E14">
            <v>0</v>
          </cell>
          <cell r="F14">
            <v>0</v>
          </cell>
          <cell r="G14">
            <v>563.1</v>
          </cell>
          <cell r="H14">
            <v>30803.99</v>
          </cell>
          <cell r="I14">
            <v>22521.34</v>
          </cell>
          <cell r="J14">
            <v>419.51</v>
          </cell>
          <cell r="K14">
            <v>8702.16</v>
          </cell>
          <cell r="L14">
            <v>28.12</v>
          </cell>
          <cell r="M14">
            <v>2.59</v>
          </cell>
        </row>
        <row r="15">
          <cell r="A15" t="str">
            <v>MEC-TRONIC</v>
          </cell>
          <cell r="B15">
            <v>33</v>
          </cell>
          <cell r="C15">
            <v>16372.08</v>
          </cell>
          <cell r="D15">
            <v>10.32</v>
          </cell>
          <cell r="E15">
            <v>0</v>
          </cell>
          <cell r="F15">
            <v>0</v>
          </cell>
          <cell r="G15">
            <v>160.69999999999999</v>
          </cell>
          <cell r="H15">
            <v>16211.38</v>
          </cell>
          <cell r="I15">
            <v>8569.14</v>
          </cell>
          <cell r="J15">
            <v>76.739999999999995</v>
          </cell>
          <cell r="K15">
            <v>7718.98</v>
          </cell>
          <cell r="L15">
            <v>47.37</v>
          </cell>
          <cell r="M15">
            <v>1.35</v>
          </cell>
        </row>
        <row r="16">
          <cell r="A16" t="str">
            <v>COBRECOM</v>
          </cell>
          <cell r="B16">
            <v>13</v>
          </cell>
          <cell r="C16">
            <v>15880.67</v>
          </cell>
          <cell r="D16">
            <v>144.37</v>
          </cell>
          <cell r="E16">
            <v>0</v>
          </cell>
          <cell r="F16">
            <v>0</v>
          </cell>
          <cell r="G16">
            <v>0</v>
          </cell>
          <cell r="H16">
            <v>15880.67</v>
          </cell>
          <cell r="I16">
            <v>10529.94</v>
          </cell>
          <cell r="J16">
            <v>0</v>
          </cell>
          <cell r="K16">
            <v>5350.73</v>
          </cell>
          <cell r="L16">
            <v>33.69</v>
          </cell>
          <cell r="M16">
            <v>1.31</v>
          </cell>
        </row>
        <row r="17">
          <cell r="A17" t="str">
            <v>LORENZETTI</v>
          </cell>
          <cell r="B17">
            <v>16</v>
          </cell>
          <cell r="C17">
            <v>15060.94</v>
          </cell>
          <cell r="D17">
            <v>91.84</v>
          </cell>
          <cell r="E17">
            <v>0</v>
          </cell>
          <cell r="F17">
            <v>0</v>
          </cell>
          <cell r="G17">
            <v>196.8</v>
          </cell>
          <cell r="H17">
            <v>14864.14</v>
          </cell>
          <cell r="I17">
            <v>9696.86</v>
          </cell>
          <cell r="J17">
            <v>133.58000000000001</v>
          </cell>
          <cell r="K17">
            <v>5300.86</v>
          </cell>
          <cell r="L17">
            <v>35.51</v>
          </cell>
          <cell r="M17">
            <v>1.24</v>
          </cell>
        </row>
        <row r="18">
          <cell r="A18" t="str">
            <v>FERTAK COMERCIO E IMPORTAÇÃO</v>
          </cell>
          <cell r="B18">
            <v>42</v>
          </cell>
          <cell r="C18">
            <v>15025.54</v>
          </cell>
          <cell r="D18">
            <v>11.54</v>
          </cell>
          <cell r="E18">
            <v>0</v>
          </cell>
          <cell r="F18">
            <v>0</v>
          </cell>
          <cell r="G18">
            <v>116.92</v>
          </cell>
          <cell r="H18">
            <v>14908.62</v>
          </cell>
          <cell r="I18">
            <v>8476.11</v>
          </cell>
          <cell r="J18">
            <v>64.64</v>
          </cell>
          <cell r="K18">
            <v>6497.15</v>
          </cell>
          <cell r="L18">
            <v>43.43</v>
          </cell>
          <cell r="M18">
            <v>1.24</v>
          </cell>
        </row>
        <row r="19">
          <cell r="A19" t="str">
            <v>ATLAS</v>
          </cell>
          <cell r="B19">
            <v>36</v>
          </cell>
          <cell r="C19">
            <v>14983.04</v>
          </cell>
          <cell r="D19">
            <v>17.100000000000001</v>
          </cell>
          <cell r="E19">
            <v>0</v>
          </cell>
          <cell r="F19">
            <v>0</v>
          </cell>
          <cell r="G19">
            <v>260.58999999999997</v>
          </cell>
          <cell r="H19">
            <v>14722.45</v>
          </cell>
          <cell r="I19">
            <v>8043.09</v>
          </cell>
          <cell r="J19">
            <v>153.78</v>
          </cell>
          <cell r="K19">
            <v>6833.14</v>
          </cell>
          <cell r="L19">
            <v>46.08</v>
          </cell>
          <cell r="M19">
            <v>1.24</v>
          </cell>
        </row>
        <row r="20">
          <cell r="A20" t="str">
            <v>METAIS LEAO</v>
          </cell>
          <cell r="B20">
            <v>42</v>
          </cell>
          <cell r="C20">
            <v>13707.19</v>
          </cell>
          <cell r="D20">
            <v>53.54</v>
          </cell>
          <cell r="E20">
            <v>0</v>
          </cell>
          <cell r="F20">
            <v>0</v>
          </cell>
          <cell r="G20">
            <v>249.8</v>
          </cell>
          <cell r="H20">
            <v>13457.39</v>
          </cell>
          <cell r="I20">
            <v>8026.14</v>
          </cell>
          <cell r="J20">
            <v>153.19</v>
          </cell>
          <cell r="K20">
            <v>5584.44</v>
          </cell>
          <cell r="L20">
            <v>41.2</v>
          </cell>
          <cell r="M20">
            <v>1.1299999999999999</v>
          </cell>
        </row>
        <row r="21">
          <cell r="A21" t="str">
            <v>GHEL'PLUS</v>
          </cell>
          <cell r="B21">
            <v>20</v>
          </cell>
          <cell r="C21">
            <v>12592.07</v>
          </cell>
          <cell r="D21">
            <v>127.19</v>
          </cell>
          <cell r="E21">
            <v>0</v>
          </cell>
          <cell r="F21">
            <v>0</v>
          </cell>
          <cell r="G21">
            <v>275</v>
          </cell>
          <cell r="H21">
            <v>12317.07</v>
          </cell>
          <cell r="I21">
            <v>7863.55</v>
          </cell>
          <cell r="J21">
            <v>163.19</v>
          </cell>
          <cell r="K21">
            <v>4616.71</v>
          </cell>
          <cell r="L21">
            <v>37.15</v>
          </cell>
          <cell r="M21">
            <v>1.04</v>
          </cell>
        </row>
        <row r="22">
          <cell r="A22" t="str">
            <v>PAMESA</v>
          </cell>
          <cell r="B22">
            <v>18</v>
          </cell>
          <cell r="C22">
            <v>11769.933199999999</v>
          </cell>
          <cell r="D22">
            <v>32.17</v>
          </cell>
          <cell r="E22">
            <v>0</v>
          </cell>
          <cell r="F22">
            <v>0</v>
          </cell>
          <cell r="G22">
            <v>0</v>
          </cell>
          <cell r="H22">
            <v>11769.933199999999</v>
          </cell>
          <cell r="I22">
            <v>8516.1692000000003</v>
          </cell>
          <cell r="J22">
            <v>0</v>
          </cell>
          <cell r="K22">
            <v>3253.7640000000001</v>
          </cell>
          <cell r="L22">
            <v>27.64</v>
          </cell>
          <cell r="M22">
            <v>0.97</v>
          </cell>
        </row>
        <row r="23">
          <cell r="A23" t="str">
            <v>ANAUGER</v>
          </cell>
          <cell r="B23">
            <v>9</v>
          </cell>
          <cell r="C23">
            <v>11260.25</v>
          </cell>
          <cell r="D23">
            <v>433.09</v>
          </cell>
          <cell r="E23">
            <v>0</v>
          </cell>
          <cell r="F23">
            <v>0</v>
          </cell>
          <cell r="G23">
            <v>0</v>
          </cell>
          <cell r="H23">
            <v>11260.25</v>
          </cell>
          <cell r="I23">
            <v>7986.2</v>
          </cell>
          <cell r="J23">
            <v>0</v>
          </cell>
          <cell r="K23">
            <v>3274.05</v>
          </cell>
          <cell r="L23">
            <v>29.08</v>
          </cell>
          <cell r="M23">
            <v>0.93</v>
          </cell>
        </row>
        <row r="24">
          <cell r="A24" t="str">
            <v>GRANPLAST</v>
          </cell>
          <cell r="B24">
            <v>22</v>
          </cell>
          <cell r="C24">
            <v>10506.33</v>
          </cell>
          <cell r="D24">
            <v>14.76</v>
          </cell>
          <cell r="E24">
            <v>0</v>
          </cell>
          <cell r="F24">
            <v>0</v>
          </cell>
          <cell r="G24">
            <v>86.96</v>
          </cell>
          <cell r="H24">
            <v>10419.370000000001</v>
          </cell>
          <cell r="I24">
            <v>6594.79</v>
          </cell>
          <cell r="J24">
            <v>59.24</v>
          </cell>
          <cell r="K24">
            <v>3883.82</v>
          </cell>
          <cell r="L24">
            <v>37.18</v>
          </cell>
          <cell r="M24">
            <v>0.87</v>
          </cell>
        </row>
        <row r="25">
          <cell r="A25" t="str">
            <v>BLACK DECKER</v>
          </cell>
          <cell r="B25">
            <v>15</v>
          </cell>
          <cell r="C25">
            <v>10458.15</v>
          </cell>
          <cell r="D25">
            <v>95.07</v>
          </cell>
          <cell r="E25">
            <v>0</v>
          </cell>
          <cell r="F25">
            <v>0</v>
          </cell>
          <cell r="G25">
            <v>485.79</v>
          </cell>
          <cell r="H25">
            <v>9972.36</v>
          </cell>
          <cell r="I25">
            <v>6785.46</v>
          </cell>
          <cell r="J25">
            <v>308.04000000000002</v>
          </cell>
          <cell r="K25">
            <v>3494.94</v>
          </cell>
          <cell r="L25">
            <v>34.43</v>
          </cell>
          <cell r="M25">
            <v>0.86</v>
          </cell>
        </row>
        <row r="26">
          <cell r="A26" t="str">
            <v>Perfilplast Industria e Comerc</v>
          </cell>
          <cell r="B26">
            <v>27</v>
          </cell>
          <cell r="C26">
            <v>9342.6200000000008</v>
          </cell>
          <cell r="D26">
            <v>80.540000000000006</v>
          </cell>
          <cell r="E26">
            <v>0</v>
          </cell>
          <cell r="F26">
            <v>0</v>
          </cell>
          <cell r="G26">
            <v>255.06</v>
          </cell>
          <cell r="H26">
            <v>9087.56</v>
          </cell>
          <cell r="I26">
            <v>5920.6319999999996</v>
          </cell>
          <cell r="J26">
            <v>158.06800000000001</v>
          </cell>
          <cell r="K26">
            <v>3324.9960000000001</v>
          </cell>
          <cell r="L26">
            <v>36.200000000000003</v>
          </cell>
          <cell r="M26">
            <v>0.77</v>
          </cell>
        </row>
        <row r="27">
          <cell r="A27" t="str">
            <v>VIQUA</v>
          </cell>
          <cell r="B27">
            <v>20</v>
          </cell>
          <cell r="C27">
            <v>7104.77</v>
          </cell>
          <cell r="D27">
            <v>39.909999999999997</v>
          </cell>
          <cell r="E27">
            <v>0</v>
          </cell>
          <cell r="F27">
            <v>0</v>
          </cell>
          <cell r="G27">
            <v>66.8</v>
          </cell>
          <cell r="H27">
            <v>7037.97</v>
          </cell>
          <cell r="I27">
            <v>4548.07</v>
          </cell>
          <cell r="J27">
            <v>43.12</v>
          </cell>
          <cell r="K27">
            <v>2533.02</v>
          </cell>
          <cell r="L27">
            <v>35.869999999999997</v>
          </cell>
          <cell r="M27">
            <v>0.59</v>
          </cell>
        </row>
        <row r="28">
          <cell r="A28" t="str">
            <v>INCESA</v>
          </cell>
          <cell r="B28">
            <v>5</v>
          </cell>
          <cell r="C28">
            <v>7082.67</v>
          </cell>
          <cell r="D28">
            <v>88.2</v>
          </cell>
          <cell r="E28">
            <v>0</v>
          </cell>
          <cell r="F28">
            <v>0</v>
          </cell>
          <cell r="G28">
            <v>0</v>
          </cell>
          <cell r="H28">
            <v>7082.67</v>
          </cell>
          <cell r="I28">
            <v>4267.8429999999998</v>
          </cell>
          <cell r="J28">
            <v>0</v>
          </cell>
          <cell r="K28">
            <v>2814.8270000000002</v>
          </cell>
          <cell r="L28">
            <v>39.74</v>
          </cell>
          <cell r="M28">
            <v>0.59</v>
          </cell>
        </row>
        <row r="29">
          <cell r="A29" t="str">
            <v>NITROLUX</v>
          </cell>
          <cell r="B29">
            <v>11</v>
          </cell>
          <cell r="C29">
            <v>5786.51</v>
          </cell>
          <cell r="D29">
            <v>27.69</v>
          </cell>
          <cell r="E29">
            <v>0</v>
          </cell>
          <cell r="F29">
            <v>0</v>
          </cell>
          <cell r="G29">
            <v>88.2</v>
          </cell>
          <cell r="H29">
            <v>5698.31</v>
          </cell>
          <cell r="I29">
            <v>3093.26</v>
          </cell>
          <cell r="J29">
            <v>49.21</v>
          </cell>
          <cell r="K29">
            <v>2654.26</v>
          </cell>
          <cell r="L29">
            <v>46.26</v>
          </cell>
          <cell r="M29">
            <v>0.48</v>
          </cell>
        </row>
        <row r="30">
          <cell r="A30" t="str">
            <v>LEDVANCE</v>
          </cell>
          <cell r="B30">
            <v>13</v>
          </cell>
          <cell r="C30">
            <v>5750.54</v>
          </cell>
          <cell r="D30">
            <v>6.64</v>
          </cell>
          <cell r="E30">
            <v>0</v>
          </cell>
          <cell r="F30">
            <v>0</v>
          </cell>
          <cell r="G30">
            <v>233.2</v>
          </cell>
          <cell r="H30">
            <v>5517.34</v>
          </cell>
          <cell r="I30">
            <v>3287.38</v>
          </cell>
          <cell r="J30">
            <v>137.44999999999999</v>
          </cell>
          <cell r="K30">
            <v>2367.41</v>
          </cell>
          <cell r="L30">
            <v>42.18</v>
          </cell>
          <cell r="M30">
            <v>0.48</v>
          </cell>
        </row>
        <row r="31">
          <cell r="A31" t="str">
            <v>REALLE</v>
          </cell>
          <cell r="B31">
            <v>5</v>
          </cell>
          <cell r="C31">
            <v>5658.3090000000002</v>
          </cell>
          <cell r="D31">
            <v>33.28</v>
          </cell>
          <cell r="E31">
            <v>0</v>
          </cell>
          <cell r="F31">
            <v>0</v>
          </cell>
          <cell r="G31">
            <v>0</v>
          </cell>
          <cell r="H31">
            <v>5658.3090000000002</v>
          </cell>
          <cell r="I31">
            <v>3652.3530000000001</v>
          </cell>
          <cell r="J31">
            <v>0</v>
          </cell>
          <cell r="K31">
            <v>2005.9559999999999</v>
          </cell>
          <cell r="L31">
            <v>35.450000000000003</v>
          </cell>
          <cell r="M31">
            <v>0.47</v>
          </cell>
        </row>
        <row r="32">
          <cell r="A32" t="str">
            <v>BELLA PIA</v>
          </cell>
          <cell r="B32">
            <v>17</v>
          </cell>
          <cell r="C32">
            <v>5477.67</v>
          </cell>
          <cell r="D32">
            <v>219.11</v>
          </cell>
          <cell r="E32">
            <v>0</v>
          </cell>
          <cell r="F32">
            <v>0</v>
          </cell>
          <cell r="G32">
            <v>610.9</v>
          </cell>
          <cell r="H32">
            <v>4866.7700000000004</v>
          </cell>
          <cell r="I32">
            <v>3192.85</v>
          </cell>
          <cell r="J32">
            <v>369.91</v>
          </cell>
          <cell r="K32">
            <v>2043.83</v>
          </cell>
          <cell r="L32">
            <v>40.01</v>
          </cell>
          <cell r="M32">
            <v>0.45</v>
          </cell>
        </row>
        <row r="33">
          <cell r="A33" t="str">
            <v>MGM</v>
          </cell>
          <cell r="B33">
            <v>7</v>
          </cell>
          <cell r="C33">
            <v>5154.1000000000004</v>
          </cell>
          <cell r="D33">
            <v>515.41</v>
          </cell>
          <cell r="E33">
            <v>0</v>
          </cell>
          <cell r="F33">
            <v>0</v>
          </cell>
          <cell r="G33">
            <v>600.35</v>
          </cell>
          <cell r="H33">
            <v>4553.75</v>
          </cell>
          <cell r="I33">
            <v>3022.78</v>
          </cell>
          <cell r="J33">
            <v>424.04</v>
          </cell>
          <cell r="K33">
            <v>1955.01</v>
          </cell>
          <cell r="L33">
            <v>41.33</v>
          </cell>
          <cell r="M33">
            <v>0.43</v>
          </cell>
        </row>
        <row r="34">
          <cell r="A34" t="str">
            <v>MULT MIX IMPORTADORA</v>
          </cell>
          <cell r="B34">
            <v>21</v>
          </cell>
          <cell r="C34">
            <v>5125.88</v>
          </cell>
          <cell r="D34">
            <v>16.97</v>
          </cell>
          <cell r="E34">
            <v>0</v>
          </cell>
          <cell r="F34">
            <v>0</v>
          </cell>
          <cell r="G34">
            <v>0</v>
          </cell>
          <cell r="H34">
            <v>5125.88</v>
          </cell>
          <cell r="I34">
            <v>2622.68</v>
          </cell>
          <cell r="J34">
            <v>0</v>
          </cell>
          <cell r="K34">
            <v>2503.1999999999998</v>
          </cell>
          <cell r="L34">
            <v>48.83</v>
          </cell>
          <cell r="M34">
            <v>0.42</v>
          </cell>
        </row>
        <row r="35">
          <cell r="A35" t="str">
            <v>BLUKIT</v>
          </cell>
          <cell r="B35">
            <v>33</v>
          </cell>
          <cell r="C35">
            <v>4952.74</v>
          </cell>
          <cell r="D35">
            <v>17.2</v>
          </cell>
          <cell r="E35">
            <v>0</v>
          </cell>
          <cell r="F35">
            <v>0</v>
          </cell>
          <cell r="G35">
            <v>0</v>
          </cell>
          <cell r="H35">
            <v>4952.74</v>
          </cell>
          <cell r="I35">
            <v>2771.18</v>
          </cell>
          <cell r="J35">
            <v>0</v>
          </cell>
          <cell r="K35">
            <v>2181.56</v>
          </cell>
          <cell r="L35">
            <v>44.05</v>
          </cell>
          <cell r="M35">
            <v>0.41</v>
          </cell>
        </row>
        <row r="36">
          <cell r="A36" t="str">
            <v>KDK PORTAS</v>
          </cell>
          <cell r="B36">
            <v>15</v>
          </cell>
          <cell r="C36">
            <v>4862.2299999999996</v>
          </cell>
          <cell r="D36">
            <v>173.65</v>
          </cell>
          <cell r="E36">
            <v>0</v>
          </cell>
          <cell r="F36">
            <v>0</v>
          </cell>
          <cell r="G36">
            <v>0</v>
          </cell>
          <cell r="H36">
            <v>4862.2299999999996</v>
          </cell>
          <cell r="I36">
            <v>2625.05</v>
          </cell>
          <cell r="J36">
            <v>0</v>
          </cell>
          <cell r="K36">
            <v>2237.1799999999998</v>
          </cell>
          <cell r="L36">
            <v>46.01</v>
          </cell>
          <cell r="M36">
            <v>0.4</v>
          </cell>
        </row>
        <row r="37">
          <cell r="A37" t="str">
            <v>PADO</v>
          </cell>
          <cell r="B37">
            <v>7</v>
          </cell>
          <cell r="C37">
            <v>4814.4799999999996</v>
          </cell>
          <cell r="D37">
            <v>58.01</v>
          </cell>
          <cell r="E37">
            <v>0</v>
          </cell>
          <cell r="F37">
            <v>0</v>
          </cell>
          <cell r="G37">
            <v>0</v>
          </cell>
          <cell r="H37">
            <v>4814.4799999999996</v>
          </cell>
          <cell r="I37">
            <v>2644.24</v>
          </cell>
          <cell r="J37">
            <v>0</v>
          </cell>
          <cell r="K37">
            <v>2170.2399999999998</v>
          </cell>
          <cell r="L37">
            <v>45.08</v>
          </cell>
          <cell r="M37">
            <v>0.4</v>
          </cell>
        </row>
        <row r="38">
          <cell r="A38" t="str">
            <v>ETERNIT</v>
          </cell>
          <cell r="B38">
            <v>8</v>
          </cell>
          <cell r="C38">
            <v>4695.3599999999997</v>
          </cell>
          <cell r="D38">
            <v>65.209999999999994</v>
          </cell>
          <cell r="E38">
            <v>0</v>
          </cell>
          <cell r="F38">
            <v>0</v>
          </cell>
          <cell r="G38">
            <v>0</v>
          </cell>
          <cell r="H38">
            <v>4695.3599999999997</v>
          </cell>
          <cell r="I38">
            <v>3467.14</v>
          </cell>
          <cell r="J38">
            <v>0</v>
          </cell>
          <cell r="K38">
            <v>1228.22</v>
          </cell>
          <cell r="L38">
            <v>26.16</v>
          </cell>
          <cell r="M38">
            <v>0.39</v>
          </cell>
        </row>
        <row r="39">
          <cell r="A39" t="str">
            <v>AVANT</v>
          </cell>
          <cell r="B39">
            <v>13</v>
          </cell>
          <cell r="C39">
            <v>4623.7299999999996</v>
          </cell>
          <cell r="D39">
            <v>26.42</v>
          </cell>
          <cell r="E39">
            <v>0</v>
          </cell>
          <cell r="F39">
            <v>0</v>
          </cell>
          <cell r="G39">
            <v>116.8</v>
          </cell>
          <cell r="H39">
            <v>4506.93</v>
          </cell>
          <cell r="I39">
            <v>2392.4499999999998</v>
          </cell>
          <cell r="J39">
            <v>60.06</v>
          </cell>
          <cell r="K39">
            <v>2174.54</v>
          </cell>
          <cell r="L39">
            <v>47.65</v>
          </cell>
          <cell r="M39">
            <v>0.38</v>
          </cell>
        </row>
        <row r="40">
          <cell r="A40" t="str">
            <v>PULVITEC</v>
          </cell>
          <cell r="B40">
            <v>34</v>
          </cell>
          <cell r="C40">
            <v>4541.3599999999997</v>
          </cell>
          <cell r="D40">
            <v>8.6999999999999993</v>
          </cell>
          <cell r="E40">
            <v>0</v>
          </cell>
          <cell r="F40">
            <v>0</v>
          </cell>
          <cell r="G40">
            <v>154.4</v>
          </cell>
          <cell r="H40">
            <v>4386.96</v>
          </cell>
          <cell r="I40">
            <v>2294.69</v>
          </cell>
          <cell r="J40">
            <v>93.2</v>
          </cell>
          <cell r="K40">
            <v>2185.4699999999998</v>
          </cell>
          <cell r="L40">
            <v>49.13</v>
          </cell>
          <cell r="M40">
            <v>0.38</v>
          </cell>
        </row>
        <row r="41">
          <cell r="A41" t="str">
            <v>LUCONI</v>
          </cell>
          <cell r="B41">
            <v>29</v>
          </cell>
          <cell r="C41">
            <v>4398.01</v>
          </cell>
          <cell r="D41">
            <v>10.45</v>
          </cell>
          <cell r="E41">
            <v>0</v>
          </cell>
          <cell r="F41">
            <v>0</v>
          </cell>
          <cell r="G41">
            <v>119.7</v>
          </cell>
          <cell r="H41">
            <v>4278.3100000000004</v>
          </cell>
          <cell r="I41">
            <v>2082.64</v>
          </cell>
          <cell r="J41">
            <v>52.17</v>
          </cell>
          <cell r="K41">
            <v>2247.84</v>
          </cell>
          <cell r="L41">
            <v>51.72</v>
          </cell>
          <cell r="M41">
            <v>0.36</v>
          </cell>
        </row>
        <row r="42">
          <cell r="A42" t="str">
            <v>METALURGICA MOR S/A</v>
          </cell>
          <cell r="B42">
            <v>6</v>
          </cell>
          <cell r="C42">
            <v>4041.13</v>
          </cell>
          <cell r="D42">
            <v>82.47</v>
          </cell>
          <cell r="E42">
            <v>0</v>
          </cell>
          <cell r="F42">
            <v>0</v>
          </cell>
          <cell r="G42">
            <v>32.9</v>
          </cell>
          <cell r="H42">
            <v>4008.23</v>
          </cell>
          <cell r="I42">
            <v>2516.96</v>
          </cell>
          <cell r="J42">
            <v>19.07</v>
          </cell>
          <cell r="K42">
            <v>1510.34</v>
          </cell>
          <cell r="L42">
            <v>37.549999999999997</v>
          </cell>
          <cell r="M42">
            <v>0.33</v>
          </cell>
        </row>
        <row r="43">
          <cell r="A43" t="str">
            <v>INTECH MACHINE</v>
          </cell>
          <cell r="B43">
            <v>11</v>
          </cell>
          <cell r="C43">
            <v>4021.32</v>
          </cell>
          <cell r="D43">
            <v>236.55</v>
          </cell>
          <cell r="E43">
            <v>0</v>
          </cell>
          <cell r="F43">
            <v>0</v>
          </cell>
          <cell r="G43">
            <v>669.49</v>
          </cell>
          <cell r="H43">
            <v>3351.83</v>
          </cell>
          <cell r="I43">
            <v>2405.61</v>
          </cell>
          <cell r="J43">
            <v>428</v>
          </cell>
          <cell r="K43">
            <v>1374.22</v>
          </cell>
          <cell r="L43">
            <v>38.24</v>
          </cell>
          <cell r="M43">
            <v>0.33</v>
          </cell>
        </row>
        <row r="44">
          <cell r="A44" t="str">
            <v>VEDACIT</v>
          </cell>
          <cell r="B44">
            <v>9</v>
          </cell>
          <cell r="C44">
            <v>3227.95</v>
          </cell>
          <cell r="D44">
            <v>80.7</v>
          </cell>
          <cell r="E44">
            <v>0</v>
          </cell>
          <cell r="F44">
            <v>0</v>
          </cell>
          <cell r="G44">
            <v>0</v>
          </cell>
          <cell r="H44">
            <v>3227.95</v>
          </cell>
          <cell r="I44">
            <v>1868.02</v>
          </cell>
          <cell r="J44">
            <v>0</v>
          </cell>
          <cell r="K44">
            <v>1359.93</v>
          </cell>
          <cell r="L44">
            <v>42.13</v>
          </cell>
          <cell r="M44">
            <v>0.27</v>
          </cell>
        </row>
        <row r="45">
          <cell r="A45" t="str">
            <v>SILVANA</v>
          </cell>
          <cell r="B45">
            <v>9</v>
          </cell>
          <cell r="C45">
            <v>2999.5</v>
          </cell>
          <cell r="D45">
            <v>33.700000000000003</v>
          </cell>
          <cell r="E45">
            <v>0</v>
          </cell>
          <cell r="F45">
            <v>0</v>
          </cell>
          <cell r="G45">
            <v>162.80000000000001</v>
          </cell>
          <cell r="H45">
            <v>2836.7</v>
          </cell>
          <cell r="I45">
            <v>1776.32</v>
          </cell>
          <cell r="J45">
            <v>96.46</v>
          </cell>
          <cell r="K45">
            <v>1156.8399999999999</v>
          </cell>
          <cell r="L45">
            <v>39.85</v>
          </cell>
          <cell r="M45">
            <v>0.25</v>
          </cell>
        </row>
        <row r="46">
          <cell r="A46" t="str">
            <v>MYPA</v>
          </cell>
          <cell r="B46">
            <v>21</v>
          </cell>
          <cell r="C46">
            <v>2975.09</v>
          </cell>
          <cell r="D46">
            <v>11.58</v>
          </cell>
          <cell r="E46">
            <v>0</v>
          </cell>
          <cell r="F46">
            <v>0</v>
          </cell>
          <cell r="G46">
            <v>0</v>
          </cell>
          <cell r="H46">
            <v>2975.09</v>
          </cell>
          <cell r="I46">
            <v>1639.1</v>
          </cell>
          <cell r="J46">
            <v>0</v>
          </cell>
          <cell r="K46">
            <v>1335.99</v>
          </cell>
          <cell r="L46">
            <v>44.91</v>
          </cell>
          <cell r="M46">
            <v>0.25</v>
          </cell>
        </row>
        <row r="47">
          <cell r="A47" t="str">
            <v>LEGRAND</v>
          </cell>
          <cell r="B47">
            <v>6</v>
          </cell>
          <cell r="C47">
            <v>2971.4</v>
          </cell>
          <cell r="D47">
            <v>15.56</v>
          </cell>
          <cell r="E47">
            <v>0</v>
          </cell>
          <cell r="F47">
            <v>0</v>
          </cell>
          <cell r="G47">
            <v>0</v>
          </cell>
          <cell r="H47">
            <v>2971.4</v>
          </cell>
          <cell r="I47">
            <v>1844.92</v>
          </cell>
          <cell r="J47">
            <v>0</v>
          </cell>
          <cell r="K47">
            <v>1126.48</v>
          </cell>
          <cell r="L47">
            <v>37.909999999999997</v>
          </cell>
          <cell r="M47">
            <v>0.25</v>
          </cell>
        </row>
        <row r="48">
          <cell r="A48" t="str">
            <v>PLASTMAR IND E COM</v>
          </cell>
          <cell r="B48">
            <v>6</v>
          </cell>
          <cell r="C48">
            <v>2813.76</v>
          </cell>
          <cell r="D48">
            <v>62.53</v>
          </cell>
          <cell r="E48">
            <v>0</v>
          </cell>
          <cell r="F48">
            <v>0</v>
          </cell>
          <cell r="G48">
            <v>13.9</v>
          </cell>
          <cell r="H48">
            <v>2799.86</v>
          </cell>
          <cell r="I48">
            <v>1685.19</v>
          </cell>
          <cell r="J48">
            <v>7.44</v>
          </cell>
          <cell r="K48">
            <v>1122.1099999999999</v>
          </cell>
          <cell r="L48">
            <v>39.99</v>
          </cell>
          <cell r="M48">
            <v>0.23</v>
          </cell>
        </row>
        <row r="49">
          <cell r="A49" t="str">
            <v>NORCOLA</v>
          </cell>
          <cell r="B49">
            <v>4</v>
          </cell>
          <cell r="C49">
            <v>2599</v>
          </cell>
          <cell r="D49">
            <v>259.89999999999998</v>
          </cell>
          <cell r="E49">
            <v>0</v>
          </cell>
          <cell r="F49">
            <v>0</v>
          </cell>
          <cell r="G49">
            <v>574.9</v>
          </cell>
          <cell r="H49">
            <v>2024.1</v>
          </cell>
          <cell r="I49">
            <v>2115.0700000000002</v>
          </cell>
          <cell r="J49">
            <v>368.63</v>
          </cell>
          <cell r="K49">
            <v>277.66000000000003</v>
          </cell>
          <cell r="L49">
            <v>12.45</v>
          </cell>
          <cell r="M49">
            <v>0.21</v>
          </cell>
        </row>
        <row r="50">
          <cell r="A50" t="str">
            <v>METALOSA</v>
          </cell>
          <cell r="B50">
            <v>4</v>
          </cell>
          <cell r="C50">
            <v>2471.31</v>
          </cell>
          <cell r="D50">
            <v>224.66</v>
          </cell>
          <cell r="E50">
            <v>0</v>
          </cell>
          <cell r="F50">
            <v>0</v>
          </cell>
          <cell r="G50">
            <v>309.89999999999998</v>
          </cell>
          <cell r="H50">
            <v>2161.41</v>
          </cell>
          <cell r="I50">
            <v>1424.61</v>
          </cell>
          <cell r="J50">
            <v>176.74</v>
          </cell>
          <cell r="K50">
            <v>913.54</v>
          </cell>
          <cell r="L50">
            <v>39.81</v>
          </cell>
          <cell r="M50">
            <v>0.2</v>
          </cell>
        </row>
        <row r="51">
          <cell r="A51" t="str">
            <v>NORTON</v>
          </cell>
          <cell r="B51">
            <v>15</v>
          </cell>
          <cell r="C51">
            <v>2450.86</v>
          </cell>
          <cell r="D51">
            <v>2.41</v>
          </cell>
          <cell r="E51">
            <v>0</v>
          </cell>
          <cell r="F51">
            <v>0</v>
          </cell>
          <cell r="G51">
            <v>8.1</v>
          </cell>
          <cell r="H51">
            <v>2442.7600000000002</v>
          </cell>
          <cell r="I51">
            <v>1321.02</v>
          </cell>
          <cell r="J51">
            <v>4.62</v>
          </cell>
          <cell r="K51">
            <v>1126.3599999999999</v>
          </cell>
          <cell r="L51">
            <v>46.04</v>
          </cell>
          <cell r="M51">
            <v>0.2</v>
          </cell>
        </row>
        <row r="52">
          <cell r="A52" t="str">
            <v>PRATEFIX</v>
          </cell>
          <cell r="B52">
            <v>4</v>
          </cell>
          <cell r="C52">
            <v>2249.12</v>
          </cell>
          <cell r="D52">
            <v>34.6</v>
          </cell>
          <cell r="E52">
            <v>0</v>
          </cell>
          <cell r="F52">
            <v>0</v>
          </cell>
          <cell r="G52">
            <v>0</v>
          </cell>
          <cell r="H52">
            <v>2249.12</v>
          </cell>
          <cell r="I52">
            <v>1191.52</v>
          </cell>
          <cell r="J52">
            <v>0</v>
          </cell>
          <cell r="K52">
            <v>1057.5999999999999</v>
          </cell>
          <cell r="L52">
            <v>47.02</v>
          </cell>
          <cell r="M52">
            <v>0.19</v>
          </cell>
        </row>
        <row r="53">
          <cell r="A53" t="str">
            <v>TAF</v>
          </cell>
          <cell r="B53">
            <v>9</v>
          </cell>
          <cell r="C53">
            <v>2136.08</v>
          </cell>
          <cell r="D53">
            <v>19.420000000000002</v>
          </cell>
          <cell r="E53">
            <v>0</v>
          </cell>
          <cell r="F53">
            <v>0</v>
          </cell>
          <cell r="G53">
            <v>29.9</v>
          </cell>
          <cell r="H53">
            <v>2106.1799999999998</v>
          </cell>
          <cell r="I53">
            <v>1190.8599999999999</v>
          </cell>
          <cell r="J53">
            <v>16.86</v>
          </cell>
          <cell r="K53">
            <v>932.18</v>
          </cell>
          <cell r="L53">
            <v>43.99</v>
          </cell>
          <cell r="M53">
            <v>0.18</v>
          </cell>
        </row>
        <row r="54">
          <cell r="A54" t="str">
            <v>PRECON</v>
          </cell>
          <cell r="B54">
            <v>2</v>
          </cell>
          <cell r="C54">
            <v>2128.5</v>
          </cell>
          <cell r="D54">
            <v>141.9</v>
          </cell>
          <cell r="E54">
            <v>0</v>
          </cell>
          <cell r="F54">
            <v>0</v>
          </cell>
          <cell r="G54">
            <v>0</v>
          </cell>
          <cell r="H54">
            <v>2128.5</v>
          </cell>
          <cell r="I54">
            <v>1352.04</v>
          </cell>
          <cell r="J54">
            <v>0</v>
          </cell>
          <cell r="K54">
            <v>776.46</v>
          </cell>
          <cell r="L54">
            <v>36.479999999999997</v>
          </cell>
          <cell r="M54">
            <v>0.18</v>
          </cell>
        </row>
        <row r="55">
          <cell r="A55" t="str">
            <v>BRASFORMA</v>
          </cell>
          <cell r="B55">
            <v>6</v>
          </cell>
          <cell r="C55">
            <v>1864.8</v>
          </cell>
          <cell r="D55">
            <v>62.16</v>
          </cell>
          <cell r="E55">
            <v>0</v>
          </cell>
          <cell r="F55">
            <v>0</v>
          </cell>
          <cell r="G55">
            <v>102.9</v>
          </cell>
          <cell r="H55">
            <v>1761.9</v>
          </cell>
          <cell r="I55">
            <v>1154.6400000000001</v>
          </cell>
          <cell r="J55">
            <v>65.53</v>
          </cell>
          <cell r="K55">
            <v>672.79</v>
          </cell>
          <cell r="L55">
            <v>37.39</v>
          </cell>
          <cell r="M55">
            <v>0.15</v>
          </cell>
        </row>
        <row r="56">
          <cell r="A56" t="str">
            <v>CORTAG</v>
          </cell>
          <cell r="B56">
            <v>18</v>
          </cell>
          <cell r="C56">
            <v>1830.66</v>
          </cell>
          <cell r="D56">
            <v>12.2</v>
          </cell>
          <cell r="E56">
            <v>0</v>
          </cell>
          <cell r="F56">
            <v>0</v>
          </cell>
          <cell r="G56">
            <v>0</v>
          </cell>
          <cell r="H56">
            <v>1830.66</v>
          </cell>
          <cell r="I56">
            <v>1058.1300000000001</v>
          </cell>
          <cell r="J56">
            <v>0</v>
          </cell>
          <cell r="K56">
            <v>772.53</v>
          </cell>
          <cell r="L56">
            <v>42.2</v>
          </cell>
          <cell r="M56">
            <v>0.15</v>
          </cell>
        </row>
        <row r="57">
          <cell r="A57" t="str">
            <v>EXATRON</v>
          </cell>
          <cell r="B57">
            <v>5</v>
          </cell>
          <cell r="C57">
            <v>1545.74</v>
          </cell>
          <cell r="D57">
            <v>49.86</v>
          </cell>
          <cell r="E57">
            <v>0</v>
          </cell>
          <cell r="F57">
            <v>0</v>
          </cell>
          <cell r="G57">
            <v>34.9</v>
          </cell>
          <cell r="H57">
            <v>1510.84</v>
          </cell>
          <cell r="I57">
            <v>916.3</v>
          </cell>
          <cell r="J57">
            <v>20.3</v>
          </cell>
          <cell r="K57">
            <v>614.84</v>
          </cell>
          <cell r="L57">
            <v>40.31</v>
          </cell>
          <cell r="M57">
            <v>0.13</v>
          </cell>
        </row>
        <row r="58">
          <cell r="A58" t="str">
            <v>ADERE</v>
          </cell>
          <cell r="B58">
            <v>8</v>
          </cell>
          <cell r="C58">
            <v>1487.94</v>
          </cell>
          <cell r="D58">
            <v>10.94</v>
          </cell>
          <cell r="E58">
            <v>0</v>
          </cell>
          <cell r="F58">
            <v>0</v>
          </cell>
          <cell r="G58">
            <v>0</v>
          </cell>
          <cell r="H58">
            <v>1487.94</v>
          </cell>
          <cell r="I58">
            <v>898.52</v>
          </cell>
          <cell r="J58">
            <v>0</v>
          </cell>
          <cell r="K58">
            <v>589.41999999999996</v>
          </cell>
          <cell r="L58">
            <v>39.61</v>
          </cell>
          <cell r="M58">
            <v>0.12</v>
          </cell>
        </row>
        <row r="59">
          <cell r="A59" t="str">
            <v>DOCOL METAIS</v>
          </cell>
          <cell r="B59">
            <v>9</v>
          </cell>
          <cell r="C59">
            <v>1427.86</v>
          </cell>
          <cell r="D59">
            <v>62.08</v>
          </cell>
          <cell r="E59">
            <v>0</v>
          </cell>
          <cell r="F59">
            <v>0</v>
          </cell>
          <cell r="G59">
            <v>129.9</v>
          </cell>
          <cell r="H59">
            <v>1297.96</v>
          </cell>
          <cell r="I59">
            <v>898</v>
          </cell>
          <cell r="J59">
            <v>76.39</v>
          </cell>
          <cell r="K59">
            <v>476.35</v>
          </cell>
          <cell r="L59">
            <v>35.25</v>
          </cell>
          <cell r="M59">
            <v>0.12</v>
          </cell>
        </row>
        <row r="60">
          <cell r="A60" t="str">
            <v>BEMFIXA</v>
          </cell>
          <cell r="B60">
            <v>7</v>
          </cell>
          <cell r="C60">
            <v>1375.29</v>
          </cell>
          <cell r="D60">
            <v>12.5</v>
          </cell>
          <cell r="E60">
            <v>0</v>
          </cell>
          <cell r="F60">
            <v>0</v>
          </cell>
          <cell r="G60">
            <v>6.5</v>
          </cell>
          <cell r="H60">
            <v>1368.79</v>
          </cell>
          <cell r="I60">
            <v>810.01</v>
          </cell>
          <cell r="J60">
            <v>4.1900000000000004</v>
          </cell>
          <cell r="K60">
            <v>562.97</v>
          </cell>
          <cell r="L60">
            <v>41.06</v>
          </cell>
          <cell r="M60">
            <v>0.11</v>
          </cell>
        </row>
        <row r="61">
          <cell r="A61" t="str">
            <v>ORBI QUIMICA LTDA</v>
          </cell>
          <cell r="B61">
            <v>10</v>
          </cell>
          <cell r="C61">
            <v>1305.68</v>
          </cell>
          <cell r="D61">
            <v>15.54</v>
          </cell>
          <cell r="E61">
            <v>0</v>
          </cell>
          <cell r="F61">
            <v>0</v>
          </cell>
          <cell r="G61">
            <v>0</v>
          </cell>
          <cell r="H61">
            <v>1305.68</v>
          </cell>
          <cell r="I61">
            <v>694.27</v>
          </cell>
          <cell r="J61">
            <v>0</v>
          </cell>
          <cell r="K61">
            <v>611.41</v>
          </cell>
          <cell r="L61">
            <v>46.83</v>
          </cell>
          <cell r="M61">
            <v>0.11</v>
          </cell>
        </row>
        <row r="62">
          <cell r="A62" t="str">
            <v>KRONA</v>
          </cell>
          <cell r="B62">
            <v>14</v>
          </cell>
          <cell r="C62">
            <v>1301.52</v>
          </cell>
          <cell r="D62">
            <v>4.5999999999999996</v>
          </cell>
          <cell r="E62">
            <v>0</v>
          </cell>
          <cell r="F62">
            <v>0</v>
          </cell>
          <cell r="G62">
            <v>130.80000000000001</v>
          </cell>
          <cell r="H62">
            <v>1170.72</v>
          </cell>
          <cell r="I62">
            <v>702.29</v>
          </cell>
          <cell r="J62">
            <v>65.86</v>
          </cell>
          <cell r="K62">
            <v>534.29</v>
          </cell>
          <cell r="L62">
            <v>43.24</v>
          </cell>
          <cell r="M62">
            <v>0.11</v>
          </cell>
        </row>
        <row r="63">
          <cell r="A63" t="str">
            <v>CENSI</v>
          </cell>
          <cell r="B63">
            <v>6</v>
          </cell>
          <cell r="C63">
            <v>1295.3</v>
          </cell>
          <cell r="D63">
            <v>35.979999999999997</v>
          </cell>
          <cell r="E63">
            <v>0</v>
          </cell>
          <cell r="F63">
            <v>0</v>
          </cell>
          <cell r="G63">
            <v>264.19</v>
          </cell>
          <cell r="H63">
            <v>1031.1099999999999</v>
          </cell>
          <cell r="I63">
            <v>785.5</v>
          </cell>
          <cell r="J63">
            <v>160.44999999999999</v>
          </cell>
          <cell r="K63">
            <v>406.06</v>
          </cell>
          <cell r="L63">
            <v>35.78</v>
          </cell>
          <cell r="M63">
            <v>0.11</v>
          </cell>
        </row>
        <row r="64">
          <cell r="A64" t="str">
            <v>ASTRA</v>
          </cell>
          <cell r="B64">
            <v>7</v>
          </cell>
          <cell r="C64">
            <v>1225.1199999999999</v>
          </cell>
          <cell r="D64">
            <v>17.5</v>
          </cell>
          <cell r="E64">
            <v>0</v>
          </cell>
          <cell r="F64">
            <v>0</v>
          </cell>
          <cell r="G64">
            <v>17.8</v>
          </cell>
          <cell r="H64">
            <v>1207.32</v>
          </cell>
          <cell r="I64">
            <v>706.3</v>
          </cell>
          <cell r="J64">
            <v>10.02</v>
          </cell>
          <cell r="K64">
            <v>511.04</v>
          </cell>
          <cell r="L64">
            <v>42.06</v>
          </cell>
          <cell r="M64">
            <v>0.1</v>
          </cell>
        </row>
        <row r="65">
          <cell r="A65" t="str">
            <v>PRATIMIX</v>
          </cell>
          <cell r="B65">
            <v>10</v>
          </cell>
          <cell r="C65">
            <v>1070.5999999999999</v>
          </cell>
          <cell r="D65">
            <v>11.51</v>
          </cell>
          <cell r="E65">
            <v>0</v>
          </cell>
          <cell r="F65">
            <v>0</v>
          </cell>
          <cell r="G65">
            <v>105.3</v>
          </cell>
          <cell r="H65">
            <v>965.3</v>
          </cell>
          <cell r="I65">
            <v>607.11</v>
          </cell>
          <cell r="J65">
            <v>58.77</v>
          </cell>
          <cell r="K65">
            <v>416.96</v>
          </cell>
          <cell r="L65">
            <v>41.21</v>
          </cell>
          <cell r="M65">
            <v>0.09</v>
          </cell>
        </row>
        <row r="66">
          <cell r="A66" t="str">
            <v>Momfort</v>
          </cell>
          <cell r="B66">
            <v>4</v>
          </cell>
          <cell r="C66">
            <v>902.56</v>
          </cell>
          <cell r="D66">
            <v>34.71</v>
          </cell>
          <cell r="E66">
            <v>0</v>
          </cell>
          <cell r="F66">
            <v>0</v>
          </cell>
          <cell r="G66">
            <v>0</v>
          </cell>
          <cell r="H66">
            <v>902.56</v>
          </cell>
          <cell r="I66">
            <v>478.97</v>
          </cell>
          <cell r="J66">
            <v>0</v>
          </cell>
          <cell r="K66">
            <v>423.59</v>
          </cell>
          <cell r="L66">
            <v>46.93</v>
          </cell>
          <cell r="M66">
            <v>7.0000000000000007E-2</v>
          </cell>
        </row>
        <row r="67">
          <cell r="A67" t="str">
            <v>BOGNAR</v>
          </cell>
          <cell r="B67">
            <v>3</v>
          </cell>
          <cell r="C67">
            <v>873.9</v>
          </cell>
          <cell r="D67">
            <v>41.61</v>
          </cell>
          <cell r="E67">
            <v>0</v>
          </cell>
          <cell r="F67">
            <v>0</v>
          </cell>
          <cell r="G67">
            <v>116.8</v>
          </cell>
          <cell r="H67">
            <v>757.1</v>
          </cell>
          <cell r="I67">
            <v>577.4</v>
          </cell>
          <cell r="J67">
            <v>73.27</v>
          </cell>
          <cell r="K67">
            <v>252.97</v>
          </cell>
          <cell r="L67">
            <v>31.6</v>
          </cell>
          <cell r="M67">
            <v>7.0000000000000007E-2</v>
          </cell>
        </row>
        <row r="68">
          <cell r="A68" t="str">
            <v>GARDENLIFE</v>
          </cell>
          <cell r="B68">
            <v>2</v>
          </cell>
          <cell r="C68">
            <v>773.31</v>
          </cell>
          <cell r="D68">
            <v>77.33</v>
          </cell>
          <cell r="E68">
            <v>0</v>
          </cell>
          <cell r="F68">
            <v>0</v>
          </cell>
          <cell r="G68">
            <v>0</v>
          </cell>
          <cell r="H68">
            <v>773.31</v>
          </cell>
          <cell r="I68">
            <v>508.17</v>
          </cell>
          <cell r="J68">
            <v>0</v>
          </cell>
          <cell r="K68">
            <v>265.14</v>
          </cell>
          <cell r="L68">
            <v>34.29</v>
          </cell>
          <cell r="M68">
            <v>0.06</v>
          </cell>
        </row>
        <row r="69">
          <cell r="A69" t="str">
            <v>ONDULINE</v>
          </cell>
          <cell r="B69">
            <v>2</v>
          </cell>
          <cell r="C69">
            <v>759.2</v>
          </cell>
          <cell r="D69">
            <v>69.02</v>
          </cell>
          <cell r="E69">
            <v>0</v>
          </cell>
          <cell r="F69">
            <v>0</v>
          </cell>
          <cell r="G69">
            <v>0</v>
          </cell>
          <cell r="H69">
            <v>759.2</v>
          </cell>
          <cell r="I69">
            <v>512.57000000000005</v>
          </cell>
          <cell r="J69">
            <v>0</v>
          </cell>
          <cell r="K69">
            <v>246.63</v>
          </cell>
          <cell r="L69">
            <v>32.49</v>
          </cell>
          <cell r="M69">
            <v>0.06</v>
          </cell>
        </row>
        <row r="70">
          <cell r="A70" t="str">
            <v>BOSCH</v>
          </cell>
          <cell r="B70">
            <v>3</v>
          </cell>
          <cell r="C70">
            <v>737.68</v>
          </cell>
          <cell r="D70">
            <v>147.54</v>
          </cell>
          <cell r="E70">
            <v>0</v>
          </cell>
          <cell r="F70">
            <v>0</v>
          </cell>
          <cell r="G70">
            <v>0</v>
          </cell>
          <cell r="H70">
            <v>737.68</v>
          </cell>
          <cell r="I70">
            <v>480.16</v>
          </cell>
          <cell r="J70">
            <v>0</v>
          </cell>
          <cell r="K70">
            <v>257.52</v>
          </cell>
          <cell r="L70">
            <v>34.909999999999997</v>
          </cell>
          <cell r="M70">
            <v>0.06</v>
          </cell>
        </row>
        <row r="71">
          <cell r="A71" t="str">
            <v>ULTRACLEAN</v>
          </cell>
          <cell r="B71">
            <v>3</v>
          </cell>
          <cell r="C71">
            <v>730.36</v>
          </cell>
          <cell r="D71">
            <v>23.56</v>
          </cell>
          <cell r="E71">
            <v>0</v>
          </cell>
          <cell r="F71">
            <v>0</v>
          </cell>
          <cell r="G71">
            <v>0</v>
          </cell>
          <cell r="H71">
            <v>730.36</v>
          </cell>
          <cell r="I71">
            <v>443.54</v>
          </cell>
          <cell r="J71">
            <v>0</v>
          </cell>
          <cell r="K71">
            <v>286.82</v>
          </cell>
          <cell r="L71">
            <v>39.270000000000003</v>
          </cell>
          <cell r="M71">
            <v>0.06</v>
          </cell>
        </row>
        <row r="72">
          <cell r="A72" t="str">
            <v>SECALUX</v>
          </cell>
          <cell r="B72">
            <v>4</v>
          </cell>
          <cell r="C72">
            <v>727.9</v>
          </cell>
          <cell r="D72">
            <v>66.17</v>
          </cell>
          <cell r="E72">
            <v>0</v>
          </cell>
          <cell r="F72">
            <v>0</v>
          </cell>
          <cell r="G72">
            <v>0</v>
          </cell>
          <cell r="H72">
            <v>727.9</v>
          </cell>
          <cell r="I72">
            <v>457.54</v>
          </cell>
          <cell r="J72">
            <v>0</v>
          </cell>
          <cell r="K72">
            <v>270.36</v>
          </cell>
          <cell r="L72">
            <v>37.14</v>
          </cell>
          <cell r="M72">
            <v>0.06</v>
          </cell>
        </row>
        <row r="73">
          <cell r="A73" t="str">
            <v>ARCELORMITTAL</v>
          </cell>
          <cell r="B73">
            <v>3</v>
          </cell>
          <cell r="C73">
            <v>721.52</v>
          </cell>
          <cell r="D73">
            <v>80.17</v>
          </cell>
          <cell r="E73">
            <v>0</v>
          </cell>
          <cell r="F73">
            <v>0</v>
          </cell>
          <cell r="G73">
            <v>0</v>
          </cell>
          <cell r="H73">
            <v>721.52</v>
          </cell>
          <cell r="I73">
            <v>424.41</v>
          </cell>
          <cell r="J73">
            <v>0</v>
          </cell>
          <cell r="K73">
            <v>297.11</v>
          </cell>
          <cell r="L73">
            <v>41.18</v>
          </cell>
          <cell r="M73">
            <v>0.06</v>
          </cell>
        </row>
        <row r="74">
          <cell r="A74" t="str">
            <v>VONDER</v>
          </cell>
          <cell r="B74">
            <v>5</v>
          </cell>
          <cell r="C74">
            <v>693.33</v>
          </cell>
          <cell r="D74">
            <v>38.520000000000003</v>
          </cell>
          <cell r="E74">
            <v>0</v>
          </cell>
          <cell r="F74">
            <v>0</v>
          </cell>
          <cell r="G74">
            <v>17.8</v>
          </cell>
          <cell r="H74">
            <v>675.53</v>
          </cell>
          <cell r="I74">
            <v>402.46</v>
          </cell>
          <cell r="J74">
            <v>8.82</v>
          </cell>
          <cell r="K74">
            <v>281.89</v>
          </cell>
          <cell r="L74">
            <v>41.18</v>
          </cell>
          <cell r="M74">
            <v>0.06</v>
          </cell>
        </row>
        <row r="75">
          <cell r="A75" t="str">
            <v>HIDRACOR</v>
          </cell>
          <cell r="B75">
            <v>4</v>
          </cell>
          <cell r="C75">
            <v>680.9</v>
          </cell>
          <cell r="D75">
            <v>3.89</v>
          </cell>
          <cell r="E75">
            <v>0</v>
          </cell>
          <cell r="F75">
            <v>0</v>
          </cell>
          <cell r="G75">
            <v>0</v>
          </cell>
          <cell r="H75">
            <v>680.9</v>
          </cell>
          <cell r="I75">
            <v>271.26</v>
          </cell>
          <cell r="J75">
            <v>0</v>
          </cell>
          <cell r="K75">
            <v>409.64</v>
          </cell>
          <cell r="L75">
            <v>60.16</v>
          </cell>
          <cell r="M75">
            <v>0.06</v>
          </cell>
        </row>
        <row r="76">
          <cell r="A76" t="str">
            <v>J LOBATO</v>
          </cell>
          <cell r="B76">
            <v>5</v>
          </cell>
          <cell r="C76">
            <v>657.03</v>
          </cell>
          <cell r="D76">
            <v>19.32</v>
          </cell>
          <cell r="E76">
            <v>0</v>
          </cell>
          <cell r="F76">
            <v>0</v>
          </cell>
          <cell r="G76">
            <v>0</v>
          </cell>
          <cell r="H76">
            <v>657.03</v>
          </cell>
          <cell r="I76">
            <v>301.08</v>
          </cell>
          <cell r="J76">
            <v>0</v>
          </cell>
          <cell r="K76">
            <v>355.95</v>
          </cell>
          <cell r="L76">
            <v>54.18</v>
          </cell>
          <cell r="M76">
            <v>0.05</v>
          </cell>
        </row>
        <row r="77">
          <cell r="A77" t="str">
            <v>HERC</v>
          </cell>
          <cell r="B77">
            <v>11</v>
          </cell>
          <cell r="C77">
            <v>653.14</v>
          </cell>
          <cell r="D77">
            <v>14.2</v>
          </cell>
          <cell r="E77">
            <v>0</v>
          </cell>
          <cell r="F77">
            <v>0</v>
          </cell>
          <cell r="G77">
            <v>0</v>
          </cell>
          <cell r="H77">
            <v>653.14</v>
          </cell>
          <cell r="I77">
            <v>348.66</v>
          </cell>
          <cell r="J77">
            <v>0</v>
          </cell>
          <cell r="K77">
            <v>304.48</v>
          </cell>
          <cell r="L77">
            <v>46.62</v>
          </cell>
          <cell r="M77">
            <v>0.05</v>
          </cell>
        </row>
        <row r="78">
          <cell r="A78" t="str">
            <v>MARLUVAS</v>
          </cell>
          <cell r="B78">
            <v>2</v>
          </cell>
          <cell r="C78">
            <v>635.20000000000005</v>
          </cell>
          <cell r="D78">
            <v>79.400000000000006</v>
          </cell>
          <cell r="E78">
            <v>0</v>
          </cell>
          <cell r="F78">
            <v>0</v>
          </cell>
          <cell r="G78">
            <v>0</v>
          </cell>
          <cell r="H78">
            <v>635.20000000000005</v>
          </cell>
          <cell r="I78">
            <v>374.19</v>
          </cell>
          <cell r="J78">
            <v>0</v>
          </cell>
          <cell r="K78">
            <v>261.01</v>
          </cell>
          <cell r="L78">
            <v>41.09</v>
          </cell>
          <cell r="M78">
            <v>0.05</v>
          </cell>
        </row>
        <row r="79">
          <cell r="A79" t="str">
            <v>STARRETT INDUSTRIA E COMERCIO</v>
          </cell>
          <cell r="B79">
            <v>7</v>
          </cell>
          <cell r="C79">
            <v>613.52</v>
          </cell>
          <cell r="D79">
            <v>14.27</v>
          </cell>
          <cell r="E79">
            <v>0</v>
          </cell>
          <cell r="F79">
            <v>0</v>
          </cell>
          <cell r="G79">
            <v>69.900000000000006</v>
          </cell>
          <cell r="H79">
            <v>543.62</v>
          </cell>
          <cell r="I79">
            <v>341.23</v>
          </cell>
          <cell r="J79">
            <v>40.880000000000003</v>
          </cell>
          <cell r="K79">
            <v>243.27</v>
          </cell>
          <cell r="L79">
            <v>42.48</v>
          </cell>
          <cell r="M79">
            <v>0.05</v>
          </cell>
        </row>
        <row r="80">
          <cell r="A80" t="str">
            <v>DUDA</v>
          </cell>
          <cell r="B80">
            <v>4</v>
          </cell>
          <cell r="C80">
            <v>563.78</v>
          </cell>
          <cell r="D80">
            <v>29.67</v>
          </cell>
          <cell r="E80">
            <v>0</v>
          </cell>
          <cell r="F80">
            <v>0</v>
          </cell>
          <cell r="G80">
            <v>0</v>
          </cell>
          <cell r="H80">
            <v>563.78</v>
          </cell>
          <cell r="I80">
            <v>375.22</v>
          </cell>
          <cell r="J80">
            <v>0</v>
          </cell>
          <cell r="K80">
            <v>188.56</v>
          </cell>
          <cell r="L80">
            <v>33.450000000000003</v>
          </cell>
          <cell r="M80">
            <v>0.05</v>
          </cell>
        </row>
        <row r="81">
          <cell r="A81" t="str">
            <v>TRAMONTINA</v>
          </cell>
          <cell r="B81">
            <v>4</v>
          </cell>
          <cell r="C81">
            <v>562.70000000000005</v>
          </cell>
          <cell r="D81">
            <v>37.51</v>
          </cell>
          <cell r="E81">
            <v>0</v>
          </cell>
          <cell r="F81">
            <v>0</v>
          </cell>
          <cell r="G81">
            <v>9.1</v>
          </cell>
          <cell r="H81">
            <v>553.6</v>
          </cell>
          <cell r="I81">
            <v>322.19</v>
          </cell>
          <cell r="J81">
            <v>4.57</v>
          </cell>
          <cell r="K81">
            <v>235.98</v>
          </cell>
          <cell r="L81">
            <v>42.28</v>
          </cell>
          <cell r="M81">
            <v>0.05</v>
          </cell>
        </row>
        <row r="82">
          <cell r="A82" t="str">
            <v>NAWA COM ATAC VAR PROD LAR E L</v>
          </cell>
          <cell r="B82">
            <v>2</v>
          </cell>
          <cell r="C82">
            <v>539.79999999999995</v>
          </cell>
          <cell r="D82">
            <v>269.89999999999998</v>
          </cell>
          <cell r="E82">
            <v>0</v>
          </cell>
          <cell r="F82">
            <v>0</v>
          </cell>
          <cell r="G82">
            <v>0</v>
          </cell>
          <cell r="H82">
            <v>539.79999999999995</v>
          </cell>
          <cell r="I82">
            <v>313.86</v>
          </cell>
          <cell r="J82">
            <v>0</v>
          </cell>
          <cell r="K82">
            <v>225.94</v>
          </cell>
          <cell r="L82">
            <v>41.86</v>
          </cell>
          <cell r="M82">
            <v>0.04</v>
          </cell>
        </row>
        <row r="83">
          <cell r="A83" t="str">
            <v>BRASFORT</v>
          </cell>
          <cell r="B83">
            <v>5</v>
          </cell>
          <cell r="C83">
            <v>526.28</v>
          </cell>
          <cell r="D83">
            <v>18.8</v>
          </cell>
          <cell r="E83">
            <v>0</v>
          </cell>
          <cell r="F83">
            <v>0</v>
          </cell>
          <cell r="G83">
            <v>0</v>
          </cell>
          <cell r="H83">
            <v>526.28</v>
          </cell>
          <cell r="I83">
            <v>312.3</v>
          </cell>
          <cell r="J83">
            <v>0</v>
          </cell>
          <cell r="K83">
            <v>213.98</v>
          </cell>
          <cell r="L83">
            <v>40.659999999999997</v>
          </cell>
          <cell r="M83">
            <v>0.04</v>
          </cell>
        </row>
        <row r="84">
          <cell r="A84" t="str">
            <v>COZIMAX</v>
          </cell>
          <cell r="B84">
            <v>3</v>
          </cell>
          <cell r="C84">
            <v>503.6</v>
          </cell>
          <cell r="D84">
            <v>125.9</v>
          </cell>
          <cell r="E84">
            <v>0</v>
          </cell>
          <cell r="F84">
            <v>0</v>
          </cell>
          <cell r="G84">
            <v>0</v>
          </cell>
          <cell r="H84">
            <v>503.6</v>
          </cell>
          <cell r="I84">
            <v>297.02999999999997</v>
          </cell>
          <cell r="J84">
            <v>0</v>
          </cell>
          <cell r="K84">
            <v>206.57</v>
          </cell>
          <cell r="L84">
            <v>41.02</v>
          </cell>
          <cell r="M84">
            <v>0.04</v>
          </cell>
        </row>
        <row r="85">
          <cell r="A85" t="str">
            <v>ULTRA CLEAN</v>
          </cell>
          <cell r="B85">
            <v>4</v>
          </cell>
          <cell r="C85">
            <v>401.75</v>
          </cell>
          <cell r="D85">
            <v>22.32</v>
          </cell>
          <cell r="E85">
            <v>0</v>
          </cell>
          <cell r="F85">
            <v>0</v>
          </cell>
          <cell r="G85">
            <v>0</v>
          </cell>
          <cell r="H85">
            <v>401.75</v>
          </cell>
          <cell r="I85">
            <v>249.68</v>
          </cell>
          <cell r="J85">
            <v>0</v>
          </cell>
          <cell r="K85">
            <v>152.07</v>
          </cell>
          <cell r="L85">
            <v>37.85</v>
          </cell>
          <cell r="M85">
            <v>0.03</v>
          </cell>
        </row>
        <row r="86">
          <cell r="A86" t="str">
            <v>Max-Giro</v>
          </cell>
          <cell r="B86">
            <v>4</v>
          </cell>
          <cell r="C86">
            <v>362.93</v>
          </cell>
          <cell r="D86">
            <v>12.1</v>
          </cell>
          <cell r="E86">
            <v>0</v>
          </cell>
          <cell r="F86">
            <v>0</v>
          </cell>
          <cell r="G86">
            <v>0</v>
          </cell>
          <cell r="H86">
            <v>362.93</v>
          </cell>
          <cell r="I86">
            <v>207.7</v>
          </cell>
          <cell r="J86">
            <v>0</v>
          </cell>
          <cell r="K86">
            <v>155.22999999999999</v>
          </cell>
          <cell r="L86">
            <v>42.77</v>
          </cell>
          <cell r="M86">
            <v>0.03</v>
          </cell>
        </row>
        <row r="87">
          <cell r="A87" t="str">
            <v>ARAFORROS</v>
          </cell>
          <cell r="B87">
            <v>2</v>
          </cell>
          <cell r="C87">
            <v>359.8</v>
          </cell>
          <cell r="D87">
            <v>179.9</v>
          </cell>
          <cell r="E87">
            <v>0</v>
          </cell>
          <cell r="F87">
            <v>0</v>
          </cell>
          <cell r="G87">
            <v>0</v>
          </cell>
          <cell r="H87">
            <v>359.8</v>
          </cell>
          <cell r="I87">
            <v>212.28</v>
          </cell>
          <cell r="J87">
            <v>0</v>
          </cell>
          <cell r="K87">
            <v>147.52000000000001</v>
          </cell>
          <cell r="L87">
            <v>41</v>
          </cell>
          <cell r="M87">
            <v>0.03</v>
          </cell>
        </row>
        <row r="88">
          <cell r="A88" t="str">
            <v>COMFORT DOOR</v>
          </cell>
          <cell r="B88">
            <v>3</v>
          </cell>
          <cell r="C88">
            <v>293.10000000000002</v>
          </cell>
          <cell r="D88">
            <v>32.57</v>
          </cell>
          <cell r="E88">
            <v>0</v>
          </cell>
          <cell r="F88">
            <v>0</v>
          </cell>
          <cell r="G88">
            <v>0</v>
          </cell>
          <cell r="H88">
            <v>293.10000000000002</v>
          </cell>
          <cell r="I88">
            <v>158.66999999999999</v>
          </cell>
          <cell r="J88">
            <v>0</v>
          </cell>
          <cell r="K88">
            <v>134.43</v>
          </cell>
          <cell r="L88">
            <v>45.86</v>
          </cell>
          <cell r="M88">
            <v>0.02</v>
          </cell>
        </row>
        <row r="89">
          <cell r="A89" t="str">
            <v>LGMAIS</v>
          </cell>
          <cell r="B89">
            <v>2</v>
          </cell>
          <cell r="C89">
            <v>282.86</v>
          </cell>
          <cell r="D89">
            <v>94.29</v>
          </cell>
          <cell r="E89">
            <v>0</v>
          </cell>
          <cell r="F89">
            <v>0</v>
          </cell>
          <cell r="G89">
            <v>0</v>
          </cell>
          <cell r="H89">
            <v>282.86</v>
          </cell>
          <cell r="I89">
            <v>176.33</v>
          </cell>
          <cell r="J89">
            <v>0</v>
          </cell>
          <cell r="K89">
            <v>106.53</v>
          </cell>
          <cell r="L89">
            <v>37.659999999999997</v>
          </cell>
          <cell r="M89">
            <v>0.02</v>
          </cell>
        </row>
        <row r="90">
          <cell r="A90" t="str">
            <v>ALIANÇA</v>
          </cell>
          <cell r="B90">
            <v>2</v>
          </cell>
          <cell r="C90">
            <v>276.60000000000002</v>
          </cell>
          <cell r="D90">
            <v>69.150000000000006</v>
          </cell>
          <cell r="E90">
            <v>0</v>
          </cell>
          <cell r="F90">
            <v>0</v>
          </cell>
          <cell r="G90">
            <v>73.900000000000006</v>
          </cell>
          <cell r="H90">
            <v>202.7</v>
          </cell>
          <cell r="I90">
            <v>163.30000000000001</v>
          </cell>
          <cell r="J90">
            <v>43.76</v>
          </cell>
          <cell r="K90">
            <v>83.16</v>
          </cell>
          <cell r="L90">
            <v>35.72</v>
          </cell>
          <cell r="M90">
            <v>0.02</v>
          </cell>
        </row>
        <row r="91">
          <cell r="A91" t="str">
            <v>GERDAU</v>
          </cell>
          <cell r="B91">
            <v>4</v>
          </cell>
          <cell r="C91">
            <v>274.16000000000003</v>
          </cell>
          <cell r="D91">
            <v>27.42</v>
          </cell>
          <cell r="E91">
            <v>0</v>
          </cell>
          <cell r="F91">
            <v>0</v>
          </cell>
          <cell r="G91">
            <v>0</v>
          </cell>
          <cell r="H91">
            <v>274.16000000000003</v>
          </cell>
          <cell r="I91">
            <v>148.72999999999999</v>
          </cell>
          <cell r="J91">
            <v>0</v>
          </cell>
          <cell r="K91">
            <v>125.43</v>
          </cell>
          <cell r="L91">
            <v>45.75</v>
          </cell>
          <cell r="M91">
            <v>0.02</v>
          </cell>
        </row>
        <row r="92">
          <cell r="A92" t="str">
            <v>ILUMI</v>
          </cell>
          <cell r="B92">
            <v>3</v>
          </cell>
          <cell r="C92">
            <v>273.7</v>
          </cell>
          <cell r="D92">
            <v>19.55</v>
          </cell>
          <cell r="E92">
            <v>0</v>
          </cell>
          <cell r="F92">
            <v>0</v>
          </cell>
          <cell r="G92">
            <v>0</v>
          </cell>
          <cell r="H92">
            <v>273.7</v>
          </cell>
          <cell r="I92">
            <v>148.12</v>
          </cell>
          <cell r="J92">
            <v>0</v>
          </cell>
          <cell r="K92">
            <v>125.58</v>
          </cell>
          <cell r="L92">
            <v>45.88</v>
          </cell>
          <cell r="M92">
            <v>0.02</v>
          </cell>
        </row>
        <row r="93">
          <cell r="A93" t="str">
            <v>PADRAO FORTE</v>
          </cell>
          <cell r="B93">
            <v>2</v>
          </cell>
          <cell r="C93">
            <v>223.6</v>
          </cell>
          <cell r="D93">
            <v>24.84</v>
          </cell>
          <cell r="E93">
            <v>0</v>
          </cell>
          <cell r="F93">
            <v>0</v>
          </cell>
          <cell r="G93">
            <v>0</v>
          </cell>
          <cell r="H93">
            <v>223.6</v>
          </cell>
          <cell r="I93">
            <v>131.51</v>
          </cell>
          <cell r="J93">
            <v>0</v>
          </cell>
          <cell r="K93">
            <v>92.09</v>
          </cell>
          <cell r="L93">
            <v>41.19</v>
          </cell>
          <cell r="M93">
            <v>0.02</v>
          </cell>
        </row>
        <row r="94">
          <cell r="A94" t="str">
            <v>CERBRAS</v>
          </cell>
          <cell r="B94">
            <v>1</v>
          </cell>
          <cell r="C94">
            <v>193.952</v>
          </cell>
          <cell r="D94">
            <v>66.88</v>
          </cell>
          <cell r="E94">
            <v>0</v>
          </cell>
          <cell r="F94">
            <v>0</v>
          </cell>
          <cell r="G94">
            <v>0</v>
          </cell>
          <cell r="H94">
            <v>193.952</v>
          </cell>
          <cell r="I94">
            <v>127.48399999999999</v>
          </cell>
          <cell r="J94">
            <v>0</v>
          </cell>
          <cell r="K94">
            <v>66.468000000000004</v>
          </cell>
          <cell r="L94">
            <v>34.270000000000003</v>
          </cell>
          <cell r="M94">
            <v>0.02</v>
          </cell>
        </row>
        <row r="95">
          <cell r="A95" t="str">
            <v>KALIPSO</v>
          </cell>
          <cell r="B95">
            <v>3</v>
          </cell>
          <cell r="C95">
            <v>189.19</v>
          </cell>
          <cell r="D95">
            <v>21.02</v>
          </cell>
          <cell r="E95">
            <v>0</v>
          </cell>
          <cell r="F95">
            <v>0</v>
          </cell>
          <cell r="G95">
            <v>0</v>
          </cell>
          <cell r="H95">
            <v>189.19</v>
          </cell>
          <cell r="I95">
            <v>94.08</v>
          </cell>
          <cell r="J95">
            <v>0</v>
          </cell>
          <cell r="K95">
            <v>95.11</v>
          </cell>
          <cell r="L95">
            <v>50.27</v>
          </cell>
          <cell r="M95">
            <v>0.02</v>
          </cell>
        </row>
        <row r="96">
          <cell r="A96" t="str">
            <v>FRANKE</v>
          </cell>
          <cell r="B96">
            <v>1</v>
          </cell>
          <cell r="C96">
            <v>184.9</v>
          </cell>
          <cell r="D96">
            <v>184.9</v>
          </cell>
          <cell r="E96">
            <v>0</v>
          </cell>
          <cell r="F96">
            <v>0</v>
          </cell>
          <cell r="G96">
            <v>0</v>
          </cell>
          <cell r="H96">
            <v>184.9</v>
          </cell>
          <cell r="I96">
            <v>96.54</v>
          </cell>
          <cell r="J96">
            <v>0</v>
          </cell>
          <cell r="K96">
            <v>88.36</v>
          </cell>
          <cell r="L96">
            <v>47.79</v>
          </cell>
          <cell r="M96">
            <v>0.02</v>
          </cell>
        </row>
        <row r="97">
          <cell r="A97" t="str">
            <v>LEDAN</v>
          </cell>
          <cell r="B97">
            <v>2</v>
          </cell>
          <cell r="C97">
            <v>172.49</v>
          </cell>
          <cell r="D97">
            <v>21.56</v>
          </cell>
          <cell r="E97">
            <v>0</v>
          </cell>
          <cell r="F97">
            <v>0</v>
          </cell>
          <cell r="G97">
            <v>0</v>
          </cell>
          <cell r="H97">
            <v>172.49</v>
          </cell>
          <cell r="I97">
            <v>103.07</v>
          </cell>
          <cell r="J97">
            <v>0</v>
          </cell>
          <cell r="K97">
            <v>69.42</v>
          </cell>
          <cell r="L97">
            <v>40.25</v>
          </cell>
          <cell r="M97">
            <v>0.01</v>
          </cell>
        </row>
        <row r="98">
          <cell r="A98" t="str">
            <v>PINTSILK</v>
          </cell>
          <cell r="B98">
            <v>2</v>
          </cell>
          <cell r="C98">
            <v>165.7</v>
          </cell>
          <cell r="D98">
            <v>55.23</v>
          </cell>
          <cell r="E98">
            <v>0</v>
          </cell>
          <cell r="F98">
            <v>0</v>
          </cell>
          <cell r="G98">
            <v>0</v>
          </cell>
          <cell r="H98">
            <v>165.7</v>
          </cell>
          <cell r="I98">
            <v>94.48</v>
          </cell>
          <cell r="J98">
            <v>0</v>
          </cell>
          <cell r="K98">
            <v>71.22</v>
          </cell>
          <cell r="L98">
            <v>42.98</v>
          </cell>
          <cell r="M98">
            <v>0.01</v>
          </cell>
        </row>
        <row r="99">
          <cell r="A99" t="str">
            <v>EXTRALUX</v>
          </cell>
          <cell r="B99">
            <v>2</v>
          </cell>
          <cell r="C99">
            <v>147.5</v>
          </cell>
          <cell r="D99">
            <v>29.5</v>
          </cell>
          <cell r="E99">
            <v>0</v>
          </cell>
          <cell r="F99">
            <v>0</v>
          </cell>
          <cell r="G99">
            <v>29.9</v>
          </cell>
          <cell r="H99">
            <v>117.6</v>
          </cell>
          <cell r="I99">
            <v>87.14</v>
          </cell>
          <cell r="J99">
            <v>17.64</v>
          </cell>
          <cell r="K99">
            <v>48.1</v>
          </cell>
          <cell r="L99">
            <v>37.04</v>
          </cell>
          <cell r="M99">
            <v>0.01</v>
          </cell>
        </row>
        <row r="100">
          <cell r="A100" t="str">
            <v>EPLAST</v>
          </cell>
          <cell r="B100">
            <v>1</v>
          </cell>
          <cell r="C100">
            <v>145.9</v>
          </cell>
          <cell r="D100">
            <v>145.9</v>
          </cell>
          <cell r="E100">
            <v>0</v>
          </cell>
          <cell r="F100">
            <v>0</v>
          </cell>
          <cell r="G100">
            <v>0</v>
          </cell>
          <cell r="H100">
            <v>145.9</v>
          </cell>
          <cell r="I100">
            <v>74.739999999999995</v>
          </cell>
          <cell r="J100">
            <v>0</v>
          </cell>
          <cell r="K100">
            <v>71.16</v>
          </cell>
          <cell r="L100">
            <v>48.77</v>
          </cell>
          <cell r="M100">
            <v>0.01</v>
          </cell>
        </row>
        <row r="101">
          <cell r="A101" t="str">
            <v>FORTLINE</v>
          </cell>
          <cell r="B101">
            <v>1</v>
          </cell>
          <cell r="C101">
            <v>139.9</v>
          </cell>
          <cell r="D101">
            <v>139.9</v>
          </cell>
          <cell r="E101">
            <v>0</v>
          </cell>
          <cell r="F101">
            <v>0</v>
          </cell>
          <cell r="G101">
            <v>0</v>
          </cell>
          <cell r="H101">
            <v>139.9</v>
          </cell>
          <cell r="I101">
            <v>83.54</v>
          </cell>
          <cell r="J101">
            <v>0</v>
          </cell>
          <cell r="K101">
            <v>56.36</v>
          </cell>
          <cell r="L101">
            <v>40.29</v>
          </cell>
          <cell r="M101">
            <v>0.01</v>
          </cell>
        </row>
        <row r="102">
          <cell r="A102" t="str">
            <v>CRIVAL</v>
          </cell>
          <cell r="B102">
            <v>1</v>
          </cell>
          <cell r="C102">
            <v>129.9</v>
          </cell>
          <cell r="D102">
            <v>129.9</v>
          </cell>
          <cell r="E102">
            <v>0</v>
          </cell>
          <cell r="F102">
            <v>0</v>
          </cell>
          <cell r="G102">
            <v>0</v>
          </cell>
          <cell r="H102">
            <v>129.9</v>
          </cell>
          <cell r="I102">
            <v>74.150000000000006</v>
          </cell>
          <cell r="J102">
            <v>0</v>
          </cell>
          <cell r="K102">
            <v>55.75</v>
          </cell>
          <cell r="L102">
            <v>42.92</v>
          </cell>
          <cell r="M102">
            <v>0.01</v>
          </cell>
        </row>
        <row r="103">
          <cell r="A103" t="str">
            <v>TRAMONTINA ELETRIK S.A.</v>
          </cell>
          <cell r="B103">
            <v>2</v>
          </cell>
          <cell r="C103">
            <v>128.80000000000001</v>
          </cell>
          <cell r="D103">
            <v>21.47</v>
          </cell>
          <cell r="E103">
            <v>0</v>
          </cell>
          <cell r="F103">
            <v>0</v>
          </cell>
          <cell r="G103">
            <v>0</v>
          </cell>
          <cell r="H103">
            <v>128.80000000000001</v>
          </cell>
          <cell r="I103">
            <v>78.900000000000006</v>
          </cell>
          <cell r="J103">
            <v>0</v>
          </cell>
          <cell r="K103">
            <v>49.9</v>
          </cell>
          <cell r="L103">
            <v>38.74</v>
          </cell>
          <cell r="M103">
            <v>0.01</v>
          </cell>
        </row>
        <row r="104">
          <cell r="A104" t="str">
            <v>ATTENA</v>
          </cell>
          <cell r="B104">
            <v>1</v>
          </cell>
          <cell r="C104">
            <v>122.2</v>
          </cell>
          <cell r="D104">
            <v>20.37</v>
          </cell>
          <cell r="E104">
            <v>0</v>
          </cell>
          <cell r="F104">
            <v>0</v>
          </cell>
          <cell r="G104">
            <v>0</v>
          </cell>
          <cell r="H104">
            <v>122.2</v>
          </cell>
          <cell r="I104">
            <v>154.61000000000001</v>
          </cell>
          <cell r="J104">
            <v>0</v>
          </cell>
          <cell r="K104">
            <v>-32.409999999999997</v>
          </cell>
          <cell r="L104">
            <v>0</v>
          </cell>
          <cell r="M104">
            <v>0.01</v>
          </cell>
        </row>
        <row r="105">
          <cell r="A105" t="str">
            <v>STAM</v>
          </cell>
          <cell r="B105">
            <v>1</v>
          </cell>
          <cell r="C105">
            <v>116.9</v>
          </cell>
          <cell r="D105">
            <v>116.9</v>
          </cell>
          <cell r="E105">
            <v>0</v>
          </cell>
          <cell r="F105">
            <v>0</v>
          </cell>
          <cell r="G105">
            <v>0</v>
          </cell>
          <cell r="H105">
            <v>116.9</v>
          </cell>
          <cell r="I105">
            <v>63.52</v>
          </cell>
          <cell r="J105">
            <v>0</v>
          </cell>
          <cell r="K105">
            <v>53.38</v>
          </cell>
          <cell r="L105">
            <v>45.66</v>
          </cell>
          <cell r="M105">
            <v>0.01</v>
          </cell>
        </row>
        <row r="106">
          <cell r="A106" t="str">
            <v>OVERTIME</v>
          </cell>
          <cell r="B106">
            <v>3</v>
          </cell>
          <cell r="C106">
            <v>115.98</v>
          </cell>
          <cell r="D106">
            <v>16.57</v>
          </cell>
          <cell r="E106">
            <v>0</v>
          </cell>
          <cell r="F106">
            <v>0</v>
          </cell>
          <cell r="G106">
            <v>2.4</v>
          </cell>
          <cell r="H106">
            <v>113.58</v>
          </cell>
          <cell r="I106">
            <v>69.28</v>
          </cell>
          <cell r="J106">
            <v>1.25</v>
          </cell>
          <cell r="K106">
            <v>45.55</v>
          </cell>
          <cell r="L106">
            <v>39.700000000000003</v>
          </cell>
          <cell r="M106">
            <v>0.01</v>
          </cell>
        </row>
        <row r="107">
          <cell r="A107" t="str">
            <v>PADOVA</v>
          </cell>
          <cell r="B107">
            <v>3</v>
          </cell>
          <cell r="C107">
            <v>110.4</v>
          </cell>
          <cell r="D107">
            <v>18.399999999999999</v>
          </cell>
          <cell r="E107">
            <v>0</v>
          </cell>
          <cell r="F107">
            <v>0</v>
          </cell>
          <cell r="G107">
            <v>0</v>
          </cell>
          <cell r="H107">
            <v>110.4</v>
          </cell>
          <cell r="I107">
            <v>67.98</v>
          </cell>
          <cell r="J107">
            <v>0</v>
          </cell>
          <cell r="K107">
            <v>42.42</v>
          </cell>
          <cell r="L107">
            <v>38.42</v>
          </cell>
          <cell r="M107">
            <v>0.01</v>
          </cell>
        </row>
        <row r="108">
          <cell r="A108" t="str">
            <v>RHPE</v>
          </cell>
          <cell r="B108">
            <v>1</v>
          </cell>
          <cell r="C108">
            <v>85.9</v>
          </cell>
          <cell r="D108">
            <v>85.9</v>
          </cell>
          <cell r="E108">
            <v>0</v>
          </cell>
          <cell r="F108">
            <v>0</v>
          </cell>
          <cell r="G108">
            <v>0</v>
          </cell>
          <cell r="H108">
            <v>85.9</v>
          </cell>
          <cell r="I108">
            <v>53.34</v>
          </cell>
          <cell r="J108">
            <v>0</v>
          </cell>
          <cell r="K108">
            <v>32.56</v>
          </cell>
          <cell r="L108">
            <v>37.9</v>
          </cell>
          <cell r="M108">
            <v>0.01</v>
          </cell>
        </row>
        <row r="109">
          <cell r="A109" t="str">
            <v xml:space="preserve"> RESISWAL</v>
          </cell>
          <cell r="B109">
            <v>2</v>
          </cell>
          <cell r="C109">
            <v>76.63</v>
          </cell>
          <cell r="D109">
            <v>38.32</v>
          </cell>
          <cell r="E109">
            <v>0</v>
          </cell>
          <cell r="F109">
            <v>0</v>
          </cell>
          <cell r="G109">
            <v>0</v>
          </cell>
          <cell r="H109">
            <v>76.63</v>
          </cell>
          <cell r="I109">
            <v>43.08</v>
          </cell>
          <cell r="J109">
            <v>0</v>
          </cell>
          <cell r="K109">
            <v>33.549999999999997</v>
          </cell>
          <cell r="L109">
            <v>43.78</v>
          </cell>
          <cell r="M109">
            <v>0.01</v>
          </cell>
        </row>
        <row r="110">
          <cell r="A110" t="str">
            <v>KAPAZI</v>
          </cell>
          <cell r="B110">
            <v>2</v>
          </cell>
          <cell r="C110">
            <v>66.8</v>
          </cell>
          <cell r="D110">
            <v>33.4</v>
          </cell>
          <cell r="E110">
            <v>0</v>
          </cell>
          <cell r="F110">
            <v>0</v>
          </cell>
          <cell r="G110">
            <v>0</v>
          </cell>
          <cell r="H110">
            <v>66.8</v>
          </cell>
          <cell r="I110">
            <v>40.79</v>
          </cell>
          <cell r="J110">
            <v>0</v>
          </cell>
          <cell r="K110">
            <v>26.01</v>
          </cell>
          <cell r="L110">
            <v>38.94</v>
          </cell>
          <cell r="M110">
            <v>0.01</v>
          </cell>
        </row>
        <row r="111">
          <cell r="A111" t="str">
            <v>EXTRALUZ</v>
          </cell>
          <cell r="B111">
            <v>2</v>
          </cell>
          <cell r="C111">
            <v>54.7</v>
          </cell>
          <cell r="D111">
            <v>18.23</v>
          </cell>
          <cell r="E111">
            <v>0</v>
          </cell>
          <cell r="F111">
            <v>0</v>
          </cell>
          <cell r="G111">
            <v>0</v>
          </cell>
          <cell r="H111">
            <v>54.7</v>
          </cell>
          <cell r="I111">
            <v>32.229999999999997</v>
          </cell>
          <cell r="J111">
            <v>0</v>
          </cell>
          <cell r="K111">
            <v>22.47</v>
          </cell>
          <cell r="L111">
            <v>41.08</v>
          </cell>
          <cell r="M111">
            <v>0</v>
          </cell>
        </row>
        <row r="112">
          <cell r="A112" t="str">
            <v>NOVA FIXACAO</v>
          </cell>
          <cell r="B112">
            <v>2</v>
          </cell>
          <cell r="C112">
            <v>52.7</v>
          </cell>
          <cell r="D112">
            <v>1.7</v>
          </cell>
          <cell r="E112">
            <v>0</v>
          </cell>
          <cell r="F112">
            <v>0</v>
          </cell>
          <cell r="G112">
            <v>0</v>
          </cell>
          <cell r="H112">
            <v>52.7</v>
          </cell>
          <cell r="I112">
            <v>30.07</v>
          </cell>
          <cell r="J112">
            <v>0</v>
          </cell>
          <cell r="K112">
            <v>22.63</v>
          </cell>
          <cell r="L112">
            <v>42.94</v>
          </cell>
          <cell r="M112">
            <v>0</v>
          </cell>
        </row>
        <row r="113">
          <cell r="A113" t="str">
            <v>ANJO TINTAS E SOLVENTES</v>
          </cell>
          <cell r="B113">
            <v>1</v>
          </cell>
          <cell r="C113">
            <v>39.9</v>
          </cell>
          <cell r="D113">
            <v>39.9</v>
          </cell>
          <cell r="E113">
            <v>0</v>
          </cell>
          <cell r="F113">
            <v>0</v>
          </cell>
          <cell r="G113">
            <v>39.9</v>
          </cell>
          <cell r="H113">
            <v>0</v>
          </cell>
          <cell r="I113">
            <v>19.809999999999999</v>
          </cell>
          <cell r="J113">
            <v>19.809999999999999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CHEMONE</v>
          </cell>
          <cell r="B114">
            <v>1</v>
          </cell>
          <cell r="C114">
            <v>37.9</v>
          </cell>
          <cell r="D114">
            <v>37.9</v>
          </cell>
          <cell r="E114">
            <v>0</v>
          </cell>
          <cell r="F114">
            <v>0</v>
          </cell>
          <cell r="G114">
            <v>0</v>
          </cell>
          <cell r="H114">
            <v>37.9</v>
          </cell>
          <cell r="I114">
            <v>20.25</v>
          </cell>
          <cell r="J114">
            <v>0</v>
          </cell>
          <cell r="K114">
            <v>17.649999999999999</v>
          </cell>
          <cell r="L114">
            <v>46.57</v>
          </cell>
          <cell r="M114">
            <v>0</v>
          </cell>
        </row>
        <row r="115">
          <cell r="A115" t="str">
            <v>INCA</v>
          </cell>
          <cell r="B115">
            <v>2</v>
          </cell>
          <cell r="C115">
            <v>33.299999999999997</v>
          </cell>
          <cell r="D115">
            <v>5.55</v>
          </cell>
          <cell r="E115">
            <v>0</v>
          </cell>
          <cell r="F115">
            <v>0</v>
          </cell>
          <cell r="G115">
            <v>0</v>
          </cell>
          <cell r="H115">
            <v>33.299999999999997</v>
          </cell>
          <cell r="I115">
            <v>17.16</v>
          </cell>
          <cell r="J115">
            <v>0</v>
          </cell>
          <cell r="K115">
            <v>16.14</v>
          </cell>
          <cell r="L115">
            <v>48.47</v>
          </cell>
          <cell r="M115">
            <v>0</v>
          </cell>
        </row>
        <row r="116">
          <cell r="A116" t="str">
            <v>ANJO QUIMICA DO BRASIL LTDA</v>
          </cell>
          <cell r="B116">
            <v>1</v>
          </cell>
          <cell r="C116">
            <v>29.9</v>
          </cell>
          <cell r="D116">
            <v>29.9</v>
          </cell>
          <cell r="E116">
            <v>0</v>
          </cell>
          <cell r="F116">
            <v>0</v>
          </cell>
          <cell r="G116">
            <v>0</v>
          </cell>
          <cell r="H116">
            <v>29.9</v>
          </cell>
          <cell r="I116">
            <v>17.57</v>
          </cell>
          <cell r="J116">
            <v>0</v>
          </cell>
          <cell r="K116">
            <v>12.33</v>
          </cell>
          <cell r="L116">
            <v>41.24</v>
          </cell>
          <cell r="M116">
            <v>0</v>
          </cell>
        </row>
        <row r="117">
          <cell r="A117" t="str">
            <v>TRAMONTINA NORDESTE</v>
          </cell>
          <cell r="B117">
            <v>1</v>
          </cell>
          <cell r="C117">
            <v>29.8</v>
          </cell>
          <cell r="D117">
            <v>14.9</v>
          </cell>
          <cell r="E117">
            <v>0</v>
          </cell>
          <cell r="F117">
            <v>0</v>
          </cell>
          <cell r="G117">
            <v>0</v>
          </cell>
          <cell r="H117">
            <v>29.8</v>
          </cell>
          <cell r="I117">
            <v>15.88</v>
          </cell>
          <cell r="J117">
            <v>0</v>
          </cell>
          <cell r="K117">
            <v>13.92</v>
          </cell>
          <cell r="L117">
            <v>46.71</v>
          </cell>
          <cell r="M117">
            <v>0</v>
          </cell>
        </row>
        <row r="118">
          <cell r="A118" t="str">
            <v>EMPLAC</v>
          </cell>
          <cell r="B118">
            <v>1</v>
          </cell>
          <cell r="C118">
            <v>6.5</v>
          </cell>
          <cell r="D118">
            <v>6.5</v>
          </cell>
          <cell r="E118">
            <v>0</v>
          </cell>
          <cell r="F118">
            <v>0</v>
          </cell>
          <cell r="G118">
            <v>0</v>
          </cell>
          <cell r="H118">
            <v>6.5</v>
          </cell>
          <cell r="I118">
            <v>2.75</v>
          </cell>
          <cell r="J118">
            <v>0</v>
          </cell>
          <cell r="K118">
            <v>3.75</v>
          </cell>
          <cell r="L118">
            <v>57.69</v>
          </cell>
          <cell r="M118">
            <v>0</v>
          </cell>
        </row>
        <row r="119">
          <cell r="A119" t="str">
            <v>outros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JUL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217</v>
          </cell>
          <cell r="C2">
            <v>230843.1017</v>
          </cell>
          <cell r="D2">
            <v>34.35</v>
          </cell>
          <cell r="E2">
            <v>0</v>
          </cell>
          <cell r="F2">
            <v>0</v>
          </cell>
          <cell r="G2">
            <v>12445.745699999999</v>
          </cell>
          <cell r="H2">
            <v>218397.356</v>
          </cell>
          <cell r="I2">
            <v>144821.3339</v>
          </cell>
          <cell r="J2">
            <v>7968.9893000000002</v>
          </cell>
          <cell r="K2">
            <v>81545.011400000003</v>
          </cell>
          <cell r="L2">
            <v>36.590000000000003</v>
          </cell>
          <cell r="M2">
            <v>14.32</v>
          </cell>
        </row>
        <row r="3">
          <cell r="A3" t="str">
            <v>ARIELLE</v>
          </cell>
          <cell r="B3">
            <v>231</v>
          </cell>
          <cell r="C3">
            <v>223758.18890000001</v>
          </cell>
          <cell r="D3">
            <v>27.14</v>
          </cell>
          <cell r="E3">
            <v>0</v>
          </cell>
          <cell r="F3">
            <v>0</v>
          </cell>
          <cell r="G3">
            <v>4190.9557000000004</v>
          </cell>
          <cell r="H3">
            <v>219567.23319999999</v>
          </cell>
          <cell r="I3">
            <v>140863.83230000001</v>
          </cell>
          <cell r="J3">
            <v>2551.9108000000001</v>
          </cell>
          <cell r="K3">
            <v>81255.311700000006</v>
          </cell>
          <cell r="L3">
            <v>36.729999999999997</v>
          </cell>
          <cell r="M3">
            <v>13.88</v>
          </cell>
        </row>
        <row r="4">
          <cell r="A4" t="str">
            <v>DO MESTRE</v>
          </cell>
          <cell r="B4">
            <v>348</v>
          </cell>
          <cell r="C4">
            <v>144103.10999999999</v>
          </cell>
          <cell r="D4">
            <v>23.04</v>
          </cell>
          <cell r="E4">
            <v>0</v>
          </cell>
          <cell r="F4">
            <v>0</v>
          </cell>
          <cell r="G4">
            <v>1661.31</v>
          </cell>
          <cell r="H4">
            <v>142441.79999999999</v>
          </cell>
          <cell r="I4">
            <v>84923.65</v>
          </cell>
          <cell r="J4">
            <v>954.52</v>
          </cell>
          <cell r="K4">
            <v>58472.67</v>
          </cell>
          <cell r="L4">
            <v>40.85</v>
          </cell>
          <cell r="M4">
            <v>8.94</v>
          </cell>
        </row>
        <row r="5">
          <cell r="A5" t="str">
            <v>IQUINE</v>
          </cell>
          <cell r="B5">
            <v>64</v>
          </cell>
          <cell r="C5">
            <v>91268.128800000006</v>
          </cell>
          <cell r="D5">
            <v>37.36</v>
          </cell>
          <cell r="E5">
            <v>0</v>
          </cell>
          <cell r="F5">
            <v>0</v>
          </cell>
          <cell r="G5">
            <v>823.4</v>
          </cell>
          <cell r="H5">
            <v>90444.728799999997</v>
          </cell>
          <cell r="I5">
            <v>53557.1996</v>
          </cell>
          <cell r="J5">
            <v>436.68</v>
          </cell>
          <cell r="K5">
            <v>37324.209199999998</v>
          </cell>
          <cell r="L5">
            <v>41.09</v>
          </cell>
          <cell r="M5">
            <v>5.66</v>
          </cell>
        </row>
        <row r="6">
          <cell r="A6" t="str">
            <v>POINTER</v>
          </cell>
          <cell r="B6">
            <v>88</v>
          </cell>
          <cell r="C6">
            <v>85495.481400000004</v>
          </cell>
          <cell r="D6">
            <v>36.53</v>
          </cell>
          <cell r="E6">
            <v>0</v>
          </cell>
          <cell r="F6">
            <v>0</v>
          </cell>
          <cell r="G6">
            <v>3988.2943</v>
          </cell>
          <cell r="H6">
            <v>81507.187099999996</v>
          </cell>
          <cell r="I6">
            <v>52152.046199999997</v>
          </cell>
          <cell r="J6">
            <v>2600.6131999999998</v>
          </cell>
          <cell r="K6">
            <v>31955.754099999998</v>
          </cell>
          <cell r="L6">
            <v>38.549999999999997</v>
          </cell>
          <cell r="M6">
            <v>5.3</v>
          </cell>
        </row>
        <row r="7">
          <cell r="A7" t="str">
            <v>MEGAÓ</v>
          </cell>
          <cell r="B7">
            <v>52</v>
          </cell>
          <cell r="C7">
            <v>83934.98</v>
          </cell>
          <cell r="D7">
            <v>57.49</v>
          </cell>
          <cell r="E7">
            <v>0</v>
          </cell>
          <cell r="F7">
            <v>0</v>
          </cell>
          <cell r="G7">
            <v>1598.48</v>
          </cell>
          <cell r="H7">
            <v>82336.5</v>
          </cell>
          <cell r="I7">
            <v>51921.55</v>
          </cell>
          <cell r="J7">
            <v>977.33</v>
          </cell>
          <cell r="K7">
            <v>31392.28</v>
          </cell>
          <cell r="L7">
            <v>37.840000000000003</v>
          </cell>
          <cell r="M7">
            <v>5.21</v>
          </cell>
        </row>
        <row r="8">
          <cell r="A8" t="str">
            <v>WEBER QUARTZOLIT</v>
          </cell>
          <cell r="B8">
            <v>130</v>
          </cell>
          <cell r="C8">
            <v>55883.11</v>
          </cell>
          <cell r="D8">
            <v>32.68</v>
          </cell>
          <cell r="E8">
            <v>0</v>
          </cell>
          <cell r="F8">
            <v>0</v>
          </cell>
          <cell r="G8">
            <v>1020.86</v>
          </cell>
          <cell r="H8">
            <v>54862.25</v>
          </cell>
          <cell r="I8">
            <v>34987.83</v>
          </cell>
          <cell r="J8">
            <v>643.16999999999996</v>
          </cell>
          <cell r="K8">
            <v>20517.59</v>
          </cell>
          <cell r="L8">
            <v>37.14</v>
          </cell>
          <cell r="M8">
            <v>3.47</v>
          </cell>
        </row>
        <row r="9">
          <cell r="A9" t="str">
            <v>TECNOGRES</v>
          </cell>
          <cell r="B9">
            <v>35</v>
          </cell>
          <cell r="C9">
            <v>47826.820599999999</v>
          </cell>
          <cell r="D9">
            <v>50.74</v>
          </cell>
          <cell r="E9">
            <v>0</v>
          </cell>
          <cell r="F9">
            <v>0</v>
          </cell>
          <cell r="G9">
            <v>1249.0603000000001</v>
          </cell>
          <cell r="H9">
            <v>46577.760300000002</v>
          </cell>
          <cell r="I9">
            <v>25652.301200000002</v>
          </cell>
          <cell r="J9">
            <v>729.7056</v>
          </cell>
          <cell r="K9">
            <v>21655.164700000001</v>
          </cell>
          <cell r="L9">
            <v>45.98</v>
          </cell>
          <cell r="M9">
            <v>2.97</v>
          </cell>
        </row>
        <row r="10">
          <cell r="A10" t="str">
            <v>ROCA</v>
          </cell>
          <cell r="B10">
            <v>50</v>
          </cell>
          <cell r="C10">
            <v>45980.61</v>
          </cell>
          <cell r="D10">
            <v>199.92</v>
          </cell>
          <cell r="E10">
            <v>0</v>
          </cell>
          <cell r="F10">
            <v>0</v>
          </cell>
          <cell r="G10">
            <v>1043.5</v>
          </cell>
          <cell r="H10">
            <v>44937.11</v>
          </cell>
          <cell r="I10">
            <v>30323.42</v>
          </cell>
          <cell r="J10">
            <v>672.52</v>
          </cell>
          <cell r="K10">
            <v>15286.21</v>
          </cell>
          <cell r="L10">
            <v>33.74</v>
          </cell>
          <cell r="M10">
            <v>2.85</v>
          </cell>
        </row>
        <row r="11">
          <cell r="A11" t="str">
            <v>LORENZETTI</v>
          </cell>
          <cell r="B11">
            <v>26</v>
          </cell>
          <cell r="C11">
            <v>45556.54</v>
          </cell>
          <cell r="D11">
            <v>101.24</v>
          </cell>
          <cell r="E11">
            <v>0</v>
          </cell>
          <cell r="F11">
            <v>0</v>
          </cell>
          <cell r="G11">
            <v>1242.4100000000001</v>
          </cell>
          <cell r="H11">
            <v>44314.13</v>
          </cell>
          <cell r="I11">
            <v>28964.53</v>
          </cell>
          <cell r="J11">
            <v>783.71</v>
          </cell>
          <cell r="K11">
            <v>16133.31</v>
          </cell>
          <cell r="L11">
            <v>36.03</v>
          </cell>
          <cell r="M11">
            <v>2.83</v>
          </cell>
        </row>
        <row r="12">
          <cell r="A12" t="str">
            <v>QUALITY</v>
          </cell>
          <cell r="B12">
            <v>52</v>
          </cell>
          <cell r="C12">
            <v>43913.89</v>
          </cell>
          <cell r="D12">
            <v>290.82</v>
          </cell>
          <cell r="E12">
            <v>0</v>
          </cell>
          <cell r="F12">
            <v>0</v>
          </cell>
          <cell r="G12">
            <v>2983.2</v>
          </cell>
          <cell r="H12">
            <v>40930.69</v>
          </cell>
          <cell r="I12">
            <v>26793.34</v>
          </cell>
          <cell r="J12">
            <v>1814.59</v>
          </cell>
          <cell r="K12">
            <v>15951.94</v>
          </cell>
          <cell r="L12">
            <v>37.89</v>
          </cell>
          <cell r="M12">
            <v>2.72</v>
          </cell>
        </row>
        <row r="13">
          <cell r="A13" t="str">
            <v>BRASILIT</v>
          </cell>
          <cell r="B13">
            <v>28</v>
          </cell>
          <cell r="C13">
            <v>41711.839999999997</v>
          </cell>
          <cell r="D13">
            <v>74.22</v>
          </cell>
          <cell r="E13">
            <v>0</v>
          </cell>
          <cell r="F13">
            <v>0</v>
          </cell>
          <cell r="G13">
            <v>4507.8999999999996</v>
          </cell>
          <cell r="H13">
            <v>37203.94</v>
          </cell>
          <cell r="I13">
            <v>32037.4</v>
          </cell>
          <cell r="J13">
            <v>3317.66</v>
          </cell>
          <cell r="K13">
            <v>8484.2000000000007</v>
          </cell>
          <cell r="L13">
            <v>22.1</v>
          </cell>
          <cell r="M13">
            <v>2.59</v>
          </cell>
        </row>
        <row r="14">
          <cell r="A14" t="str">
            <v>FORTLEV</v>
          </cell>
          <cell r="B14">
            <v>50</v>
          </cell>
          <cell r="C14">
            <v>41218.93</v>
          </cell>
          <cell r="D14">
            <v>13.4</v>
          </cell>
          <cell r="E14">
            <v>0</v>
          </cell>
          <cell r="F14">
            <v>0</v>
          </cell>
          <cell r="G14">
            <v>2322.23</v>
          </cell>
          <cell r="H14">
            <v>38896.699999999997</v>
          </cell>
          <cell r="I14">
            <v>29588.95</v>
          </cell>
          <cell r="J14">
            <v>1777.88</v>
          </cell>
          <cell r="K14">
            <v>11085.63</v>
          </cell>
          <cell r="L14">
            <v>28.11</v>
          </cell>
          <cell r="M14">
            <v>2.56</v>
          </cell>
        </row>
        <row r="15">
          <cell r="A15" t="str">
            <v>ATLAS</v>
          </cell>
          <cell r="B15">
            <v>63</v>
          </cell>
          <cell r="C15">
            <v>24885.78</v>
          </cell>
          <cell r="D15">
            <v>16.91</v>
          </cell>
          <cell r="E15">
            <v>0</v>
          </cell>
          <cell r="F15">
            <v>0</v>
          </cell>
          <cell r="G15">
            <v>753.2</v>
          </cell>
          <cell r="H15">
            <v>24132.58</v>
          </cell>
          <cell r="I15">
            <v>13442.6</v>
          </cell>
          <cell r="J15">
            <v>397.19</v>
          </cell>
          <cell r="K15">
            <v>11087.17</v>
          </cell>
          <cell r="L15">
            <v>45.27</v>
          </cell>
          <cell r="M15">
            <v>1.54</v>
          </cell>
        </row>
        <row r="16">
          <cell r="A16" t="str">
            <v>ETERNIT</v>
          </cell>
          <cell r="B16">
            <v>22</v>
          </cell>
          <cell r="C16">
            <v>20951.689999999999</v>
          </cell>
          <cell r="D16">
            <v>45.35</v>
          </cell>
          <cell r="E16">
            <v>0</v>
          </cell>
          <cell r="F16">
            <v>0</v>
          </cell>
          <cell r="G16">
            <v>552</v>
          </cell>
          <cell r="H16">
            <v>20399.689999999999</v>
          </cell>
          <cell r="I16">
            <v>15903.17</v>
          </cell>
          <cell r="J16">
            <v>405.12</v>
          </cell>
          <cell r="K16">
            <v>4901.6400000000003</v>
          </cell>
          <cell r="L16">
            <v>23.86</v>
          </cell>
          <cell r="M16">
            <v>1.3</v>
          </cell>
        </row>
        <row r="17">
          <cell r="A17" t="str">
            <v>GHEL'PLUS</v>
          </cell>
          <cell r="B17">
            <v>21</v>
          </cell>
          <cell r="C17">
            <v>19116.259999999998</v>
          </cell>
          <cell r="D17">
            <v>124.13</v>
          </cell>
          <cell r="E17">
            <v>0</v>
          </cell>
          <cell r="F17">
            <v>0</v>
          </cell>
          <cell r="G17">
            <v>1590.7</v>
          </cell>
          <cell r="H17">
            <v>17525.560000000001</v>
          </cell>
          <cell r="I17">
            <v>11831.04</v>
          </cell>
          <cell r="J17">
            <v>994.15</v>
          </cell>
          <cell r="K17">
            <v>6688.67</v>
          </cell>
          <cell r="L17">
            <v>36.909999999999997</v>
          </cell>
          <cell r="M17">
            <v>1.19</v>
          </cell>
        </row>
        <row r="18">
          <cell r="A18" t="str">
            <v>CARMELO FIOR</v>
          </cell>
          <cell r="B18">
            <v>18</v>
          </cell>
          <cell r="C18">
            <v>19077.657500000001</v>
          </cell>
          <cell r="D18">
            <v>64</v>
          </cell>
          <cell r="E18">
            <v>0</v>
          </cell>
          <cell r="F18">
            <v>0</v>
          </cell>
          <cell r="G18">
            <v>142.78</v>
          </cell>
          <cell r="H18">
            <v>18934.877499999999</v>
          </cell>
          <cell r="I18">
            <v>8855.143</v>
          </cell>
          <cell r="J18">
            <v>46.442</v>
          </cell>
          <cell r="K18">
            <v>10126.1765</v>
          </cell>
          <cell r="L18">
            <v>53.21</v>
          </cell>
          <cell r="M18">
            <v>1.18</v>
          </cell>
        </row>
        <row r="19">
          <cell r="A19" t="str">
            <v>MEC-TRONIC</v>
          </cell>
          <cell r="B19">
            <v>43</v>
          </cell>
          <cell r="C19">
            <v>18008.88</v>
          </cell>
          <cell r="D19">
            <v>10.71</v>
          </cell>
          <cell r="E19">
            <v>0</v>
          </cell>
          <cell r="F19">
            <v>0</v>
          </cell>
          <cell r="G19">
            <v>579.46</v>
          </cell>
          <cell r="H19">
            <v>17429.419999999998</v>
          </cell>
          <cell r="I19">
            <v>9498.8700000000008</v>
          </cell>
          <cell r="J19">
            <v>310.77999999999997</v>
          </cell>
          <cell r="K19">
            <v>8241.33</v>
          </cell>
          <cell r="L19">
            <v>46.57</v>
          </cell>
          <cell r="M19">
            <v>1.1200000000000001</v>
          </cell>
        </row>
        <row r="20">
          <cell r="A20" t="str">
            <v>FERTAK COMERCIO E IMPORTAÇÃO</v>
          </cell>
          <cell r="B20">
            <v>55</v>
          </cell>
          <cell r="C20">
            <v>17642.13</v>
          </cell>
          <cell r="D20">
            <v>9.94</v>
          </cell>
          <cell r="E20">
            <v>0</v>
          </cell>
          <cell r="F20">
            <v>0</v>
          </cell>
          <cell r="G20">
            <v>169.3</v>
          </cell>
          <cell r="H20">
            <v>17472.830000000002</v>
          </cell>
          <cell r="I20">
            <v>9768.02</v>
          </cell>
          <cell r="J20">
            <v>92.77</v>
          </cell>
          <cell r="K20">
            <v>7797.58</v>
          </cell>
          <cell r="L20">
            <v>44.43</v>
          </cell>
          <cell r="M20">
            <v>1.0900000000000001</v>
          </cell>
        </row>
        <row r="21">
          <cell r="A21" t="str">
            <v>NITROLUX</v>
          </cell>
          <cell r="B21">
            <v>28</v>
          </cell>
          <cell r="C21">
            <v>17182.64</v>
          </cell>
          <cell r="D21">
            <v>19.7</v>
          </cell>
          <cell r="E21">
            <v>0</v>
          </cell>
          <cell r="F21">
            <v>0</v>
          </cell>
          <cell r="G21">
            <v>252.9</v>
          </cell>
          <cell r="H21">
            <v>16929.740000000002</v>
          </cell>
          <cell r="I21">
            <v>8957.84</v>
          </cell>
          <cell r="J21">
            <v>131.31</v>
          </cell>
          <cell r="K21">
            <v>8103.21</v>
          </cell>
          <cell r="L21">
            <v>47.52</v>
          </cell>
          <cell r="M21">
            <v>1.07</v>
          </cell>
        </row>
        <row r="22">
          <cell r="A22" t="str">
            <v>PAMESA</v>
          </cell>
          <cell r="B22">
            <v>19</v>
          </cell>
          <cell r="C22">
            <v>16361.7888</v>
          </cell>
          <cell r="D22">
            <v>30.08</v>
          </cell>
          <cell r="E22">
            <v>0</v>
          </cell>
          <cell r="F22">
            <v>0</v>
          </cell>
          <cell r="G22">
            <v>1955.7804000000001</v>
          </cell>
          <cell r="H22">
            <v>14406.008400000001</v>
          </cell>
          <cell r="I22">
            <v>11757.8496</v>
          </cell>
          <cell r="J22">
            <v>1225.9964</v>
          </cell>
          <cell r="K22">
            <v>3874.1552000000001</v>
          </cell>
          <cell r="L22">
            <v>25.6</v>
          </cell>
          <cell r="M22">
            <v>1.01</v>
          </cell>
        </row>
        <row r="23">
          <cell r="A23" t="str">
            <v>METAIS LEAO</v>
          </cell>
          <cell r="B23">
            <v>39</v>
          </cell>
          <cell r="C23">
            <v>14542.95</v>
          </cell>
          <cell r="D23">
            <v>55.93</v>
          </cell>
          <cell r="E23">
            <v>0</v>
          </cell>
          <cell r="F23">
            <v>0</v>
          </cell>
          <cell r="G23">
            <v>933.9</v>
          </cell>
          <cell r="H23">
            <v>13609.05</v>
          </cell>
          <cell r="I23">
            <v>8304.39</v>
          </cell>
          <cell r="J23">
            <v>527.9</v>
          </cell>
          <cell r="K23">
            <v>5832.56</v>
          </cell>
          <cell r="L23">
            <v>41.62</v>
          </cell>
          <cell r="M23">
            <v>0.9</v>
          </cell>
        </row>
        <row r="24">
          <cell r="A24" t="str">
            <v>GRANPLAST</v>
          </cell>
          <cell r="B24">
            <v>37</v>
          </cell>
          <cell r="C24">
            <v>13711.27</v>
          </cell>
          <cell r="D24">
            <v>15.53</v>
          </cell>
          <cell r="E24">
            <v>0</v>
          </cell>
          <cell r="F24">
            <v>0</v>
          </cell>
          <cell r="G24">
            <v>177.78</v>
          </cell>
          <cell r="H24">
            <v>13533.49</v>
          </cell>
          <cell r="I24">
            <v>8425.94</v>
          </cell>
          <cell r="J24">
            <v>111.19</v>
          </cell>
          <cell r="K24">
            <v>5218.74</v>
          </cell>
          <cell r="L24">
            <v>38.369999999999997</v>
          </cell>
          <cell r="M24">
            <v>0.85</v>
          </cell>
        </row>
        <row r="25">
          <cell r="A25" t="str">
            <v>NORCOLA</v>
          </cell>
          <cell r="B25">
            <v>17</v>
          </cell>
          <cell r="C25">
            <v>12721.22</v>
          </cell>
          <cell r="D25">
            <v>171.91</v>
          </cell>
          <cell r="E25">
            <v>0</v>
          </cell>
          <cell r="F25">
            <v>0</v>
          </cell>
          <cell r="G25">
            <v>8.85</v>
          </cell>
          <cell r="H25">
            <v>12712.37</v>
          </cell>
          <cell r="I25">
            <v>9434.4699999999993</v>
          </cell>
          <cell r="J25">
            <v>4.3899999999999997</v>
          </cell>
          <cell r="K25">
            <v>3282.29</v>
          </cell>
          <cell r="L25">
            <v>25.81</v>
          </cell>
          <cell r="M25">
            <v>0.79</v>
          </cell>
        </row>
        <row r="26">
          <cell r="A26" t="str">
            <v>BLACK DECKER</v>
          </cell>
          <cell r="B26">
            <v>14</v>
          </cell>
          <cell r="C26">
            <v>11797.87</v>
          </cell>
          <cell r="D26">
            <v>96.7</v>
          </cell>
          <cell r="E26">
            <v>0</v>
          </cell>
          <cell r="F26">
            <v>0</v>
          </cell>
          <cell r="G26">
            <v>99.5</v>
          </cell>
          <cell r="H26">
            <v>11698.37</v>
          </cell>
          <cell r="I26">
            <v>7302.5</v>
          </cell>
          <cell r="J26">
            <v>57.98</v>
          </cell>
          <cell r="K26">
            <v>4453.8500000000004</v>
          </cell>
          <cell r="L26">
            <v>37.94</v>
          </cell>
          <cell r="M26">
            <v>0.73</v>
          </cell>
        </row>
        <row r="27">
          <cell r="A27" t="str">
            <v>COBRECOM</v>
          </cell>
          <cell r="B27">
            <v>11</v>
          </cell>
          <cell r="C27">
            <v>10076.629999999999</v>
          </cell>
          <cell r="D27">
            <v>134.36000000000001</v>
          </cell>
          <cell r="E27">
            <v>0</v>
          </cell>
          <cell r="F27">
            <v>0</v>
          </cell>
          <cell r="G27">
            <v>34.9</v>
          </cell>
          <cell r="H27">
            <v>10041.73</v>
          </cell>
          <cell r="I27">
            <v>6202.81</v>
          </cell>
          <cell r="J27">
            <v>21.46</v>
          </cell>
          <cell r="K27">
            <v>3860.38</v>
          </cell>
          <cell r="L27">
            <v>38.39</v>
          </cell>
          <cell r="M27">
            <v>0.63</v>
          </cell>
        </row>
        <row r="28">
          <cell r="A28" t="str">
            <v>CERBRAS</v>
          </cell>
          <cell r="B28">
            <v>5</v>
          </cell>
          <cell r="C28">
            <v>9455.5642000000007</v>
          </cell>
          <cell r="D28">
            <v>63.73</v>
          </cell>
          <cell r="E28">
            <v>0</v>
          </cell>
          <cell r="F28">
            <v>0</v>
          </cell>
          <cell r="G28">
            <v>0</v>
          </cell>
          <cell r="H28">
            <v>9455.5642000000007</v>
          </cell>
          <cell r="I28">
            <v>6234.8173999999999</v>
          </cell>
          <cell r="J28">
            <v>0</v>
          </cell>
          <cell r="K28">
            <v>3220.7467999999999</v>
          </cell>
          <cell r="L28">
            <v>34.06</v>
          </cell>
          <cell r="M28">
            <v>0.59</v>
          </cell>
        </row>
        <row r="29">
          <cell r="A29" t="str">
            <v>VIQUA</v>
          </cell>
          <cell r="B29">
            <v>30</v>
          </cell>
          <cell r="C29">
            <v>9252.7999999999993</v>
          </cell>
          <cell r="D29">
            <v>37.159999999999997</v>
          </cell>
          <cell r="E29">
            <v>0</v>
          </cell>
          <cell r="F29">
            <v>0</v>
          </cell>
          <cell r="G29">
            <v>305.89</v>
          </cell>
          <cell r="H29">
            <v>8946.91</v>
          </cell>
          <cell r="I29">
            <v>5798.64</v>
          </cell>
          <cell r="J29">
            <v>193.1</v>
          </cell>
          <cell r="K29">
            <v>3341.37</v>
          </cell>
          <cell r="L29">
            <v>36.880000000000003</v>
          </cell>
          <cell r="M29">
            <v>0.56999999999999995</v>
          </cell>
        </row>
        <row r="30">
          <cell r="A30" t="str">
            <v>Perfilplast Industria e Comerc</v>
          </cell>
          <cell r="B30">
            <v>22</v>
          </cell>
          <cell r="C30">
            <v>8769.11</v>
          </cell>
          <cell r="D30">
            <v>61.67</v>
          </cell>
          <cell r="E30">
            <v>0</v>
          </cell>
          <cell r="F30">
            <v>0</v>
          </cell>
          <cell r="G30">
            <v>737.28</v>
          </cell>
          <cell r="H30">
            <v>8031.83</v>
          </cell>
          <cell r="I30">
            <v>5420.6779999999999</v>
          </cell>
          <cell r="J30">
            <v>457.036</v>
          </cell>
          <cell r="K30">
            <v>3068.1880000000001</v>
          </cell>
          <cell r="L30">
            <v>36.909999999999997</v>
          </cell>
          <cell r="M30">
            <v>0.54</v>
          </cell>
        </row>
        <row r="31">
          <cell r="A31" t="str">
            <v>INCESA</v>
          </cell>
          <cell r="B31">
            <v>8</v>
          </cell>
          <cell r="C31">
            <v>8294.866</v>
          </cell>
          <cell r="D31">
            <v>72.7</v>
          </cell>
          <cell r="E31">
            <v>0</v>
          </cell>
          <cell r="F31">
            <v>0</v>
          </cell>
          <cell r="G31">
            <v>0</v>
          </cell>
          <cell r="H31">
            <v>8294.866</v>
          </cell>
          <cell r="I31">
            <v>5135.4520000000002</v>
          </cell>
          <cell r="J31">
            <v>0</v>
          </cell>
          <cell r="K31">
            <v>3159.4140000000002</v>
          </cell>
          <cell r="L31">
            <v>38.090000000000003</v>
          </cell>
          <cell r="M31">
            <v>0.51</v>
          </cell>
        </row>
        <row r="32">
          <cell r="A32" t="str">
            <v>BLUKIT</v>
          </cell>
          <cell r="B32">
            <v>39</v>
          </cell>
          <cell r="C32">
            <v>7947.46</v>
          </cell>
          <cell r="D32">
            <v>19.48</v>
          </cell>
          <cell r="E32">
            <v>0</v>
          </cell>
          <cell r="F32">
            <v>0</v>
          </cell>
          <cell r="G32">
            <v>249.2</v>
          </cell>
          <cell r="H32">
            <v>7698.26</v>
          </cell>
          <cell r="I32">
            <v>4487.1000000000004</v>
          </cell>
          <cell r="J32">
            <v>136.29</v>
          </cell>
          <cell r="K32">
            <v>3347.45</v>
          </cell>
          <cell r="L32">
            <v>42.85</v>
          </cell>
          <cell r="M32">
            <v>0.49</v>
          </cell>
        </row>
        <row r="33">
          <cell r="A33" t="str">
            <v>PADO</v>
          </cell>
          <cell r="B33">
            <v>20</v>
          </cell>
          <cell r="C33">
            <v>7617.89</v>
          </cell>
          <cell r="D33">
            <v>44.03</v>
          </cell>
          <cell r="E33">
            <v>0</v>
          </cell>
          <cell r="F33">
            <v>0</v>
          </cell>
          <cell r="G33">
            <v>505.3</v>
          </cell>
          <cell r="H33">
            <v>7112.59</v>
          </cell>
          <cell r="I33">
            <v>4193.8500000000004</v>
          </cell>
          <cell r="J33">
            <v>272.3</v>
          </cell>
          <cell r="K33">
            <v>3191.04</v>
          </cell>
          <cell r="L33">
            <v>43.44</v>
          </cell>
          <cell r="M33">
            <v>0.47</v>
          </cell>
        </row>
        <row r="34">
          <cell r="A34" t="str">
            <v>AVANT</v>
          </cell>
          <cell r="B34">
            <v>19</v>
          </cell>
          <cell r="C34">
            <v>7540.5</v>
          </cell>
          <cell r="D34">
            <v>35.24</v>
          </cell>
          <cell r="E34">
            <v>0</v>
          </cell>
          <cell r="F34">
            <v>0</v>
          </cell>
          <cell r="G34">
            <v>294.60000000000002</v>
          </cell>
          <cell r="H34">
            <v>7245.9</v>
          </cell>
          <cell r="I34">
            <v>3640.51</v>
          </cell>
          <cell r="J34">
            <v>153.82</v>
          </cell>
          <cell r="K34">
            <v>3759.21</v>
          </cell>
          <cell r="L34">
            <v>50.89</v>
          </cell>
          <cell r="M34">
            <v>0.47</v>
          </cell>
        </row>
        <row r="35">
          <cell r="A35" t="str">
            <v>MULT MIX IMPORTADORA</v>
          </cell>
          <cell r="B35">
            <v>27</v>
          </cell>
          <cell r="C35">
            <v>7301.96</v>
          </cell>
          <cell r="D35">
            <v>18.16</v>
          </cell>
          <cell r="E35">
            <v>0</v>
          </cell>
          <cell r="F35">
            <v>0</v>
          </cell>
          <cell r="G35">
            <v>104.7</v>
          </cell>
          <cell r="H35">
            <v>7197.26</v>
          </cell>
          <cell r="I35">
            <v>3779.73</v>
          </cell>
          <cell r="J35">
            <v>55.19</v>
          </cell>
          <cell r="K35">
            <v>3472.72</v>
          </cell>
          <cell r="L35">
            <v>47.92</v>
          </cell>
          <cell r="M35">
            <v>0.45</v>
          </cell>
        </row>
        <row r="36">
          <cell r="A36" t="str">
            <v>MGM</v>
          </cell>
          <cell r="B36">
            <v>12</v>
          </cell>
          <cell r="C36">
            <v>6867.5</v>
          </cell>
          <cell r="D36">
            <v>429.22</v>
          </cell>
          <cell r="E36">
            <v>0</v>
          </cell>
          <cell r="F36">
            <v>0</v>
          </cell>
          <cell r="G36">
            <v>0</v>
          </cell>
          <cell r="H36">
            <v>6867.5</v>
          </cell>
          <cell r="I36">
            <v>4321.0200000000004</v>
          </cell>
          <cell r="J36">
            <v>0</v>
          </cell>
          <cell r="K36">
            <v>2546.48</v>
          </cell>
          <cell r="L36">
            <v>37.08</v>
          </cell>
          <cell r="M36">
            <v>0.43</v>
          </cell>
        </row>
        <row r="37">
          <cell r="A37" t="str">
            <v>METALURGICA MOR S/A</v>
          </cell>
          <cell r="B37">
            <v>9</v>
          </cell>
          <cell r="C37">
            <v>6505.86</v>
          </cell>
          <cell r="D37">
            <v>89.12</v>
          </cell>
          <cell r="E37">
            <v>0</v>
          </cell>
          <cell r="F37">
            <v>0</v>
          </cell>
          <cell r="G37">
            <v>0</v>
          </cell>
          <cell r="H37">
            <v>6505.86</v>
          </cell>
          <cell r="I37">
            <v>3971.59</v>
          </cell>
          <cell r="J37">
            <v>0</v>
          </cell>
          <cell r="K37">
            <v>2534.27</v>
          </cell>
          <cell r="L37">
            <v>38.950000000000003</v>
          </cell>
          <cell r="M37">
            <v>0.4</v>
          </cell>
        </row>
        <row r="38">
          <cell r="A38" t="str">
            <v>LEDVANCE</v>
          </cell>
          <cell r="B38">
            <v>15</v>
          </cell>
          <cell r="C38">
            <v>6461.57</v>
          </cell>
          <cell r="D38">
            <v>6.96</v>
          </cell>
          <cell r="E38">
            <v>0</v>
          </cell>
          <cell r="F38">
            <v>0</v>
          </cell>
          <cell r="G38">
            <v>96.4</v>
          </cell>
          <cell r="H38">
            <v>6365.17</v>
          </cell>
          <cell r="I38">
            <v>3743.2</v>
          </cell>
          <cell r="J38">
            <v>58.27</v>
          </cell>
          <cell r="K38">
            <v>2680.24</v>
          </cell>
          <cell r="L38">
            <v>41.86</v>
          </cell>
          <cell r="M38">
            <v>0.4</v>
          </cell>
        </row>
        <row r="39">
          <cell r="A39" t="str">
            <v>CORTAG</v>
          </cell>
          <cell r="B39">
            <v>33</v>
          </cell>
          <cell r="C39">
            <v>6012.34</v>
          </cell>
          <cell r="D39">
            <v>20.04</v>
          </cell>
          <cell r="E39">
            <v>0</v>
          </cell>
          <cell r="F39">
            <v>0</v>
          </cell>
          <cell r="G39">
            <v>64.72</v>
          </cell>
          <cell r="H39">
            <v>5947.62</v>
          </cell>
          <cell r="I39">
            <v>3629.46</v>
          </cell>
          <cell r="J39">
            <v>36.049999999999997</v>
          </cell>
          <cell r="K39">
            <v>2354.21</v>
          </cell>
          <cell r="L39">
            <v>39.39</v>
          </cell>
          <cell r="M39">
            <v>0.37</v>
          </cell>
        </row>
        <row r="40">
          <cell r="A40" t="str">
            <v>SILVANA</v>
          </cell>
          <cell r="B40">
            <v>11</v>
          </cell>
          <cell r="C40">
            <v>5737.65</v>
          </cell>
          <cell r="D40">
            <v>21.49</v>
          </cell>
          <cell r="E40">
            <v>0</v>
          </cell>
          <cell r="F40">
            <v>0</v>
          </cell>
          <cell r="G40">
            <v>131.47</v>
          </cell>
          <cell r="H40">
            <v>5606.18</v>
          </cell>
          <cell r="I40">
            <v>3359.82</v>
          </cell>
          <cell r="J40">
            <v>82.91</v>
          </cell>
          <cell r="K40">
            <v>2329.27</v>
          </cell>
          <cell r="L40">
            <v>41.19</v>
          </cell>
          <cell r="M40">
            <v>0.36</v>
          </cell>
        </row>
        <row r="41">
          <cell r="A41" t="str">
            <v>LUCONI</v>
          </cell>
          <cell r="B41">
            <v>45</v>
          </cell>
          <cell r="C41">
            <v>5690.64</v>
          </cell>
          <cell r="D41">
            <v>10.92</v>
          </cell>
          <cell r="E41">
            <v>0</v>
          </cell>
          <cell r="F41">
            <v>0</v>
          </cell>
          <cell r="G41">
            <v>278.10000000000002</v>
          </cell>
          <cell r="H41">
            <v>5412.54</v>
          </cell>
          <cell r="I41">
            <v>2738.13</v>
          </cell>
          <cell r="J41">
            <v>146.31</v>
          </cell>
          <cell r="K41">
            <v>2820.72</v>
          </cell>
          <cell r="L41">
            <v>50.88</v>
          </cell>
          <cell r="M41">
            <v>0.35</v>
          </cell>
        </row>
        <row r="42">
          <cell r="A42" t="str">
            <v>PULVITEC</v>
          </cell>
          <cell r="B42">
            <v>41</v>
          </cell>
          <cell r="C42">
            <v>5586.7</v>
          </cell>
          <cell r="D42">
            <v>8.24</v>
          </cell>
          <cell r="E42">
            <v>0</v>
          </cell>
          <cell r="F42">
            <v>0</v>
          </cell>
          <cell r="G42">
            <v>63.6</v>
          </cell>
          <cell r="H42">
            <v>5523.1</v>
          </cell>
          <cell r="I42">
            <v>2776.02</v>
          </cell>
          <cell r="J42">
            <v>32.979999999999997</v>
          </cell>
          <cell r="K42">
            <v>2780.06</v>
          </cell>
          <cell r="L42">
            <v>50.06</v>
          </cell>
          <cell r="M42">
            <v>0.35</v>
          </cell>
        </row>
        <row r="43">
          <cell r="A43" t="str">
            <v>ANAUGER</v>
          </cell>
          <cell r="B43">
            <v>4</v>
          </cell>
          <cell r="C43">
            <v>5409.4</v>
          </cell>
          <cell r="D43">
            <v>360.63</v>
          </cell>
          <cell r="E43">
            <v>0</v>
          </cell>
          <cell r="F43">
            <v>0</v>
          </cell>
          <cell r="G43">
            <v>0</v>
          </cell>
          <cell r="H43">
            <v>5409.4</v>
          </cell>
          <cell r="I43">
            <v>3668.89</v>
          </cell>
          <cell r="J43">
            <v>0</v>
          </cell>
          <cell r="K43">
            <v>1740.51</v>
          </cell>
          <cell r="L43">
            <v>32.18</v>
          </cell>
          <cell r="M43">
            <v>0.34</v>
          </cell>
        </row>
        <row r="44">
          <cell r="A44" t="str">
            <v>BELLA PIA</v>
          </cell>
          <cell r="B44">
            <v>15</v>
          </cell>
          <cell r="C44">
            <v>5340.64</v>
          </cell>
          <cell r="D44">
            <v>205.41</v>
          </cell>
          <cell r="E44">
            <v>0</v>
          </cell>
          <cell r="F44">
            <v>0</v>
          </cell>
          <cell r="G44">
            <v>299.89999999999998</v>
          </cell>
          <cell r="H44">
            <v>5040.74</v>
          </cell>
          <cell r="I44">
            <v>3032.75</v>
          </cell>
          <cell r="J44">
            <v>177.81</v>
          </cell>
          <cell r="K44">
            <v>2185.8000000000002</v>
          </cell>
          <cell r="L44">
            <v>42.34</v>
          </cell>
          <cell r="M44">
            <v>0.33</v>
          </cell>
        </row>
        <row r="45">
          <cell r="A45" t="str">
            <v>VEDACIT</v>
          </cell>
          <cell r="B45">
            <v>12</v>
          </cell>
          <cell r="C45">
            <v>4999.32</v>
          </cell>
          <cell r="D45">
            <v>70.41</v>
          </cell>
          <cell r="E45">
            <v>0</v>
          </cell>
          <cell r="F45">
            <v>0</v>
          </cell>
          <cell r="G45">
            <v>0</v>
          </cell>
          <cell r="H45">
            <v>4999.32</v>
          </cell>
          <cell r="I45">
            <v>2864.81</v>
          </cell>
          <cell r="J45">
            <v>0</v>
          </cell>
          <cell r="K45">
            <v>2134.5100000000002</v>
          </cell>
          <cell r="L45">
            <v>42.7</v>
          </cell>
          <cell r="M45">
            <v>0.31</v>
          </cell>
        </row>
        <row r="46">
          <cell r="A46" t="str">
            <v>HERC</v>
          </cell>
          <cell r="B46">
            <v>15</v>
          </cell>
          <cell r="C46">
            <v>4970.97</v>
          </cell>
          <cell r="D46">
            <v>27.46</v>
          </cell>
          <cell r="E46">
            <v>0</v>
          </cell>
          <cell r="F46">
            <v>0</v>
          </cell>
          <cell r="G46">
            <v>0</v>
          </cell>
          <cell r="H46">
            <v>4970.97</v>
          </cell>
          <cell r="I46">
            <v>2949.02</v>
          </cell>
          <cell r="J46">
            <v>0</v>
          </cell>
          <cell r="K46">
            <v>2021.95</v>
          </cell>
          <cell r="L46">
            <v>40.68</v>
          </cell>
          <cell r="M46">
            <v>0.31</v>
          </cell>
        </row>
        <row r="47">
          <cell r="A47" t="str">
            <v>INTECH MACHINE</v>
          </cell>
          <cell r="B47">
            <v>8</v>
          </cell>
          <cell r="C47">
            <v>4788.7</v>
          </cell>
          <cell r="D47">
            <v>228.03</v>
          </cell>
          <cell r="E47">
            <v>0</v>
          </cell>
          <cell r="F47">
            <v>0</v>
          </cell>
          <cell r="G47">
            <v>189</v>
          </cell>
          <cell r="H47">
            <v>4599.7</v>
          </cell>
          <cell r="I47">
            <v>2801.95</v>
          </cell>
          <cell r="J47">
            <v>115.78</v>
          </cell>
          <cell r="K47">
            <v>1913.53</v>
          </cell>
          <cell r="L47">
            <v>40.950000000000003</v>
          </cell>
          <cell r="M47">
            <v>0.3</v>
          </cell>
        </row>
        <row r="48">
          <cell r="A48" t="str">
            <v>PLASTMAR IND E COM</v>
          </cell>
          <cell r="B48">
            <v>8</v>
          </cell>
          <cell r="C48">
            <v>4414.95</v>
          </cell>
          <cell r="D48">
            <v>73.58</v>
          </cell>
          <cell r="E48">
            <v>0</v>
          </cell>
          <cell r="F48">
            <v>0</v>
          </cell>
          <cell r="G48">
            <v>0</v>
          </cell>
          <cell r="H48">
            <v>4414.95</v>
          </cell>
          <cell r="I48">
            <v>2534.29</v>
          </cell>
          <cell r="J48">
            <v>0</v>
          </cell>
          <cell r="K48">
            <v>1880.66</v>
          </cell>
          <cell r="L48">
            <v>42.6</v>
          </cell>
          <cell r="M48">
            <v>0.27</v>
          </cell>
        </row>
        <row r="49">
          <cell r="A49" t="str">
            <v>PRATEFIX</v>
          </cell>
          <cell r="B49">
            <v>7</v>
          </cell>
          <cell r="C49">
            <v>4262.78</v>
          </cell>
          <cell r="D49">
            <v>36.43</v>
          </cell>
          <cell r="E49">
            <v>0</v>
          </cell>
          <cell r="F49">
            <v>0</v>
          </cell>
          <cell r="G49">
            <v>16.899999999999999</v>
          </cell>
          <cell r="H49">
            <v>4245.88</v>
          </cell>
          <cell r="I49">
            <v>2426.2800000000002</v>
          </cell>
          <cell r="J49">
            <v>9.5399999999999991</v>
          </cell>
          <cell r="K49">
            <v>1829.14</v>
          </cell>
          <cell r="L49">
            <v>43.01</v>
          </cell>
          <cell r="M49">
            <v>0.26</v>
          </cell>
        </row>
        <row r="50">
          <cell r="A50" t="str">
            <v>KDK PORTAS</v>
          </cell>
          <cell r="B50">
            <v>12</v>
          </cell>
          <cell r="C50">
            <v>4099.3500000000004</v>
          </cell>
          <cell r="D50">
            <v>170.81</v>
          </cell>
          <cell r="E50">
            <v>0</v>
          </cell>
          <cell r="F50">
            <v>0</v>
          </cell>
          <cell r="G50">
            <v>187.9</v>
          </cell>
          <cell r="H50">
            <v>3911.45</v>
          </cell>
          <cell r="I50">
            <v>2223.9299999999998</v>
          </cell>
          <cell r="J50">
            <v>99.02</v>
          </cell>
          <cell r="K50">
            <v>1786.54</v>
          </cell>
          <cell r="L50">
            <v>44.66</v>
          </cell>
          <cell r="M50">
            <v>0.25</v>
          </cell>
        </row>
        <row r="51">
          <cell r="A51" t="str">
            <v>DOCOL METAIS</v>
          </cell>
          <cell r="B51">
            <v>9</v>
          </cell>
          <cell r="C51">
            <v>3967.24</v>
          </cell>
          <cell r="D51">
            <v>84.41</v>
          </cell>
          <cell r="E51">
            <v>0</v>
          </cell>
          <cell r="F51">
            <v>0</v>
          </cell>
          <cell r="G51">
            <v>0</v>
          </cell>
          <cell r="H51">
            <v>3967.24</v>
          </cell>
          <cell r="I51">
            <v>2380.9699999999998</v>
          </cell>
          <cell r="J51">
            <v>0</v>
          </cell>
          <cell r="K51">
            <v>1586.27</v>
          </cell>
          <cell r="L51">
            <v>39.979999999999997</v>
          </cell>
          <cell r="M51">
            <v>0.25</v>
          </cell>
        </row>
        <row r="52">
          <cell r="A52" t="str">
            <v>BOTAFOGO</v>
          </cell>
          <cell r="B52">
            <v>3</v>
          </cell>
          <cell r="C52">
            <v>3611.8</v>
          </cell>
          <cell r="D52">
            <v>722.36</v>
          </cell>
          <cell r="E52">
            <v>0</v>
          </cell>
          <cell r="F52">
            <v>0</v>
          </cell>
          <cell r="G52">
            <v>0</v>
          </cell>
          <cell r="H52">
            <v>3611.8</v>
          </cell>
          <cell r="I52">
            <v>2095.8000000000002</v>
          </cell>
          <cell r="J52">
            <v>0</v>
          </cell>
          <cell r="K52">
            <v>1516</v>
          </cell>
          <cell r="L52">
            <v>41.97</v>
          </cell>
          <cell r="M52">
            <v>0.22</v>
          </cell>
        </row>
        <row r="53">
          <cell r="A53" t="str">
            <v>ADERE</v>
          </cell>
          <cell r="B53">
            <v>18</v>
          </cell>
          <cell r="C53">
            <v>3445.58</v>
          </cell>
          <cell r="D53">
            <v>11.3</v>
          </cell>
          <cell r="E53">
            <v>0</v>
          </cell>
          <cell r="F53">
            <v>0</v>
          </cell>
          <cell r="G53">
            <v>0</v>
          </cell>
          <cell r="H53">
            <v>3445.58</v>
          </cell>
          <cell r="I53">
            <v>2041.47</v>
          </cell>
          <cell r="J53">
            <v>0</v>
          </cell>
          <cell r="K53">
            <v>1404.11</v>
          </cell>
          <cell r="L53">
            <v>40.75</v>
          </cell>
          <cell r="M53">
            <v>0.21</v>
          </cell>
        </row>
        <row r="54">
          <cell r="A54" t="str">
            <v>BEMFIXA</v>
          </cell>
          <cell r="B54">
            <v>11</v>
          </cell>
          <cell r="C54">
            <v>3136.61</v>
          </cell>
          <cell r="D54">
            <v>12.4</v>
          </cell>
          <cell r="E54">
            <v>0</v>
          </cell>
          <cell r="F54">
            <v>0</v>
          </cell>
          <cell r="G54">
            <v>80.900000000000006</v>
          </cell>
          <cell r="H54">
            <v>3055.71</v>
          </cell>
          <cell r="I54">
            <v>1756.4</v>
          </cell>
          <cell r="J54">
            <v>47.63</v>
          </cell>
          <cell r="K54">
            <v>1346.94</v>
          </cell>
          <cell r="L54">
            <v>43.6</v>
          </cell>
          <cell r="M54">
            <v>0.19</v>
          </cell>
        </row>
        <row r="55">
          <cell r="A55" t="str">
            <v>NORTON</v>
          </cell>
          <cell r="B55">
            <v>21</v>
          </cell>
          <cell r="C55">
            <v>3122.22</v>
          </cell>
          <cell r="D55">
            <v>2.4</v>
          </cell>
          <cell r="E55">
            <v>0</v>
          </cell>
          <cell r="F55">
            <v>0</v>
          </cell>
          <cell r="G55">
            <v>47.9</v>
          </cell>
          <cell r="H55">
            <v>3074.32</v>
          </cell>
          <cell r="I55">
            <v>1670.83</v>
          </cell>
          <cell r="J55">
            <v>29.82</v>
          </cell>
          <cell r="K55">
            <v>1433.31</v>
          </cell>
          <cell r="L55">
            <v>46.35</v>
          </cell>
          <cell r="M55">
            <v>0.19</v>
          </cell>
        </row>
        <row r="56">
          <cell r="A56" t="str">
            <v>MARLUVAS</v>
          </cell>
          <cell r="B56">
            <v>5</v>
          </cell>
          <cell r="C56">
            <v>2870.08</v>
          </cell>
          <cell r="D56">
            <v>92.58</v>
          </cell>
          <cell r="E56">
            <v>0</v>
          </cell>
          <cell r="F56">
            <v>0</v>
          </cell>
          <cell r="G56">
            <v>0</v>
          </cell>
          <cell r="H56">
            <v>2870.08</v>
          </cell>
          <cell r="I56">
            <v>1719.3</v>
          </cell>
          <cell r="J56">
            <v>0</v>
          </cell>
          <cell r="K56">
            <v>1150.78</v>
          </cell>
          <cell r="L56">
            <v>40.1</v>
          </cell>
          <cell r="M56">
            <v>0.18</v>
          </cell>
        </row>
        <row r="57">
          <cell r="A57" t="str">
            <v>FRANKLIN</v>
          </cell>
          <cell r="B57">
            <v>4</v>
          </cell>
          <cell r="C57">
            <v>2735.5</v>
          </cell>
          <cell r="D57">
            <v>547.1</v>
          </cell>
          <cell r="E57">
            <v>0</v>
          </cell>
          <cell r="F57">
            <v>0</v>
          </cell>
          <cell r="G57">
            <v>0</v>
          </cell>
          <cell r="H57">
            <v>2735.5</v>
          </cell>
          <cell r="I57">
            <v>1611.3</v>
          </cell>
          <cell r="J57">
            <v>0</v>
          </cell>
          <cell r="K57">
            <v>1124.2</v>
          </cell>
          <cell r="L57">
            <v>41.1</v>
          </cell>
          <cell r="M57">
            <v>0.17</v>
          </cell>
        </row>
        <row r="58">
          <cell r="A58" t="str">
            <v>MYPA</v>
          </cell>
          <cell r="B58">
            <v>20</v>
          </cell>
          <cell r="C58">
            <v>2692.47</v>
          </cell>
          <cell r="D58">
            <v>13.67</v>
          </cell>
          <cell r="E58">
            <v>0</v>
          </cell>
          <cell r="F58">
            <v>0</v>
          </cell>
          <cell r="G58">
            <v>0</v>
          </cell>
          <cell r="H58">
            <v>2692.47</v>
          </cell>
          <cell r="I58">
            <v>1458.39</v>
          </cell>
          <cell r="J58">
            <v>0</v>
          </cell>
          <cell r="K58">
            <v>1234.08</v>
          </cell>
          <cell r="L58">
            <v>45.83</v>
          </cell>
          <cell r="M58">
            <v>0.17</v>
          </cell>
        </row>
        <row r="59">
          <cell r="A59" t="str">
            <v>BRASFORMA</v>
          </cell>
          <cell r="B59">
            <v>5</v>
          </cell>
          <cell r="C59">
            <v>2457.6</v>
          </cell>
          <cell r="D59">
            <v>58.51</v>
          </cell>
          <cell r="E59">
            <v>0</v>
          </cell>
          <cell r="F59">
            <v>0</v>
          </cell>
          <cell r="G59">
            <v>0</v>
          </cell>
          <cell r="H59">
            <v>2457.6</v>
          </cell>
          <cell r="I59">
            <v>1537.83</v>
          </cell>
          <cell r="J59">
            <v>0</v>
          </cell>
          <cell r="K59">
            <v>919.77</v>
          </cell>
          <cell r="L59">
            <v>37.43</v>
          </cell>
          <cell r="M59">
            <v>0.15</v>
          </cell>
        </row>
        <row r="60">
          <cell r="A60" t="str">
            <v>PRATIMIX</v>
          </cell>
          <cell r="B60">
            <v>20</v>
          </cell>
          <cell r="C60">
            <v>2404.13</v>
          </cell>
          <cell r="D60">
            <v>11.78</v>
          </cell>
          <cell r="E60">
            <v>0</v>
          </cell>
          <cell r="F60">
            <v>0</v>
          </cell>
          <cell r="G60">
            <v>2.81</v>
          </cell>
          <cell r="H60">
            <v>2401.3200000000002</v>
          </cell>
          <cell r="I60">
            <v>1479.14</v>
          </cell>
          <cell r="J60">
            <v>1.48</v>
          </cell>
          <cell r="K60">
            <v>923.66</v>
          </cell>
          <cell r="L60">
            <v>38.44</v>
          </cell>
          <cell r="M60">
            <v>0.15</v>
          </cell>
        </row>
        <row r="61">
          <cell r="A61" t="str">
            <v>LEGRAND</v>
          </cell>
          <cell r="B61">
            <v>8</v>
          </cell>
          <cell r="C61">
            <v>2241.98</v>
          </cell>
          <cell r="D61">
            <v>13.19</v>
          </cell>
          <cell r="E61">
            <v>0</v>
          </cell>
          <cell r="F61">
            <v>0</v>
          </cell>
          <cell r="G61">
            <v>23.89</v>
          </cell>
          <cell r="H61">
            <v>2218.09</v>
          </cell>
          <cell r="I61">
            <v>1396.51</v>
          </cell>
          <cell r="J61">
            <v>15.33</v>
          </cell>
          <cell r="K61">
            <v>836.91</v>
          </cell>
          <cell r="L61">
            <v>37.590000000000003</v>
          </cell>
          <cell r="M61">
            <v>0.14000000000000001</v>
          </cell>
        </row>
        <row r="62">
          <cell r="A62" t="str">
            <v>EXATRON</v>
          </cell>
          <cell r="B62">
            <v>7</v>
          </cell>
          <cell r="C62">
            <v>1934.81</v>
          </cell>
          <cell r="D62">
            <v>41.17</v>
          </cell>
          <cell r="E62">
            <v>0</v>
          </cell>
          <cell r="F62">
            <v>0</v>
          </cell>
          <cell r="G62">
            <v>0</v>
          </cell>
          <cell r="H62">
            <v>1934.81</v>
          </cell>
          <cell r="I62">
            <v>1102.52</v>
          </cell>
          <cell r="J62">
            <v>0</v>
          </cell>
          <cell r="K62">
            <v>832.29</v>
          </cell>
          <cell r="L62">
            <v>43.02</v>
          </cell>
          <cell r="M62">
            <v>0.12</v>
          </cell>
        </row>
        <row r="63">
          <cell r="A63" t="str">
            <v>CENSI</v>
          </cell>
          <cell r="B63">
            <v>11</v>
          </cell>
          <cell r="C63">
            <v>1921.16</v>
          </cell>
          <cell r="D63">
            <v>23.72</v>
          </cell>
          <cell r="E63">
            <v>0</v>
          </cell>
          <cell r="F63">
            <v>0</v>
          </cell>
          <cell r="G63">
            <v>44.8</v>
          </cell>
          <cell r="H63">
            <v>1876.36</v>
          </cell>
          <cell r="I63">
            <v>1117.1600000000001</v>
          </cell>
          <cell r="J63">
            <v>27.52</v>
          </cell>
          <cell r="K63">
            <v>786.72</v>
          </cell>
          <cell r="L63">
            <v>41.55</v>
          </cell>
          <cell r="M63">
            <v>0.12</v>
          </cell>
        </row>
        <row r="64">
          <cell r="A64" t="str">
            <v>TAF</v>
          </cell>
          <cell r="B64">
            <v>12</v>
          </cell>
          <cell r="C64">
            <v>1819.06</v>
          </cell>
          <cell r="D64">
            <v>20.91</v>
          </cell>
          <cell r="E64">
            <v>0</v>
          </cell>
          <cell r="F64">
            <v>0</v>
          </cell>
          <cell r="G64">
            <v>71.2</v>
          </cell>
          <cell r="H64">
            <v>1747.86</v>
          </cell>
          <cell r="I64">
            <v>1011.42</v>
          </cell>
          <cell r="J64">
            <v>43.89</v>
          </cell>
          <cell r="K64">
            <v>780.33</v>
          </cell>
          <cell r="L64">
            <v>43.96</v>
          </cell>
          <cell r="M64">
            <v>0.11</v>
          </cell>
        </row>
        <row r="65">
          <cell r="A65" t="str">
            <v>LGMAIS</v>
          </cell>
          <cell r="B65">
            <v>3</v>
          </cell>
          <cell r="C65">
            <v>1800.24</v>
          </cell>
          <cell r="D65">
            <v>150.02000000000001</v>
          </cell>
          <cell r="E65">
            <v>0</v>
          </cell>
          <cell r="F65">
            <v>0</v>
          </cell>
          <cell r="G65">
            <v>0</v>
          </cell>
          <cell r="H65">
            <v>1800.24</v>
          </cell>
          <cell r="I65">
            <v>1623.4</v>
          </cell>
          <cell r="J65">
            <v>0</v>
          </cell>
          <cell r="K65">
            <v>176.84</v>
          </cell>
          <cell r="L65">
            <v>9.82</v>
          </cell>
          <cell r="M65">
            <v>0.11</v>
          </cell>
        </row>
        <row r="66">
          <cell r="A66" t="str">
            <v>KRONA</v>
          </cell>
          <cell r="B66">
            <v>12</v>
          </cell>
          <cell r="C66">
            <v>1760.78</v>
          </cell>
          <cell r="D66">
            <v>7.28</v>
          </cell>
          <cell r="E66">
            <v>0</v>
          </cell>
          <cell r="F66">
            <v>0</v>
          </cell>
          <cell r="G66">
            <v>42.3</v>
          </cell>
          <cell r="H66">
            <v>1718.48</v>
          </cell>
          <cell r="I66">
            <v>981.25</v>
          </cell>
          <cell r="J66">
            <v>23.03</v>
          </cell>
          <cell r="K66">
            <v>760.26</v>
          </cell>
          <cell r="L66">
            <v>43.75</v>
          </cell>
          <cell r="M66">
            <v>0.11</v>
          </cell>
        </row>
        <row r="67">
          <cell r="A67" t="str">
            <v>BOSCH</v>
          </cell>
          <cell r="B67">
            <v>5</v>
          </cell>
          <cell r="C67">
            <v>1417.57</v>
          </cell>
          <cell r="D67">
            <v>141.76</v>
          </cell>
          <cell r="E67">
            <v>0</v>
          </cell>
          <cell r="F67">
            <v>0</v>
          </cell>
          <cell r="G67">
            <v>312.89999999999998</v>
          </cell>
          <cell r="H67">
            <v>1104.67</v>
          </cell>
          <cell r="I67">
            <v>911.93</v>
          </cell>
          <cell r="J67">
            <v>198.88</v>
          </cell>
          <cell r="K67">
            <v>391.62</v>
          </cell>
          <cell r="L67">
            <v>32.130000000000003</v>
          </cell>
          <cell r="M67">
            <v>0.09</v>
          </cell>
        </row>
        <row r="68">
          <cell r="A68" t="str">
            <v>VONDER</v>
          </cell>
          <cell r="B68">
            <v>5</v>
          </cell>
          <cell r="C68">
            <v>1404.1</v>
          </cell>
          <cell r="D68">
            <v>43.88</v>
          </cell>
          <cell r="E68">
            <v>0</v>
          </cell>
          <cell r="F68">
            <v>0</v>
          </cell>
          <cell r="G68">
            <v>0</v>
          </cell>
          <cell r="H68">
            <v>1404.1</v>
          </cell>
          <cell r="I68">
            <v>860.02</v>
          </cell>
          <cell r="J68">
            <v>0</v>
          </cell>
          <cell r="K68">
            <v>544.08000000000004</v>
          </cell>
          <cell r="L68">
            <v>38.75</v>
          </cell>
          <cell r="M68">
            <v>0.09</v>
          </cell>
        </row>
        <row r="69">
          <cell r="A69" t="str">
            <v>ALIANÇA</v>
          </cell>
          <cell r="B69">
            <v>5</v>
          </cell>
          <cell r="C69">
            <v>1393</v>
          </cell>
          <cell r="D69">
            <v>60.57</v>
          </cell>
          <cell r="E69">
            <v>0</v>
          </cell>
          <cell r="F69">
            <v>0</v>
          </cell>
          <cell r="G69">
            <v>0</v>
          </cell>
          <cell r="H69">
            <v>1393</v>
          </cell>
          <cell r="I69">
            <v>833.5</v>
          </cell>
          <cell r="J69">
            <v>0</v>
          </cell>
          <cell r="K69">
            <v>559.5</v>
          </cell>
          <cell r="L69">
            <v>40.17</v>
          </cell>
          <cell r="M69">
            <v>0.09</v>
          </cell>
        </row>
        <row r="70">
          <cell r="A70" t="str">
            <v>METALOSA</v>
          </cell>
          <cell r="B70">
            <v>3</v>
          </cell>
          <cell r="C70">
            <v>1358.49</v>
          </cell>
          <cell r="D70">
            <v>226.42</v>
          </cell>
          <cell r="E70">
            <v>0</v>
          </cell>
          <cell r="F70">
            <v>0</v>
          </cell>
          <cell r="G70">
            <v>0</v>
          </cell>
          <cell r="H70">
            <v>1358.49</v>
          </cell>
          <cell r="I70">
            <v>780.24</v>
          </cell>
          <cell r="J70">
            <v>0</v>
          </cell>
          <cell r="K70">
            <v>578.25</v>
          </cell>
          <cell r="L70">
            <v>42.57</v>
          </cell>
          <cell r="M70">
            <v>0.08</v>
          </cell>
        </row>
        <row r="71">
          <cell r="A71" t="str">
            <v>BOGNAR</v>
          </cell>
          <cell r="B71">
            <v>7</v>
          </cell>
          <cell r="C71">
            <v>1216.5999999999999</v>
          </cell>
          <cell r="D71">
            <v>46.79</v>
          </cell>
          <cell r="E71">
            <v>0</v>
          </cell>
          <cell r="F71">
            <v>0</v>
          </cell>
          <cell r="G71">
            <v>39.9</v>
          </cell>
          <cell r="H71">
            <v>1176.7</v>
          </cell>
          <cell r="I71">
            <v>743.71</v>
          </cell>
          <cell r="J71">
            <v>25.55</v>
          </cell>
          <cell r="K71">
            <v>458.54</v>
          </cell>
          <cell r="L71">
            <v>38.5</v>
          </cell>
          <cell r="M71">
            <v>0.08</v>
          </cell>
        </row>
        <row r="72">
          <cell r="A72" t="str">
            <v>ASTRA</v>
          </cell>
          <cell r="B72">
            <v>7</v>
          </cell>
          <cell r="C72">
            <v>1087.24</v>
          </cell>
          <cell r="D72">
            <v>18.12</v>
          </cell>
          <cell r="E72">
            <v>0</v>
          </cell>
          <cell r="F72">
            <v>0</v>
          </cell>
          <cell r="G72">
            <v>0</v>
          </cell>
          <cell r="H72">
            <v>1087.24</v>
          </cell>
          <cell r="I72">
            <v>642</v>
          </cell>
          <cell r="J72">
            <v>0</v>
          </cell>
          <cell r="K72">
            <v>445.24</v>
          </cell>
          <cell r="L72">
            <v>40.950000000000003</v>
          </cell>
          <cell r="M72">
            <v>7.0000000000000007E-2</v>
          </cell>
        </row>
        <row r="73">
          <cell r="A73" t="str">
            <v>ULTRACLEAN</v>
          </cell>
          <cell r="B73">
            <v>5</v>
          </cell>
          <cell r="C73">
            <v>1067.6600000000001</v>
          </cell>
          <cell r="D73">
            <v>24.83</v>
          </cell>
          <cell r="E73">
            <v>0</v>
          </cell>
          <cell r="F73">
            <v>0</v>
          </cell>
          <cell r="G73">
            <v>0</v>
          </cell>
          <cell r="H73">
            <v>1067.6600000000001</v>
          </cell>
          <cell r="I73">
            <v>639.64</v>
          </cell>
          <cell r="J73">
            <v>0</v>
          </cell>
          <cell r="K73">
            <v>428.02</v>
          </cell>
          <cell r="L73">
            <v>40.090000000000003</v>
          </cell>
          <cell r="M73">
            <v>7.0000000000000007E-2</v>
          </cell>
        </row>
        <row r="74">
          <cell r="A74" t="str">
            <v>HIDRACOR</v>
          </cell>
          <cell r="B74">
            <v>8</v>
          </cell>
          <cell r="C74">
            <v>876.42</v>
          </cell>
          <cell r="D74">
            <v>3.9</v>
          </cell>
          <cell r="E74">
            <v>0</v>
          </cell>
          <cell r="F74">
            <v>0</v>
          </cell>
          <cell r="G74">
            <v>31.2</v>
          </cell>
          <cell r="H74">
            <v>845.22</v>
          </cell>
          <cell r="I74">
            <v>378.13</v>
          </cell>
          <cell r="J74">
            <v>13.6</v>
          </cell>
          <cell r="K74">
            <v>480.69</v>
          </cell>
          <cell r="L74">
            <v>55.71</v>
          </cell>
          <cell r="M74">
            <v>0.05</v>
          </cell>
        </row>
        <row r="75">
          <cell r="A75" t="str">
            <v>Momfort</v>
          </cell>
          <cell r="B75">
            <v>8</v>
          </cell>
          <cell r="C75">
            <v>823.35</v>
          </cell>
          <cell r="D75">
            <v>25.73</v>
          </cell>
          <cell r="E75">
            <v>0</v>
          </cell>
          <cell r="F75">
            <v>0</v>
          </cell>
          <cell r="G75">
            <v>0</v>
          </cell>
          <cell r="H75">
            <v>823.35</v>
          </cell>
          <cell r="I75">
            <v>428.69</v>
          </cell>
          <cell r="J75">
            <v>0</v>
          </cell>
          <cell r="K75">
            <v>394.66</v>
          </cell>
          <cell r="L75">
            <v>47.93</v>
          </cell>
          <cell r="M75">
            <v>0.05</v>
          </cell>
        </row>
        <row r="76">
          <cell r="A76" t="str">
            <v>REALLE</v>
          </cell>
          <cell r="B76">
            <v>3</v>
          </cell>
          <cell r="C76">
            <v>807.35400000000004</v>
          </cell>
          <cell r="D76">
            <v>29.9</v>
          </cell>
          <cell r="E76">
            <v>0</v>
          </cell>
          <cell r="F76">
            <v>0</v>
          </cell>
          <cell r="G76">
            <v>0</v>
          </cell>
          <cell r="H76">
            <v>807.35400000000004</v>
          </cell>
          <cell r="I76">
            <v>541.56600000000003</v>
          </cell>
          <cell r="J76">
            <v>0</v>
          </cell>
          <cell r="K76">
            <v>265.78800000000001</v>
          </cell>
          <cell r="L76">
            <v>32.92</v>
          </cell>
          <cell r="M76">
            <v>0.05</v>
          </cell>
        </row>
        <row r="77">
          <cell r="A77" t="str">
            <v>ULTRA CLEAN</v>
          </cell>
          <cell r="B77">
            <v>6</v>
          </cell>
          <cell r="C77">
            <v>730.82</v>
          </cell>
          <cell r="D77">
            <v>20.88</v>
          </cell>
          <cell r="E77">
            <v>0</v>
          </cell>
          <cell r="F77">
            <v>0</v>
          </cell>
          <cell r="G77">
            <v>18.899999999999999</v>
          </cell>
          <cell r="H77">
            <v>711.92</v>
          </cell>
          <cell r="I77">
            <v>461.41</v>
          </cell>
          <cell r="J77">
            <v>11.88</v>
          </cell>
          <cell r="K77">
            <v>262.39</v>
          </cell>
          <cell r="L77">
            <v>36.5</v>
          </cell>
          <cell r="M77">
            <v>0.05</v>
          </cell>
        </row>
        <row r="78">
          <cell r="A78" t="str">
            <v>TRAMONTINA</v>
          </cell>
          <cell r="B78">
            <v>4</v>
          </cell>
          <cell r="C78">
            <v>718.8</v>
          </cell>
          <cell r="D78">
            <v>55.29</v>
          </cell>
          <cell r="E78">
            <v>0</v>
          </cell>
          <cell r="F78">
            <v>0</v>
          </cell>
          <cell r="G78">
            <v>0</v>
          </cell>
          <cell r="H78">
            <v>718.8</v>
          </cell>
          <cell r="I78">
            <v>413.23</v>
          </cell>
          <cell r="J78">
            <v>0</v>
          </cell>
          <cell r="K78">
            <v>305.57</v>
          </cell>
          <cell r="L78">
            <v>42.51</v>
          </cell>
          <cell r="M78">
            <v>0.04</v>
          </cell>
        </row>
        <row r="79">
          <cell r="A79" t="str">
            <v>SECALUX</v>
          </cell>
          <cell r="B79">
            <v>4</v>
          </cell>
          <cell r="C79">
            <v>715.7</v>
          </cell>
          <cell r="D79">
            <v>65.06</v>
          </cell>
          <cell r="E79">
            <v>0</v>
          </cell>
          <cell r="F79">
            <v>0</v>
          </cell>
          <cell r="G79">
            <v>0</v>
          </cell>
          <cell r="H79">
            <v>715.7</v>
          </cell>
          <cell r="I79">
            <v>444.53</v>
          </cell>
          <cell r="J79">
            <v>0</v>
          </cell>
          <cell r="K79">
            <v>271.17</v>
          </cell>
          <cell r="L79">
            <v>37.89</v>
          </cell>
          <cell r="M79">
            <v>0.04</v>
          </cell>
        </row>
        <row r="80">
          <cell r="A80" t="str">
            <v>ORBI QUIMICA LTDA</v>
          </cell>
          <cell r="B80">
            <v>6</v>
          </cell>
          <cell r="C80">
            <v>691.94</v>
          </cell>
          <cell r="D80">
            <v>14.12</v>
          </cell>
          <cell r="E80">
            <v>0</v>
          </cell>
          <cell r="F80">
            <v>0</v>
          </cell>
          <cell r="G80">
            <v>0</v>
          </cell>
          <cell r="H80">
            <v>691.94</v>
          </cell>
          <cell r="I80">
            <v>377.85</v>
          </cell>
          <cell r="J80">
            <v>0</v>
          </cell>
          <cell r="K80">
            <v>314.08999999999997</v>
          </cell>
          <cell r="L80">
            <v>45.39</v>
          </cell>
          <cell r="M80">
            <v>0.04</v>
          </cell>
        </row>
        <row r="81">
          <cell r="A81" t="str">
            <v>J LOBATO</v>
          </cell>
          <cell r="B81">
            <v>5</v>
          </cell>
          <cell r="C81">
            <v>666.76</v>
          </cell>
          <cell r="D81">
            <v>27.78</v>
          </cell>
          <cell r="E81">
            <v>0</v>
          </cell>
          <cell r="F81">
            <v>0</v>
          </cell>
          <cell r="G81">
            <v>0</v>
          </cell>
          <cell r="H81">
            <v>666.76</v>
          </cell>
          <cell r="I81">
            <v>301.77</v>
          </cell>
          <cell r="J81">
            <v>0</v>
          </cell>
          <cell r="K81">
            <v>364.99</v>
          </cell>
          <cell r="L81">
            <v>54.74</v>
          </cell>
          <cell r="M81">
            <v>0.04</v>
          </cell>
        </row>
        <row r="82">
          <cell r="A82" t="str">
            <v>COZIMAX</v>
          </cell>
          <cell r="B82">
            <v>2</v>
          </cell>
          <cell r="C82">
            <v>653.5</v>
          </cell>
          <cell r="D82">
            <v>130.69999999999999</v>
          </cell>
          <cell r="E82">
            <v>0</v>
          </cell>
          <cell r="F82">
            <v>0</v>
          </cell>
          <cell r="G82">
            <v>235.8</v>
          </cell>
          <cell r="H82">
            <v>417.7</v>
          </cell>
          <cell r="I82">
            <v>385.53</v>
          </cell>
          <cell r="J82">
            <v>124.14</v>
          </cell>
          <cell r="K82">
            <v>156.31</v>
          </cell>
          <cell r="L82">
            <v>29.53</v>
          </cell>
          <cell r="M82">
            <v>0.04</v>
          </cell>
        </row>
        <row r="83">
          <cell r="A83" t="str">
            <v>TOP MIX</v>
          </cell>
          <cell r="B83">
            <v>1</v>
          </cell>
          <cell r="C83">
            <v>561.67999999999995</v>
          </cell>
          <cell r="D83">
            <v>280.83999999999997</v>
          </cell>
          <cell r="E83">
            <v>0</v>
          </cell>
          <cell r="F83">
            <v>0</v>
          </cell>
          <cell r="G83">
            <v>0</v>
          </cell>
          <cell r="H83">
            <v>561.67999999999995</v>
          </cell>
          <cell r="I83">
            <v>308.45</v>
          </cell>
          <cell r="J83">
            <v>0</v>
          </cell>
          <cell r="K83">
            <v>253.23</v>
          </cell>
          <cell r="L83">
            <v>45.08</v>
          </cell>
          <cell r="M83">
            <v>0.03</v>
          </cell>
        </row>
        <row r="84">
          <cell r="A84" t="str">
            <v>STARRETT INDUSTRIA E COMERCIO</v>
          </cell>
          <cell r="B84">
            <v>5</v>
          </cell>
          <cell r="C84">
            <v>552.45000000000005</v>
          </cell>
          <cell r="D84">
            <v>14.93</v>
          </cell>
          <cell r="E84">
            <v>0</v>
          </cell>
          <cell r="F84">
            <v>0</v>
          </cell>
          <cell r="G84">
            <v>0</v>
          </cell>
          <cell r="H84">
            <v>552.45000000000005</v>
          </cell>
          <cell r="I84">
            <v>317.51</v>
          </cell>
          <cell r="J84">
            <v>0</v>
          </cell>
          <cell r="K84">
            <v>234.94</v>
          </cell>
          <cell r="L84">
            <v>42.53</v>
          </cell>
          <cell r="M84">
            <v>0.03</v>
          </cell>
        </row>
        <row r="85">
          <cell r="A85" t="str">
            <v>DUDA</v>
          </cell>
          <cell r="B85">
            <v>3</v>
          </cell>
          <cell r="C85">
            <v>526.24</v>
          </cell>
          <cell r="D85">
            <v>29.9</v>
          </cell>
          <cell r="E85">
            <v>0</v>
          </cell>
          <cell r="F85">
            <v>0</v>
          </cell>
          <cell r="G85">
            <v>0</v>
          </cell>
          <cell r="H85">
            <v>526.24</v>
          </cell>
          <cell r="I85">
            <v>338.67599999999999</v>
          </cell>
          <cell r="J85">
            <v>0</v>
          </cell>
          <cell r="K85">
            <v>187.56399999999999</v>
          </cell>
          <cell r="L85">
            <v>35.64</v>
          </cell>
          <cell r="M85">
            <v>0.03</v>
          </cell>
        </row>
        <row r="86">
          <cell r="A86" t="str">
            <v>KALIPSO</v>
          </cell>
          <cell r="B86">
            <v>5</v>
          </cell>
          <cell r="C86">
            <v>521.21</v>
          </cell>
          <cell r="D86">
            <v>8.14</v>
          </cell>
          <cell r="E86">
            <v>0</v>
          </cell>
          <cell r="F86">
            <v>0</v>
          </cell>
          <cell r="G86">
            <v>0</v>
          </cell>
          <cell r="H86">
            <v>521.21</v>
          </cell>
          <cell r="I86">
            <v>256.57</v>
          </cell>
          <cell r="J86">
            <v>0</v>
          </cell>
          <cell r="K86">
            <v>264.64</v>
          </cell>
          <cell r="L86">
            <v>50.77</v>
          </cell>
          <cell r="M86">
            <v>0.03</v>
          </cell>
        </row>
        <row r="87">
          <cell r="A87" t="str">
            <v>ILUMI</v>
          </cell>
          <cell r="B87">
            <v>3</v>
          </cell>
          <cell r="C87">
            <v>506.6</v>
          </cell>
          <cell r="D87">
            <v>12.99</v>
          </cell>
          <cell r="E87">
            <v>0</v>
          </cell>
          <cell r="F87">
            <v>0</v>
          </cell>
          <cell r="G87">
            <v>0</v>
          </cell>
          <cell r="H87">
            <v>506.6</v>
          </cell>
          <cell r="I87">
            <v>271.74</v>
          </cell>
          <cell r="J87">
            <v>0</v>
          </cell>
          <cell r="K87">
            <v>234.86</v>
          </cell>
          <cell r="L87">
            <v>46.36</v>
          </cell>
          <cell r="M87">
            <v>0.03</v>
          </cell>
        </row>
        <row r="88">
          <cell r="A88" t="str">
            <v>FORTLINE</v>
          </cell>
          <cell r="B88">
            <v>2</v>
          </cell>
          <cell r="C88">
            <v>487.6</v>
          </cell>
          <cell r="D88">
            <v>121.9</v>
          </cell>
          <cell r="E88">
            <v>0</v>
          </cell>
          <cell r="F88">
            <v>0</v>
          </cell>
          <cell r="G88">
            <v>0</v>
          </cell>
          <cell r="H88">
            <v>487.6</v>
          </cell>
          <cell r="I88">
            <v>294.85000000000002</v>
          </cell>
          <cell r="J88">
            <v>0</v>
          </cell>
          <cell r="K88">
            <v>192.75</v>
          </cell>
          <cell r="L88">
            <v>39.53</v>
          </cell>
          <cell r="M88">
            <v>0.03</v>
          </cell>
        </row>
        <row r="89">
          <cell r="A89" t="str">
            <v>COMFORT DOOR</v>
          </cell>
          <cell r="B89">
            <v>5</v>
          </cell>
          <cell r="C89">
            <v>465.7</v>
          </cell>
          <cell r="D89">
            <v>29.11</v>
          </cell>
          <cell r="E89">
            <v>0</v>
          </cell>
          <cell r="F89">
            <v>0</v>
          </cell>
          <cell r="G89">
            <v>0</v>
          </cell>
          <cell r="H89">
            <v>465.7</v>
          </cell>
          <cell r="I89">
            <v>251.32</v>
          </cell>
          <cell r="J89">
            <v>0</v>
          </cell>
          <cell r="K89">
            <v>214.38</v>
          </cell>
          <cell r="L89">
            <v>46.03</v>
          </cell>
          <cell r="M89">
            <v>0.03</v>
          </cell>
        </row>
        <row r="90">
          <cell r="A90" t="str">
            <v>TRAMONTINA ELETRIK S.A.</v>
          </cell>
          <cell r="B90">
            <v>3</v>
          </cell>
          <cell r="C90">
            <v>462.87</v>
          </cell>
          <cell r="D90">
            <v>23.14</v>
          </cell>
          <cell r="E90">
            <v>0</v>
          </cell>
          <cell r="F90">
            <v>0</v>
          </cell>
          <cell r="G90">
            <v>0</v>
          </cell>
          <cell r="H90">
            <v>462.87</v>
          </cell>
          <cell r="I90">
            <v>278.32</v>
          </cell>
          <cell r="J90">
            <v>0</v>
          </cell>
          <cell r="K90">
            <v>184.55</v>
          </cell>
          <cell r="L90">
            <v>39.869999999999997</v>
          </cell>
          <cell r="M90">
            <v>0.03</v>
          </cell>
        </row>
        <row r="91">
          <cell r="A91" t="str">
            <v>BRASFORT</v>
          </cell>
          <cell r="B91">
            <v>6</v>
          </cell>
          <cell r="C91">
            <v>431.69</v>
          </cell>
          <cell r="D91">
            <v>19.62</v>
          </cell>
          <cell r="E91">
            <v>0</v>
          </cell>
          <cell r="F91">
            <v>0</v>
          </cell>
          <cell r="G91">
            <v>0</v>
          </cell>
          <cell r="H91">
            <v>431.69</v>
          </cell>
          <cell r="I91">
            <v>258.13</v>
          </cell>
          <cell r="J91">
            <v>0</v>
          </cell>
          <cell r="K91">
            <v>173.56</v>
          </cell>
          <cell r="L91">
            <v>40.200000000000003</v>
          </cell>
          <cell r="M91">
            <v>0.03</v>
          </cell>
        </row>
        <row r="92">
          <cell r="A92" t="str">
            <v>ELIZABETH PORC.</v>
          </cell>
          <cell r="B92">
            <v>1</v>
          </cell>
          <cell r="C92">
            <v>407.55</v>
          </cell>
          <cell r="D92">
            <v>42.9</v>
          </cell>
          <cell r="E92">
            <v>0</v>
          </cell>
          <cell r="F92">
            <v>0</v>
          </cell>
          <cell r="G92">
            <v>0</v>
          </cell>
          <cell r="H92">
            <v>407.55</v>
          </cell>
          <cell r="I92">
            <v>223.63</v>
          </cell>
          <cell r="J92">
            <v>0</v>
          </cell>
          <cell r="K92">
            <v>183.92</v>
          </cell>
          <cell r="L92">
            <v>45.13</v>
          </cell>
          <cell r="M92">
            <v>0.03</v>
          </cell>
        </row>
        <row r="93">
          <cell r="A93" t="str">
            <v>LEDAN</v>
          </cell>
          <cell r="B93">
            <v>3</v>
          </cell>
          <cell r="C93">
            <v>402.89</v>
          </cell>
          <cell r="D93">
            <v>11.51</v>
          </cell>
          <cell r="E93">
            <v>0</v>
          </cell>
          <cell r="F93">
            <v>0</v>
          </cell>
          <cell r="G93">
            <v>27.9</v>
          </cell>
          <cell r="H93">
            <v>374.99</v>
          </cell>
          <cell r="I93">
            <v>252.4</v>
          </cell>
          <cell r="J93">
            <v>16.48</v>
          </cell>
          <cell r="K93">
            <v>139.07</v>
          </cell>
          <cell r="L93">
            <v>35.99</v>
          </cell>
          <cell r="M93">
            <v>0.02</v>
          </cell>
        </row>
        <row r="94">
          <cell r="A94" t="str">
            <v>EXTRALUX</v>
          </cell>
          <cell r="B94">
            <v>3</v>
          </cell>
          <cell r="C94">
            <v>380.2</v>
          </cell>
          <cell r="D94">
            <v>47.53</v>
          </cell>
          <cell r="E94">
            <v>0</v>
          </cell>
          <cell r="F94">
            <v>0</v>
          </cell>
          <cell r="G94">
            <v>0</v>
          </cell>
          <cell r="H94">
            <v>380.2</v>
          </cell>
          <cell r="I94">
            <v>235.7</v>
          </cell>
          <cell r="J94">
            <v>0</v>
          </cell>
          <cell r="K94">
            <v>144.5</v>
          </cell>
          <cell r="L94">
            <v>38.01</v>
          </cell>
          <cell r="M94">
            <v>0.02</v>
          </cell>
        </row>
        <row r="95">
          <cell r="A95" t="str">
            <v>Max-Giro</v>
          </cell>
          <cell r="B95">
            <v>4</v>
          </cell>
          <cell r="C95">
            <v>353.79</v>
          </cell>
          <cell r="D95">
            <v>13.1</v>
          </cell>
          <cell r="E95">
            <v>0</v>
          </cell>
          <cell r="F95">
            <v>0</v>
          </cell>
          <cell r="G95">
            <v>0</v>
          </cell>
          <cell r="H95">
            <v>353.79</v>
          </cell>
          <cell r="I95">
            <v>204.14</v>
          </cell>
          <cell r="J95">
            <v>0</v>
          </cell>
          <cell r="K95">
            <v>149.65</v>
          </cell>
          <cell r="L95">
            <v>42.3</v>
          </cell>
          <cell r="M95">
            <v>0.02</v>
          </cell>
        </row>
        <row r="96">
          <cell r="A96" t="str">
            <v>LUZARTE</v>
          </cell>
          <cell r="B96">
            <v>1</v>
          </cell>
          <cell r="C96">
            <v>329</v>
          </cell>
          <cell r="D96">
            <v>164.5</v>
          </cell>
          <cell r="E96">
            <v>0</v>
          </cell>
          <cell r="F96">
            <v>0</v>
          </cell>
          <cell r="G96">
            <v>0</v>
          </cell>
          <cell r="H96">
            <v>329</v>
          </cell>
          <cell r="I96">
            <v>257.52</v>
          </cell>
          <cell r="J96">
            <v>0</v>
          </cell>
          <cell r="K96">
            <v>71.48</v>
          </cell>
          <cell r="L96">
            <v>21.73</v>
          </cell>
          <cell r="M96">
            <v>0.02</v>
          </cell>
        </row>
        <row r="97">
          <cell r="A97" t="str">
            <v>ARCELORMITTAL</v>
          </cell>
          <cell r="B97">
            <v>3</v>
          </cell>
          <cell r="C97">
            <v>322.51</v>
          </cell>
          <cell r="D97">
            <v>26.88</v>
          </cell>
          <cell r="E97">
            <v>0</v>
          </cell>
          <cell r="F97">
            <v>0</v>
          </cell>
          <cell r="G97">
            <v>0</v>
          </cell>
          <cell r="H97">
            <v>322.51</v>
          </cell>
          <cell r="I97">
            <v>182.58</v>
          </cell>
          <cell r="J97">
            <v>0</v>
          </cell>
          <cell r="K97">
            <v>139.93</v>
          </cell>
          <cell r="L97">
            <v>43.39</v>
          </cell>
          <cell r="M97">
            <v>0.02</v>
          </cell>
        </row>
        <row r="98">
          <cell r="A98" t="str">
            <v>BLACK ELEPHANT</v>
          </cell>
          <cell r="B98">
            <v>5</v>
          </cell>
          <cell r="C98">
            <v>280.60000000000002</v>
          </cell>
          <cell r="D98">
            <v>28.06</v>
          </cell>
          <cell r="E98">
            <v>0</v>
          </cell>
          <cell r="F98">
            <v>0</v>
          </cell>
          <cell r="G98">
            <v>0</v>
          </cell>
          <cell r="H98">
            <v>280.60000000000002</v>
          </cell>
          <cell r="I98">
            <v>150.91999999999999</v>
          </cell>
          <cell r="J98">
            <v>0</v>
          </cell>
          <cell r="K98">
            <v>129.68</v>
          </cell>
          <cell r="L98">
            <v>46.22</v>
          </cell>
          <cell r="M98">
            <v>0.02</v>
          </cell>
        </row>
        <row r="99">
          <cell r="A99" t="str">
            <v>PADRAO FORTE</v>
          </cell>
          <cell r="B99">
            <v>3</v>
          </cell>
          <cell r="C99">
            <v>264.8</v>
          </cell>
          <cell r="D99">
            <v>29.42</v>
          </cell>
          <cell r="E99">
            <v>0</v>
          </cell>
          <cell r="F99">
            <v>0</v>
          </cell>
          <cell r="G99">
            <v>10.5</v>
          </cell>
          <cell r="H99">
            <v>254.3</v>
          </cell>
          <cell r="I99">
            <v>155.56</v>
          </cell>
          <cell r="J99">
            <v>6.01</v>
          </cell>
          <cell r="K99">
            <v>104.75</v>
          </cell>
          <cell r="L99">
            <v>40.479999999999997</v>
          </cell>
          <cell r="M99">
            <v>0.02</v>
          </cell>
        </row>
        <row r="100">
          <cell r="A100" t="str">
            <v>RHPE</v>
          </cell>
          <cell r="B100">
            <v>2</v>
          </cell>
          <cell r="C100">
            <v>257.7</v>
          </cell>
          <cell r="D100">
            <v>85.9</v>
          </cell>
          <cell r="E100">
            <v>0</v>
          </cell>
          <cell r="F100">
            <v>0</v>
          </cell>
          <cell r="G100">
            <v>0</v>
          </cell>
          <cell r="H100">
            <v>257.7</v>
          </cell>
          <cell r="I100">
            <v>160.02000000000001</v>
          </cell>
          <cell r="J100">
            <v>0</v>
          </cell>
          <cell r="K100">
            <v>97.68</v>
          </cell>
          <cell r="L100">
            <v>37.9</v>
          </cell>
          <cell r="M100">
            <v>0.02</v>
          </cell>
        </row>
        <row r="101">
          <cell r="A101" t="str">
            <v>GARDENLIFE</v>
          </cell>
          <cell r="B101">
            <v>1</v>
          </cell>
          <cell r="C101">
            <v>204.9</v>
          </cell>
          <cell r="D101">
            <v>204.9</v>
          </cell>
          <cell r="E101">
            <v>0</v>
          </cell>
          <cell r="F101">
            <v>0</v>
          </cell>
          <cell r="G101">
            <v>0</v>
          </cell>
          <cell r="H101">
            <v>204.9</v>
          </cell>
          <cell r="I101">
            <v>128.11000000000001</v>
          </cell>
          <cell r="J101">
            <v>0</v>
          </cell>
          <cell r="K101">
            <v>76.790000000000006</v>
          </cell>
          <cell r="L101">
            <v>37.479999999999997</v>
          </cell>
          <cell r="M101">
            <v>0.01</v>
          </cell>
        </row>
        <row r="102">
          <cell r="A102" t="str">
            <v>OVERTIME</v>
          </cell>
          <cell r="B102">
            <v>4</v>
          </cell>
          <cell r="C102">
            <v>204.4</v>
          </cell>
          <cell r="D102">
            <v>20.440000000000001</v>
          </cell>
          <cell r="E102">
            <v>0</v>
          </cell>
          <cell r="F102">
            <v>0</v>
          </cell>
          <cell r="G102">
            <v>0</v>
          </cell>
          <cell r="H102">
            <v>204.4</v>
          </cell>
          <cell r="I102">
            <v>121.35</v>
          </cell>
          <cell r="J102">
            <v>0</v>
          </cell>
          <cell r="K102">
            <v>83.05</v>
          </cell>
          <cell r="L102">
            <v>40.630000000000003</v>
          </cell>
          <cell r="M102">
            <v>0.01</v>
          </cell>
        </row>
        <row r="103">
          <cell r="A103" t="str">
            <v>TRAMONTINA NORDESTE</v>
          </cell>
          <cell r="B103">
            <v>1</v>
          </cell>
          <cell r="C103">
            <v>199</v>
          </cell>
          <cell r="D103">
            <v>199</v>
          </cell>
          <cell r="E103">
            <v>0</v>
          </cell>
          <cell r="F103">
            <v>0</v>
          </cell>
          <cell r="G103">
            <v>0</v>
          </cell>
          <cell r="H103">
            <v>199</v>
          </cell>
          <cell r="I103">
            <v>166.26</v>
          </cell>
          <cell r="J103">
            <v>0</v>
          </cell>
          <cell r="K103">
            <v>32.74</v>
          </cell>
          <cell r="L103">
            <v>16.45</v>
          </cell>
          <cell r="M103">
            <v>0.01</v>
          </cell>
        </row>
        <row r="104">
          <cell r="A104" t="str">
            <v>GERDAU</v>
          </cell>
          <cell r="B104">
            <v>2</v>
          </cell>
          <cell r="C104">
            <v>174.3</v>
          </cell>
          <cell r="D104">
            <v>24.9</v>
          </cell>
          <cell r="E104">
            <v>0</v>
          </cell>
          <cell r="F104">
            <v>0</v>
          </cell>
          <cell r="G104">
            <v>0</v>
          </cell>
          <cell r="H104">
            <v>174.3</v>
          </cell>
          <cell r="I104">
            <v>87.36</v>
          </cell>
          <cell r="J104">
            <v>0</v>
          </cell>
          <cell r="K104">
            <v>86.94</v>
          </cell>
          <cell r="L104">
            <v>49.88</v>
          </cell>
          <cell r="M104">
            <v>0.01</v>
          </cell>
        </row>
        <row r="105">
          <cell r="A105" t="str">
            <v>NAWA COM ATAC VAR PROD LAR E L</v>
          </cell>
          <cell r="B105">
            <v>1</v>
          </cell>
          <cell r="C105">
            <v>156.9</v>
          </cell>
          <cell r="D105">
            <v>156.9</v>
          </cell>
          <cell r="E105">
            <v>0</v>
          </cell>
          <cell r="F105">
            <v>0</v>
          </cell>
          <cell r="G105">
            <v>0</v>
          </cell>
          <cell r="H105">
            <v>156.9</v>
          </cell>
          <cell r="I105">
            <v>96.86</v>
          </cell>
          <cell r="J105">
            <v>0</v>
          </cell>
          <cell r="K105">
            <v>60.04</v>
          </cell>
          <cell r="L105">
            <v>38.270000000000003</v>
          </cell>
          <cell r="M105">
            <v>0.01</v>
          </cell>
        </row>
        <row r="106">
          <cell r="A106" t="str">
            <v>ATTENA</v>
          </cell>
          <cell r="B106">
            <v>1</v>
          </cell>
          <cell r="C106">
            <v>147.80000000000001</v>
          </cell>
          <cell r="D106">
            <v>73.900000000000006</v>
          </cell>
          <cell r="E106">
            <v>0</v>
          </cell>
          <cell r="F106">
            <v>0</v>
          </cell>
          <cell r="G106">
            <v>0</v>
          </cell>
          <cell r="H106">
            <v>147.80000000000001</v>
          </cell>
          <cell r="I106">
            <v>147.80000000000001</v>
          </cell>
          <cell r="J106">
            <v>0</v>
          </cell>
          <cell r="K106">
            <v>0</v>
          </cell>
          <cell r="L106">
            <v>0</v>
          </cell>
          <cell r="M106">
            <v>0.01</v>
          </cell>
        </row>
        <row r="107">
          <cell r="A107" t="str">
            <v>ARAFORROS</v>
          </cell>
          <cell r="B107">
            <v>1</v>
          </cell>
          <cell r="C107">
            <v>139.9</v>
          </cell>
          <cell r="D107">
            <v>139.9</v>
          </cell>
          <cell r="E107">
            <v>0</v>
          </cell>
          <cell r="F107">
            <v>0</v>
          </cell>
          <cell r="G107">
            <v>0</v>
          </cell>
          <cell r="H107">
            <v>139.9</v>
          </cell>
          <cell r="I107">
            <v>82.28</v>
          </cell>
          <cell r="J107">
            <v>0</v>
          </cell>
          <cell r="K107">
            <v>57.62</v>
          </cell>
          <cell r="L107">
            <v>41.19</v>
          </cell>
          <cell r="M107">
            <v>0.01</v>
          </cell>
        </row>
        <row r="108">
          <cell r="A108" t="str">
            <v>RANCAN</v>
          </cell>
          <cell r="B108">
            <v>1</v>
          </cell>
          <cell r="C108">
            <v>119.8</v>
          </cell>
          <cell r="D108">
            <v>59.9</v>
          </cell>
          <cell r="E108">
            <v>0</v>
          </cell>
          <cell r="F108">
            <v>0</v>
          </cell>
          <cell r="G108">
            <v>0</v>
          </cell>
          <cell r="H108">
            <v>119.8</v>
          </cell>
          <cell r="I108">
            <v>67.56</v>
          </cell>
          <cell r="J108">
            <v>0</v>
          </cell>
          <cell r="K108">
            <v>52.24</v>
          </cell>
          <cell r="L108">
            <v>43.61</v>
          </cell>
          <cell r="M108">
            <v>0.01</v>
          </cell>
        </row>
        <row r="109">
          <cell r="A109" t="str">
            <v>CHEMONE</v>
          </cell>
          <cell r="B109">
            <v>1</v>
          </cell>
          <cell r="C109">
            <v>113.7</v>
          </cell>
          <cell r="D109">
            <v>37.9</v>
          </cell>
          <cell r="E109">
            <v>0</v>
          </cell>
          <cell r="F109">
            <v>0</v>
          </cell>
          <cell r="G109">
            <v>0</v>
          </cell>
          <cell r="H109">
            <v>113.7</v>
          </cell>
          <cell r="I109">
            <v>60.75</v>
          </cell>
          <cell r="J109">
            <v>0</v>
          </cell>
          <cell r="K109">
            <v>52.95</v>
          </cell>
          <cell r="L109">
            <v>46.57</v>
          </cell>
          <cell r="M109">
            <v>0.01</v>
          </cell>
        </row>
        <row r="110">
          <cell r="A110" t="str">
            <v>EXTRALUZ</v>
          </cell>
          <cell r="B110">
            <v>3</v>
          </cell>
          <cell r="C110">
            <v>111.24</v>
          </cell>
          <cell r="D110">
            <v>27.81</v>
          </cell>
          <cell r="E110">
            <v>0</v>
          </cell>
          <cell r="F110">
            <v>0</v>
          </cell>
          <cell r="G110">
            <v>0</v>
          </cell>
          <cell r="H110">
            <v>111.24</v>
          </cell>
          <cell r="I110">
            <v>67.63</v>
          </cell>
          <cell r="J110">
            <v>0</v>
          </cell>
          <cell r="K110">
            <v>43.61</v>
          </cell>
          <cell r="L110">
            <v>39.200000000000003</v>
          </cell>
          <cell r="M110">
            <v>0.01</v>
          </cell>
        </row>
        <row r="111">
          <cell r="A111" t="str">
            <v>ONDULINE</v>
          </cell>
          <cell r="B111">
            <v>1</v>
          </cell>
          <cell r="C111">
            <v>94.8</v>
          </cell>
          <cell r="D111">
            <v>94.8</v>
          </cell>
          <cell r="E111">
            <v>0</v>
          </cell>
          <cell r="F111">
            <v>0</v>
          </cell>
          <cell r="G111">
            <v>0</v>
          </cell>
          <cell r="H111">
            <v>94.8</v>
          </cell>
          <cell r="I111">
            <v>63.31</v>
          </cell>
          <cell r="J111">
            <v>0</v>
          </cell>
          <cell r="K111">
            <v>31.49</v>
          </cell>
          <cell r="L111">
            <v>33.22</v>
          </cell>
          <cell r="M111">
            <v>0.01</v>
          </cell>
        </row>
        <row r="112">
          <cell r="A112" t="str">
            <v>KAPAZI</v>
          </cell>
          <cell r="B112">
            <v>1</v>
          </cell>
          <cell r="C112">
            <v>89.9</v>
          </cell>
          <cell r="D112">
            <v>89.9</v>
          </cell>
          <cell r="E112">
            <v>0</v>
          </cell>
          <cell r="F112">
            <v>0</v>
          </cell>
          <cell r="G112">
            <v>0</v>
          </cell>
          <cell r="H112">
            <v>89.9</v>
          </cell>
          <cell r="I112">
            <v>55.81</v>
          </cell>
          <cell r="J112">
            <v>0</v>
          </cell>
          <cell r="K112">
            <v>34.090000000000003</v>
          </cell>
          <cell r="L112">
            <v>37.92</v>
          </cell>
          <cell r="M112">
            <v>0.01</v>
          </cell>
        </row>
        <row r="113">
          <cell r="A113" t="str">
            <v xml:space="preserve"> RESISWAL</v>
          </cell>
          <cell r="B113">
            <v>2</v>
          </cell>
          <cell r="C113">
            <v>77.8</v>
          </cell>
          <cell r="D113">
            <v>38.9</v>
          </cell>
          <cell r="E113">
            <v>0</v>
          </cell>
          <cell r="F113">
            <v>0</v>
          </cell>
          <cell r="G113">
            <v>0</v>
          </cell>
          <cell r="H113">
            <v>77.8</v>
          </cell>
          <cell r="I113">
            <v>43.08</v>
          </cell>
          <cell r="J113">
            <v>0</v>
          </cell>
          <cell r="K113">
            <v>34.72</v>
          </cell>
          <cell r="L113">
            <v>44.63</v>
          </cell>
          <cell r="M113">
            <v>0</v>
          </cell>
        </row>
        <row r="114">
          <cell r="A114" t="str">
            <v>INCA</v>
          </cell>
          <cell r="B114">
            <v>2</v>
          </cell>
          <cell r="C114">
            <v>75.099999999999994</v>
          </cell>
          <cell r="D114">
            <v>5.36</v>
          </cell>
          <cell r="E114">
            <v>0</v>
          </cell>
          <cell r="F114">
            <v>0</v>
          </cell>
          <cell r="G114">
            <v>0</v>
          </cell>
          <cell r="H114">
            <v>75.099999999999994</v>
          </cell>
          <cell r="I114">
            <v>38.71</v>
          </cell>
          <cell r="J114">
            <v>0</v>
          </cell>
          <cell r="K114">
            <v>36.39</v>
          </cell>
          <cell r="L114">
            <v>48.46</v>
          </cell>
          <cell r="M114">
            <v>0</v>
          </cell>
        </row>
        <row r="115">
          <cell r="A115" t="str">
            <v>EMPLAC</v>
          </cell>
          <cell r="B115">
            <v>4</v>
          </cell>
          <cell r="C115">
            <v>66.7</v>
          </cell>
          <cell r="D115">
            <v>7.41</v>
          </cell>
          <cell r="E115">
            <v>0</v>
          </cell>
          <cell r="F115">
            <v>0</v>
          </cell>
          <cell r="G115">
            <v>0</v>
          </cell>
          <cell r="H115">
            <v>66.7</v>
          </cell>
          <cell r="I115">
            <v>30.67</v>
          </cell>
          <cell r="J115">
            <v>0</v>
          </cell>
          <cell r="K115">
            <v>36.03</v>
          </cell>
          <cell r="L115">
            <v>54.02</v>
          </cell>
          <cell r="M115">
            <v>0</v>
          </cell>
        </row>
        <row r="116">
          <cell r="A116" t="str">
            <v>STAM</v>
          </cell>
          <cell r="B116">
            <v>1</v>
          </cell>
          <cell r="C116">
            <v>41.8</v>
          </cell>
          <cell r="D116">
            <v>20.9</v>
          </cell>
          <cell r="E116">
            <v>0</v>
          </cell>
          <cell r="F116">
            <v>0</v>
          </cell>
          <cell r="G116">
            <v>0</v>
          </cell>
          <cell r="H116">
            <v>41.8</v>
          </cell>
          <cell r="I116">
            <v>23.72</v>
          </cell>
          <cell r="J116">
            <v>0</v>
          </cell>
          <cell r="K116">
            <v>18.079999999999998</v>
          </cell>
          <cell r="L116">
            <v>43.25</v>
          </cell>
          <cell r="M116">
            <v>0</v>
          </cell>
        </row>
        <row r="117">
          <cell r="A117" t="str">
            <v>ANJO TINTAS E SOLVENTES</v>
          </cell>
          <cell r="B117">
            <v>1</v>
          </cell>
          <cell r="C117">
            <v>39.9</v>
          </cell>
          <cell r="D117">
            <v>39.9</v>
          </cell>
          <cell r="E117">
            <v>0</v>
          </cell>
          <cell r="F117">
            <v>0</v>
          </cell>
          <cell r="G117">
            <v>0</v>
          </cell>
          <cell r="H117">
            <v>39.9</v>
          </cell>
          <cell r="I117">
            <v>22.31</v>
          </cell>
          <cell r="J117">
            <v>0</v>
          </cell>
          <cell r="K117">
            <v>17.59</v>
          </cell>
          <cell r="L117">
            <v>44.09</v>
          </cell>
          <cell r="M117">
            <v>0</v>
          </cell>
        </row>
        <row r="118">
          <cell r="A118" t="str">
            <v>ANJO QUIMICA DO BRASIL LTDA</v>
          </cell>
          <cell r="B118">
            <v>1</v>
          </cell>
          <cell r="C118">
            <v>29.9</v>
          </cell>
          <cell r="D118">
            <v>29.9</v>
          </cell>
          <cell r="E118">
            <v>0</v>
          </cell>
          <cell r="F118">
            <v>0</v>
          </cell>
          <cell r="G118">
            <v>0</v>
          </cell>
          <cell r="H118">
            <v>29.9</v>
          </cell>
          <cell r="I118">
            <v>17.57</v>
          </cell>
          <cell r="J118">
            <v>0</v>
          </cell>
          <cell r="K118">
            <v>12.33</v>
          </cell>
          <cell r="L118">
            <v>41.24</v>
          </cell>
          <cell r="M118">
            <v>0</v>
          </cell>
        </row>
        <row r="119">
          <cell r="A119" t="str">
            <v>NOVA FIXACAO</v>
          </cell>
          <cell r="B119">
            <v>1</v>
          </cell>
          <cell r="C119">
            <v>21.6</v>
          </cell>
          <cell r="D119">
            <v>1.8</v>
          </cell>
          <cell r="E119">
            <v>0</v>
          </cell>
          <cell r="F119">
            <v>0</v>
          </cell>
          <cell r="G119">
            <v>0</v>
          </cell>
          <cell r="H119">
            <v>21.6</v>
          </cell>
          <cell r="I119">
            <v>12.12</v>
          </cell>
          <cell r="J119">
            <v>0</v>
          </cell>
          <cell r="K119">
            <v>9.48</v>
          </cell>
          <cell r="L119">
            <v>43.89</v>
          </cell>
          <cell r="M119">
            <v>0</v>
          </cell>
        </row>
        <row r="120">
          <cell r="A120" t="str">
            <v>PADOVA</v>
          </cell>
          <cell r="B120">
            <v>1</v>
          </cell>
          <cell r="C120">
            <v>12.9</v>
          </cell>
          <cell r="D120">
            <v>12.9</v>
          </cell>
          <cell r="E120">
            <v>0</v>
          </cell>
          <cell r="F120">
            <v>0</v>
          </cell>
          <cell r="G120">
            <v>0</v>
          </cell>
          <cell r="H120">
            <v>12.9</v>
          </cell>
          <cell r="I120">
            <v>8</v>
          </cell>
          <cell r="J120">
            <v>0</v>
          </cell>
          <cell r="K120">
            <v>4.9000000000000004</v>
          </cell>
          <cell r="L120">
            <v>37.979999999999997</v>
          </cell>
          <cell r="M120">
            <v>0</v>
          </cell>
        </row>
        <row r="121">
          <cell r="A121" t="str">
            <v>INJEPLAST</v>
          </cell>
          <cell r="B121">
            <v>1</v>
          </cell>
          <cell r="C121">
            <v>12</v>
          </cell>
          <cell r="D121">
            <v>0.4</v>
          </cell>
          <cell r="E121">
            <v>0</v>
          </cell>
          <cell r="F121">
            <v>0</v>
          </cell>
          <cell r="G121">
            <v>0</v>
          </cell>
          <cell r="H121">
            <v>12</v>
          </cell>
          <cell r="I121">
            <v>5.4</v>
          </cell>
          <cell r="J121">
            <v>0</v>
          </cell>
          <cell r="K121">
            <v>6.6</v>
          </cell>
          <cell r="L121">
            <v>55</v>
          </cell>
          <cell r="M121">
            <v>0</v>
          </cell>
        </row>
        <row r="122">
          <cell r="A122" t="str">
            <v>outros</v>
          </cell>
          <cell r="B122">
            <v>0</v>
          </cell>
          <cell r="C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AGO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287</v>
          </cell>
          <cell r="C2">
            <v>355439.2205</v>
          </cell>
          <cell r="D2">
            <v>30.74</v>
          </cell>
          <cell r="E2">
            <v>0</v>
          </cell>
          <cell r="F2">
            <v>0</v>
          </cell>
          <cell r="G2">
            <v>12035.34</v>
          </cell>
          <cell r="H2">
            <v>343403.88050000003</v>
          </cell>
          <cell r="I2">
            <v>233335.36410000001</v>
          </cell>
          <cell r="J2">
            <v>7884.9591</v>
          </cell>
          <cell r="K2">
            <v>117953.4755</v>
          </cell>
          <cell r="L2">
            <v>33.94</v>
          </cell>
          <cell r="M2">
            <v>18.54</v>
          </cell>
        </row>
        <row r="3">
          <cell r="A3" t="str">
            <v>ARIELLE</v>
          </cell>
          <cell r="B3">
            <v>202</v>
          </cell>
          <cell r="C3">
            <v>179369.7286</v>
          </cell>
          <cell r="D3">
            <v>31.14</v>
          </cell>
          <cell r="E3">
            <v>0</v>
          </cell>
          <cell r="F3">
            <v>0</v>
          </cell>
          <cell r="G3">
            <v>4487.1445999999996</v>
          </cell>
          <cell r="H3">
            <v>174882.584</v>
          </cell>
          <cell r="I3">
            <v>112151.11380000001</v>
          </cell>
          <cell r="J3">
            <v>2763.8276000000001</v>
          </cell>
          <cell r="K3">
            <v>65495.2978</v>
          </cell>
          <cell r="L3">
            <v>37.090000000000003</v>
          </cell>
          <cell r="M3">
            <v>9.35</v>
          </cell>
        </row>
        <row r="4">
          <cell r="A4" t="str">
            <v>POINTER</v>
          </cell>
          <cell r="B4">
            <v>128</v>
          </cell>
          <cell r="C4">
            <v>135704.56969999999</v>
          </cell>
          <cell r="D4">
            <v>34.799999999999997</v>
          </cell>
          <cell r="E4">
            <v>0</v>
          </cell>
          <cell r="F4">
            <v>0</v>
          </cell>
          <cell r="G4">
            <v>2098.8020999999999</v>
          </cell>
          <cell r="H4">
            <v>133605.76759999999</v>
          </cell>
          <cell r="I4">
            <v>87570.906799999997</v>
          </cell>
          <cell r="J4">
            <v>1340.0425</v>
          </cell>
          <cell r="K4">
            <v>47374.903299999998</v>
          </cell>
          <cell r="L4">
            <v>35.26</v>
          </cell>
          <cell r="M4">
            <v>7.08</v>
          </cell>
        </row>
        <row r="5">
          <cell r="A5" t="str">
            <v>DO MESTRE</v>
          </cell>
          <cell r="B5">
            <v>340</v>
          </cell>
          <cell r="C5">
            <v>133538.45000000001</v>
          </cell>
          <cell r="D5">
            <v>22.56</v>
          </cell>
          <cell r="E5">
            <v>0</v>
          </cell>
          <cell r="F5">
            <v>0</v>
          </cell>
          <cell r="G5">
            <v>1410.213</v>
          </cell>
          <cell r="H5">
            <v>132128.23699999999</v>
          </cell>
          <cell r="I5">
            <v>74647.34</v>
          </cell>
          <cell r="J5">
            <v>834.67</v>
          </cell>
          <cell r="K5">
            <v>58315.567000000003</v>
          </cell>
          <cell r="L5">
            <v>43.94</v>
          </cell>
          <cell r="M5">
            <v>6.96</v>
          </cell>
        </row>
        <row r="6">
          <cell r="A6" t="str">
            <v>IQUINE</v>
          </cell>
          <cell r="B6">
            <v>111</v>
          </cell>
          <cell r="C6">
            <v>125789.5768</v>
          </cell>
          <cell r="D6">
            <v>46.95</v>
          </cell>
          <cell r="E6">
            <v>0</v>
          </cell>
          <cell r="F6">
            <v>0</v>
          </cell>
          <cell r="G6">
            <v>1436.58</v>
          </cell>
          <cell r="H6">
            <v>124352.99679999999</v>
          </cell>
          <cell r="I6">
            <v>75730.110400000005</v>
          </cell>
          <cell r="J6">
            <v>785.69</v>
          </cell>
          <cell r="K6">
            <v>49408.576399999998</v>
          </cell>
          <cell r="L6">
            <v>39.53</v>
          </cell>
          <cell r="M6">
            <v>6.56</v>
          </cell>
        </row>
        <row r="7">
          <cell r="A7" t="str">
            <v>MEGAÓ</v>
          </cell>
          <cell r="B7">
            <v>87</v>
          </cell>
          <cell r="C7">
            <v>86345.52</v>
          </cell>
          <cell r="D7">
            <v>57.87</v>
          </cell>
          <cell r="E7">
            <v>0</v>
          </cell>
          <cell r="F7">
            <v>0</v>
          </cell>
          <cell r="G7">
            <v>843.53</v>
          </cell>
          <cell r="H7">
            <v>85501.99</v>
          </cell>
          <cell r="I7">
            <v>52374</v>
          </cell>
          <cell r="J7">
            <v>512.01</v>
          </cell>
          <cell r="K7">
            <v>33640</v>
          </cell>
          <cell r="L7">
            <v>39.19</v>
          </cell>
          <cell r="M7">
            <v>4.5</v>
          </cell>
        </row>
        <row r="8">
          <cell r="A8" t="str">
            <v>WEBER QUARTZOLIT</v>
          </cell>
          <cell r="B8">
            <v>146</v>
          </cell>
          <cell r="C8">
            <v>73905.22</v>
          </cell>
          <cell r="D8">
            <v>33.53</v>
          </cell>
          <cell r="E8">
            <v>0</v>
          </cell>
          <cell r="F8">
            <v>0</v>
          </cell>
          <cell r="G8">
            <v>3847.2701000000002</v>
          </cell>
          <cell r="H8">
            <v>70057.949900000007</v>
          </cell>
          <cell r="I8">
            <v>46573.07</v>
          </cell>
          <cell r="J8">
            <v>2408.23</v>
          </cell>
          <cell r="K8">
            <v>25893.109899999999</v>
          </cell>
          <cell r="L8">
            <v>36.22</v>
          </cell>
          <cell r="M8">
            <v>3.85</v>
          </cell>
        </row>
        <row r="9">
          <cell r="A9" t="str">
            <v>ROCA</v>
          </cell>
          <cell r="B9">
            <v>84</v>
          </cell>
          <cell r="C9">
            <v>64681.77</v>
          </cell>
          <cell r="D9">
            <v>172.03</v>
          </cell>
          <cell r="E9">
            <v>0</v>
          </cell>
          <cell r="F9">
            <v>0</v>
          </cell>
          <cell r="G9">
            <v>1594.46</v>
          </cell>
          <cell r="H9">
            <v>63087.31</v>
          </cell>
          <cell r="I9">
            <v>44789.22</v>
          </cell>
          <cell r="J9">
            <v>1031.51</v>
          </cell>
          <cell r="K9">
            <v>19329.599999999999</v>
          </cell>
          <cell r="L9">
            <v>30.37</v>
          </cell>
          <cell r="M9">
            <v>3.37</v>
          </cell>
        </row>
        <row r="10">
          <cell r="A10" t="str">
            <v>TECNOGRES</v>
          </cell>
          <cell r="B10">
            <v>31</v>
          </cell>
          <cell r="C10">
            <v>55126.7834</v>
          </cell>
          <cell r="D10">
            <v>45.26</v>
          </cell>
          <cell r="E10">
            <v>0</v>
          </cell>
          <cell r="F10">
            <v>0</v>
          </cell>
          <cell r="G10">
            <v>2114.1314000000002</v>
          </cell>
          <cell r="H10">
            <v>53012.652000000002</v>
          </cell>
          <cell r="I10">
            <v>30196.779600000002</v>
          </cell>
          <cell r="J10">
            <v>870.03359999999998</v>
          </cell>
          <cell r="K10">
            <v>23685.905999999999</v>
          </cell>
          <cell r="L10">
            <v>43.66</v>
          </cell>
          <cell r="M10">
            <v>2.87</v>
          </cell>
        </row>
        <row r="11">
          <cell r="A11" t="str">
            <v>QUALITY</v>
          </cell>
          <cell r="B11">
            <v>55</v>
          </cell>
          <cell r="C11">
            <v>51338.55</v>
          </cell>
          <cell r="D11">
            <v>255.42</v>
          </cell>
          <cell r="E11">
            <v>0</v>
          </cell>
          <cell r="F11">
            <v>0</v>
          </cell>
          <cell r="G11">
            <v>6438.34</v>
          </cell>
          <cell r="H11">
            <v>44900.21</v>
          </cell>
          <cell r="I11">
            <v>31957.18</v>
          </cell>
          <cell r="J11">
            <v>3886.94</v>
          </cell>
          <cell r="K11">
            <v>16829.97</v>
          </cell>
          <cell r="L11">
            <v>35.47</v>
          </cell>
          <cell r="M11">
            <v>2.68</v>
          </cell>
        </row>
        <row r="12">
          <cell r="A12" t="str">
            <v>FORTLEV</v>
          </cell>
          <cell r="B12">
            <v>79</v>
          </cell>
          <cell r="C12">
            <v>48742.48</v>
          </cell>
          <cell r="D12">
            <v>10.81</v>
          </cell>
          <cell r="E12">
            <v>0</v>
          </cell>
          <cell r="F12">
            <v>0</v>
          </cell>
          <cell r="G12">
            <v>1793.95</v>
          </cell>
          <cell r="H12">
            <v>46948.53</v>
          </cell>
          <cell r="I12">
            <v>34226.199999999997</v>
          </cell>
          <cell r="J12">
            <v>1310.5899999999999</v>
          </cell>
          <cell r="K12">
            <v>14032.92</v>
          </cell>
          <cell r="L12">
            <v>29.59</v>
          </cell>
          <cell r="M12">
            <v>2.54</v>
          </cell>
        </row>
        <row r="13">
          <cell r="A13" t="str">
            <v>BRASILIT</v>
          </cell>
          <cell r="B13">
            <v>29</v>
          </cell>
          <cell r="C13">
            <v>45289.42</v>
          </cell>
          <cell r="D13">
            <v>74.12</v>
          </cell>
          <cell r="E13">
            <v>0</v>
          </cell>
          <cell r="F13">
            <v>0</v>
          </cell>
          <cell r="G13">
            <v>1286.3</v>
          </cell>
          <cell r="H13">
            <v>44003.12</v>
          </cell>
          <cell r="I13">
            <v>35256.550000000003</v>
          </cell>
          <cell r="J13">
            <v>999.26</v>
          </cell>
          <cell r="K13">
            <v>9745.83</v>
          </cell>
          <cell r="L13">
            <v>22</v>
          </cell>
          <cell r="M13">
            <v>2.36</v>
          </cell>
        </row>
        <row r="14">
          <cell r="A14" t="str">
            <v>DOCOL METAIS</v>
          </cell>
          <cell r="B14">
            <v>12</v>
          </cell>
          <cell r="C14">
            <v>41770.74</v>
          </cell>
          <cell r="D14">
            <v>454.03</v>
          </cell>
          <cell r="E14">
            <v>0</v>
          </cell>
          <cell r="F14">
            <v>0</v>
          </cell>
          <cell r="G14">
            <v>199.6</v>
          </cell>
          <cell r="H14">
            <v>41571.14</v>
          </cell>
          <cell r="I14">
            <v>33446.15</v>
          </cell>
          <cell r="J14">
            <v>118.29</v>
          </cell>
          <cell r="K14">
            <v>8243.2800000000007</v>
          </cell>
          <cell r="L14">
            <v>19.79</v>
          </cell>
          <cell r="M14">
            <v>2.1800000000000002</v>
          </cell>
        </row>
        <row r="15">
          <cell r="A15" t="str">
            <v>ETERNIT</v>
          </cell>
          <cell r="B15">
            <v>33</v>
          </cell>
          <cell r="C15">
            <v>31883.84</v>
          </cell>
          <cell r="D15">
            <v>57.55</v>
          </cell>
          <cell r="E15">
            <v>0</v>
          </cell>
          <cell r="F15">
            <v>0</v>
          </cell>
          <cell r="G15">
            <v>268</v>
          </cell>
          <cell r="H15">
            <v>31615.84</v>
          </cell>
          <cell r="I15">
            <v>24442.39</v>
          </cell>
          <cell r="J15">
            <v>208.52</v>
          </cell>
          <cell r="K15">
            <v>7381.97</v>
          </cell>
          <cell r="L15">
            <v>23.31</v>
          </cell>
          <cell r="M15">
            <v>1.66</v>
          </cell>
        </row>
        <row r="16">
          <cell r="A16" t="str">
            <v>ATLAS</v>
          </cell>
          <cell r="B16">
            <v>80</v>
          </cell>
          <cell r="C16">
            <v>30547.119999999999</v>
          </cell>
          <cell r="D16">
            <v>16.95</v>
          </cell>
          <cell r="E16">
            <v>0</v>
          </cell>
          <cell r="F16">
            <v>0</v>
          </cell>
          <cell r="G16">
            <v>136.86000000000001</v>
          </cell>
          <cell r="H16">
            <v>30410.26</v>
          </cell>
          <cell r="I16">
            <v>17046.62</v>
          </cell>
          <cell r="J16">
            <v>90.55</v>
          </cell>
          <cell r="K16">
            <v>13454.19</v>
          </cell>
          <cell r="L16">
            <v>44.18</v>
          </cell>
          <cell r="M16">
            <v>1.59</v>
          </cell>
        </row>
        <row r="17">
          <cell r="A17" t="str">
            <v>LORENZETTI</v>
          </cell>
          <cell r="B17">
            <v>23</v>
          </cell>
          <cell r="C17">
            <v>27494.26</v>
          </cell>
          <cell r="D17">
            <v>94.16</v>
          </cell>
          <cell r="E17">
            <v>0</v>
          </cell>
          <cell r="F17">
            <v>0</v>
          </cell>
          <cell r="G17">
            <v>450.25</v>
          </cell>
          <cell r="H17">
            <v>27044.01</v>
          </cell>
          <cell r="I17">
            <v>17068.689999999999</v>
          </cell>
          <cell r="J17">
            <v>279.83999999999997</v>
          </cell>
          <cell r="K17">
            <v>10255.16</v>
          </cell>
          <cell r="L17">
            <v>37.68</v>
          </cell>
          <cell r="M17">
            <v>1.43</v>
          </cell>
        </row>
        <row r="18">
          <cell r="A18" t="str">
            <v>CARMELO FIOR</v>
          </cell>
          <cell r="B18">
            <v>9</v>
          </cell>
          <cell r="C18">
            <v>23399.557499999999</v>
          </cell>
          <cell r="D18">
            <v>65.150000000000006</v>
          </cell>
          <cell r="E18">
            <v>0</v>
          </cell>
          <cell r="F18">
            <v>0</v>
          </cell>
          <cell r="G18">
            <v>560.17999999999995</v>
          </cell>
          <cell r="H18">
            <v>22839.377499999999</v>
          </cell>
          <cell r="I18">
            <v>13155.6315</v>
          </cell>
          <cell r="J18">
            <v>348.23250000000002</v>
          </cell>
          <cell r="K18">
            <v>10031.978499999999</v>
          </cell>
          <cell r="L18">
            <v>43.52</v>
          </cell>
          <cell r="M18">
            <v>1.22</v>
          </cell>
        </row>
        <row r="19">
          <cell r="A19" t="str">
            <v>NORCOLA</v>
          </cell>
          <cell r="B19">
            <v>15</v>
          </cell>
          <cell r="C19">
            <v>22739.759999999998</v>
          </cell>
          <cell r="D19">
            <v>204.86</v>
          </cell>
          <cell r="E19">
            <v>0</v>
          </cell>
          <cell r="F19">
            <v>0</v>
          </cell>
          <cell r="G19">
            <v>0</v>
          </cell>
          <cell r="H19">
            <v>22739.759999999998</v>
          </cell>
          <cell r="I19">
            <v>17117.63</v>
          </cell>
          <cell r="J19">
            <v>0</v>
          </cell>
          <cell r="K19">
            <v>5622.13</v>
          </cell>
          <cell r="L19">
            <v>24.72</v>
          </cell>
          <cell r="M19">
            <v>1.19</v>
          </cell>
        </row>
        <row r="20">
          <cell r="A20" t="str">
            <v>MEC-TRONIC</v>
          </cell>
          <cell r="B20">
            <v>50</v>
          </cell>
          <cell r="C20">
            <v>19205.78</v>
          </cell>
          <cell r="D20">
            <v>10.16</v>
          </cell>
          <cell r="E20">
            <v>0</v>
          </cell>
          <cell r="F20">
            <v>0</v>
          </cell>
          <cell r="G20">
            <v>247.76</v>
          </cell>
          <cell r="H20">
            <v>18958.02</v>
          </cell>
          <cell r="I20">
            <v>10274.120000000001</v>
          </cell>
          <cell r="J20">
            <v>130.57</v>
          </cell>
          <cell r="K20">
            <v>8814.4699999999993</v>
          </cell>
          <cell r="L20">
            <v>46.21</v>
          </cell>
          <cell r="M20">
            <v>1</v>
          </cell>
        </row>
        <row r="21">
          <cell r="A21" t="str">
            <v>BLACK DECKER</v>
          </cell>
          <cell r="B21">
            <v>21</v>
          </cell>
          <cell r="C21">
            <v>17719.349999999999</v>
          </cell>
          <cell r="D21">
            <v>76.38</v>
          </cell>
          <cell r="E21">
            <v>0</v>
          </cell>
          <cell r="F21">
            <v>0</v>
          </cell>
          <cell r="G21">
            <v>494.9</v>
          </cell>
          <cell r="H21">
            <v>17224.45</v>
          </cell>
          <cell r="I21">
            <v>11746.4</v>
          </cell>
          <cell r="J21">
            <v>291.37</v>
          </cell>
          <cell r="K21">
            <v>5769.42</v>
          </cell>
          <cell r="L21">
            <v>33.1</v>
          </cell>
          <cell r="M21">
            <v>0.92</v>
          </cell>
        </row>
        <row r="22">
          <cell r="A22" t="str">
            <v>FERTAK COMERCIO E IMPORTAÇÃO</v>
          </cell>
          <cell r="B22">
            <v>48</v>
          </cell>
          <cell r="C22">
            <v>17403.919999999998</v>
          </cell>
          <cell r="D22">
            <v>9.2799999999999994</v>
          </cell>
          <cell r="E22">
            <v>0</v>
          </cell>
          <cell r="F22">
            <v>0</v>
          </cell>
          <cell r="G22">
            <v>177.3</v>
          </cell>
          <cell r="H22">
            <v>17226.62</v>
          </cell>
          <cell r="I22">
            <v>9541.27</v>
          </cell>
          <cell r="J22">
            <v>96.61</v>
          </cell>
          <cell r="K22">
            <v>7781.96</v>
          </cell>
          <cell r="L22">
            <v>44.96</v>
          </cell>
          <cell r="M22">
            <v>0.91</v>
          </cell>
        </row>
        <row r="23">
          <cell r="A23" t="str">
            <v>NITROLUX</v>
          </cell>
          <cell r="B23">
            <v>42</v>
          </cell>
          <cell r="C23">
            <v>16936.03</v>
          </cell>
          <cell r="D23">
            <v>9.82</v>
          </cell>
          <cell r="E23">
            <v>0</v>
          </cell>
          <cell r="F23">
            <v>0</v>
          </cell>
          <cell r="G23">
            <v>299.60000000000002</v>
          </cell>
          <cell r="H23">
            <v>16636.43</v>
          </cell>
          <cell r="I23">
            <v>9041.58</v>
          </cell>
          <cell r="J23">
            <v>155.22</v>
          </cell>
          <cell r="K23">
            <v>7750.07</v>
          </cell>
          <cell r="L23">
            <v>46.18</v>
          </cell>
          <cell r="M23">
            <v>0.88</v>
          </cell>
        </row>
        <row r="24">
          <cell r="A24" t="str">
            <v>METAIS LEAO</v>
          </cell>
          <cell r="B24">
            <v>43</v>
          </cell>
          <cell r="C24">
            <v>15374.14</v>
          </cell>
          <cell r="D24">
            <v>50.74</v>
          </cell>
          <cell r="E24">
            <v>0</v>
          </cell>
          <cell r="F24">
            <v>0</v>
          </cell>
          <cell r="G24">
            <v>846.8</v>
          </cell>
          <cell r="H24">
            <v>14527.34</v>
          </cell>
          <cell r="I24">
            <v>8904.14</v>
          </cell>
          <cell r="J24">
            <v>489.29</v>
          </cell>
          <cell r="K24">
            <v>6112.49</v>
          </cell>
          <cell r="L24">
            <v>41.07</v>
          </cell>
          <cell r="M24">
            <v>0.8</v>
          </cell>
        </row>
        <row r="25">
          <cell r="A25" t="str">
            <v>GHEL'PLUS</v>
          </cell>
          <cell r="B25">
            <v>36</v>
          </cell>
          <cell r="C25">
            <v>15363.22</v>
          </cell>
          <cell r="D25">
            <v>115.51</v>
          </cell>
          <cell r="E25">
            <v>0</v>
          </cell>
          <cell r="F25">
            <v>0</v>
          </cell>
          <cell r="G25">
            <v>380.2</v>
          </cell>
          <cell r="H25">
            <v>14983.02</v>
          </cell>
          <cell r="I25">
            <v>9354.75</v>
          </cell>
          <cell r="J25">
            <v>235.54</v>
          </cell>
          <cell r="K25">
            <v>5863.81</v>
          </cell>
          <cell r="L25">
            <v>38.76</v>
          </cell>
          <cell r="M25">
            <v>0.8</v>
          </cell>
        </row>
        <row r="26">
          <cell r="A26" t="str">
            <v>Perfilplast Industria e Comerc</v>
          </cell>
          <cell r="B26">
            <v>25</v>
          </cell>
          <cell r="C26">
            <v>14463.06</v>
          </cell>
          <cell r="D26">
            <v>70.28</v>
          </cell>
          <cell r="E26">
            <v>0</v>
          </cell>
          <cell r="F26">
            <v>0</v>
          </cell>
          <cell r="G26">
            <v>540.33000000000004</v>
          </cell>
          <cell r="H26">
            <v>13922.73</v>
          </cell>
          <cell r="I26">
            <v>8680.7420000000002</v>
          </cell>
          <cell r="J26">
            <v>323.01</v>
          </cell>
          <cell r="K26">
            <v>5564.9979999999996</v>
          </cell>
          <cell r="L26">
            <v>39.36</v>
          </cell>
          <cell r="M26">
            <v>0.75</v>
          </cell>
        </row>
        <row r="27">
          <cell r="A27" t="str">
            <v>GRANPLAST</v>
          </cell>
          <cell r="B27">
            <v>39</v>
          </cell>
          <cell r="C27">
            <v>13202.11</v>
          </cell>
          <cell r="D27">
            <v>19.649999999999999</v>
          </cell>
          <cell r="E27">
            <v>0</v>
          </cell>
          <cell r="F27">
            <v>0</v>
          </cell>
          <cell r="G27">
            <v>140.80000000000001</v>
          </cell>
          <cell r="H27">
            <v>13061.31</v>
          </cell>
          <cell r="I27">
            <v>7945.51</v>
          </cell>
          <cell r="J27">
            <v>75.819999999999993</v>
          </cell>
          <cell r="K27">
            <v>5191.62</v>
          </cell>
          <cell r="L27">
            <v>39.549999999999997</v>
          </cell>
          <cell r="M27">
            <v>0.69</v>
          </cell>
        </row>
        <row r="28">
          <cell r="A28" t="str">
            <v>METALURGICA MOR S/A</v>
          </cell>
          <cell r="B28">
            <v>12</v>
          </cell>
          <cell r="C28">
            <v>11837.99</v>
          </cell>
          <cell r="D28">
            <v>110.64</v>
          </cell>
          <cell r="E28">
            <v>0</v>
          </cell>
          <cell r="F28">
            <v>0</v>
          </cell>
          <cell r="G28">
            <v>189.9</v>
          </cell>
          <cell r="H28">
            <v>11648.09</v>
          </cell>
          <cell r="I28">
            <v>7442.3</v>
          </cell>
          <cell r="J28">
            <v>111.5</v>
          </cell>
          <cell r="K28">
            <v>4317.29</v>
          </cell>
          <cell r="L28">
            <v>36.82</v>
          </cell>
          <cell r="M28">
            <v>0.62</v>
          </cell>
        </row>
        <row r="29">
          <cell r="A29" t="str">
            <v>INTECH MACHINE</v>
          </cell>
          <cell r="B29">
            <v>14</v>
          </cell>
          <cell r="C29">
            <v>10825.96</v>
          </cell>
          <cell r="D29">
            <v>189.93</v>
          </cell>
          <cell r="E29">
            <v>0</v>
          </cell>
          <cell r="F29">
            <v>0</v>
          </cell>
          <cell r="G29">
            <v>0</v>
          </cell>
          <cell r="H29">
            <v>10825.96</v>
          </cell>
          <cell r="I29">
            <v>6615.09</v>
          </cell>
          <cell r="J29">
            <v>0</v>
          </cell>
          <cell r="K29">
            <v>4210.87</v>
          </cell>
          <cell r="L29">
            <v>38.9</v>
          </cell>
          <cell r="M29">
            <v>0.56000000000000005</v>
          </cell>
        </row>
        <row r="30">
          <cell r="A30" t="str">
            <v>ANAUGER</v>
          </cell>
          <cell r="B30">
            <v>8</v>
          </cell>
          <cell r="C30">
            <v>10729.4</v>
          </cell>
          <cell r="D30">
            <v>369.98</v>
          </cell>
          <cell r="E30">
            <v>0</v>
          </cell>
          <cell r="F30">
            <v>0</v>
          </cell>
          <cell r="G30">
            <v>0</v>
          </cell>
          <cell r="H30">
            <v>10729.4</v>
          </cell>
          <cell r="I30">
            <v>7444.26</v>
          </cell>
          <cell r="J30">
            <v>0</v>
          </cell>
          <cell r="K30">
            <v>3285.14</v>
          </cell>
          <cell r="L30">
            <v>30.62</v>
          </cell>
          <cell r="M30">
            <v>0.56000000000000005</v>
          </cell>
        </row>
        <row r="31">
          <cell r="A31" t="str">
            <v>BLUKIT</v>
          </cell>
          <cell r="B31">
            <v>60</v>
          </cell>
          <cell r="C31">
            <v>10235.06</v>
          </cell>
          <cell r="D31">
            <v>19.87</v>
          </cell>
          <cell r="E31">
            <v>0</v>
          </cell>
          <cell r="F31">
            <v>0</v>
          </cell>
          <cell r="G31">
            <v>316.89</v>
          </cell>
          <cell r="H31">
            <v>9918.17</v>
          </cell>
          <cell r="I31">
            <v>5724.35</v>
          </cell>
          <cell r="J31">
            <v>189.61</v>
          </cell>
          <cell r="K31">
            <v>4383.43</v>
          </cell>
          <cell r="L31">
            <v>43.64</v>
          </cell>
          <cell r="M31">
            <v>0.53</v>
          </cell>
        </row>
        <row r="32">
          <cell r="A32" t="str">
            <v>MULT MIX IMPORTADORA</v>
          </cell>
          <cell r="B32">
            <v>27</v>
          </cell>
          <cell r="C32">
            <v>9935.85</v>
          </cell>
          <cell r="D32">
            <v>17.59</v>
          </cell>
          <cell r="E32">
            <v>0</v>
          </cell>
          <cell r="F32">
            <v>0</v>
          </cell>
          <cell r="G32">
            <v>50.8</v>
          </cell>
          <cell r="H32">
            <v>9885.0499999999993</v>
          </cell>
          <cell r="I32">
            <v>5220.22</v>
          </cell>
          <cell r="J32">
            <v>27.26</v>
          </cell>
          <cell r="K32">
            <v>4692.09</v>
          </cell>
          <cell r="L32">
            <v>47.35</v>
          </cell>
          <cell r="M32">
            <v>0.52</v>
          </cell>
        </row>
        <row r="33">
          <cell r="A33" t="str">
            <v>PADO</v>
          </cell>
          <cell r="B33">
            <v>12</v>
          </cell>
          <cell r="C33">
            <v>8686.69</v>
          </cell>
          <cell r="D33">
            <v>46.21</v>
          </cell>
          <cell r="E33">
            <v>0</v>
          </cell>
          <cell r="F33">
            <v>0</v>
          </cell>
          <cell r="G33">
            <v>188.8</v>
          </cell>
          <cell r="H33">
            <v>8497.89</v>
          </cell>
          <cell r="I33">
            <v>4900.2</v>
          </cell>
          <cell r="J33">
            <v>105.43</v>
          </cell>
          <cell r="K33">
            <v>3703.12</v>
          </cell>
          <cell r="L33">
            <v>43.15</v>
          </cell>
          <cell r="M33">
            <v>0.45</v>
          </cell>
        </row>
        <row r="34">
          <cell r="A34" t="str">
            <v>VIQUA</v>
          </cell>
          <cell r="B34">
            <v>32</v>
          </cell>
          <cell r="C34">
            <v>8340.43</v>
          </cell>
          <cell r="D34">
            <v>35.340000000000003</v>
          </cell>
          <cell r="E34">
            <v>0</v>
          </cell>
          <cell r="F34">
            <v>0</v>
          </cell>
          <cell r="G34">
            <v>204.89</v>
          </cell>
          <cell r="H34">
            <v>8135.54</v>
          </cell>
          <cell r="I34">
            <v>5087.76</v>
          </cell>
          <cell r="J34">
            <v>129.79</v>
          </cell>
          <cell r="K34">
            <v>3177.57</v>
          </cell>
          <cell r="L34">
            <v>38.700000000000003</v>
          </cell>
          <cell r="M34">
            <v>0.43</v>
          </cell>
        </row>
        <row r="35">
          <cell r="A35" t="str">
            <v>SILVANA</v>
          </cell>
          <cell r="B35">
            <v>21</v>
          </cell>
          <cell r="C35">
            <v>8120.04</v>
          </cell>
          <cell r="D35">
            <v>27.25</v>
          </cell>
          <cell r="E35">
            <v>0</v>
          </cell>
          <cell r="F35">
            <v>0</v>
          </cell>
          <cell r="G35">
            <v>227.97</v>
          </cell>
          <cell r="H35">
            <v>7892.07</v>
          </cell>
          <cell r="I35">
            <v>4712.55</v>
          </cell>
          <cell r="J35">
            <v>137.56</v>
          </cell>
          <cell r="K35">
            <v>3317.08</v>
          </cell>
          <cell r="L35">
            <v>41.55</v>
          </cell>
          <cell r="M35">
            <v>0.42</v>
          </cell>
        </row>
        <row r="36">
          <cell r="A36" t="str">
            <v>COBRECOM</v>
          </cell>
          <cell r="B36">
            <v>8</v>
          </cell>
          <cell r="C36">
            <v>8061.34</v>
          </cell>
          <cell r="D36">
            <v>127.96</v>
          </cell>
          <cell r="E36">
            <v>0</v>
          </cell>
          <cell r="F36">
            <v>0</v>
          </cell>
          <cell r="G36">
            <v>141.9</v>
          </cell>
          <cell r="H36">
            <v>7919.44</v>
          </cell>
          <cell r="I36">
            <v>5212.3500000000004</v>
          </cell>
          <cell r="J36">
            <v>73.22</v>
          </cell>
          <cell r="K36">
            <v>2780.31</v>
          </cell>
          <cell r="L36">
            <v>34.81</v>
          </cell>
          <cell r="M36">
            <v>0.42</v>
          </cell>
        </row>
        <row r="37">
          <cell r="A37" t="str">
            <v>MGM</v>
          </cell>
          <cell r="B37">
            <v>13</v>
          </cell>
          <cell r="C37">
            <v>7828.81</v>
          </cell>
          <cell r="D37">
            <v>460.52</v>
          </cell>
          <cell r="E37">
            <v>0</v>
          </cell>
          <cell r="F37">
            <v>0</v>
          </cell>
          <cell r="G37">
            <v>599</v>
          </cell>
          <cell r="H37">
            <v>7229.81</v>
          </cell>
          <cell r="I37">
            <v>4910.83</v>
          </cell>
          <cell r="J37">
            <v>378.77</v>
          </cell>
          <cell r="K37">
            <v>2697.75</v>
          </cell>
          <cell r="L37">
            <v>36.21</v>
          </cell>
          <cell r="M37">
            <v>0.41</v>
          </cell>
        </row>
        <row r="38">
          <cell r="A38" t="str">
            <v>LEGRAND</v>
          </cell>
          <cell r="B38">
            <v>16</v>
          </cell>
          <cell r="C38">
            <v>7693.98</v>
          </cell>
          <cell r="D38">
            <v>15.61</v>
          </cell>
          <cell r="E38">
            <v>0</v>
          </cell>
          <cell r="F38">
            <v>0</v>
          </cell>
          <cell r="G38">
            <v>74.599999999999994</v>
          </cell>
          <cell r="H38">
            <v>7619.38</v>
          </cell>
          <cell r="I38">
            <v>4709.41</v>
          </cell>
          <cell r="J38">
            <v>44.33</v>
          </cell>
          <cell r="K38">
            <v>2954.3</v>
          </cell>
          <cell r="L38">
            <v>38.619999999999997</v>
          </cell>
          <cell r="M38">
            <v>0.4</v>
          </cell>
        </row>
        <row r="39">
          <cell r="A39" t="str">
            <v>CORTAG</v>
          </cell>
          <cell r="B39">
            <v>29</v>
          </cell>
          <cell r="C39">
            <v>7308.8</v>
          </cell>
          <cell r="D39">
            <v>21.5</v>
          </cell>
          <cell r="E39">
            <v>0</v>
          </cell>
          <cell r="F39">
            <v>0</v>
          </cell>
          <cell r="G39">
            <v>132.1</v>
          </cell>
          <cell r="H39">
            <v>7176.7</v>
          </cell>
          <cell r="I39">
            <v>4343.51</v>
          </cell>
          <cell r="J39">
            <v>62.14</v>
          </cell>
          <cell r="K39">
            <v>2895.33</v>
          </cell>
          <cell r="L39">
            <v>39.950000000000003</v>
          </cell>
          <cell r="M39">
            <v>0.38</v>
          </cell>
        </row>
        <row r="40">
          <cell r="A40" t="str">
            <v>LEDVANCE</v>
          </cell>
          <cell r="B40">
            <v>27</v>
          </cell>
          <cell r="C40">
            <v>7285.17</v>
          </cell>
          <cell r="D40">
            <v>7.46</v>
          </cell>
          <cell r="E40">
            <v>0</v>
          </cell>
          <cell r="F40">
            <v>0</v>
          </cell>
          <cell r="G40">
            <v>48.8</v>
          </cell>
          <cell r="H40">
            <v>7236.37</v>
          </cell>
          <cell r="I40">
            <v>4334.75</v>
          </cell>
          <cell r="J40">
            <v>26.83</v>
          </cell>
          <cell r="K40">
            <v>2928.45</v>
          </cell>
          <cell r="L40">
            <v>40.35</v>
          </cell>
          <cell r="M40">
            <v>0.38</v>
          </cell>
        </row>
        <row r="41">
          <cell r="A41" t="str">
            <v>AVANT</v>
          </cell>
          <cell r="B41">
            <v>17</v>
          </cell>
          <cell r="C41">
            <v>7117.8</v>
          </cell>
          <cell r="D41">
            <v>34.89</v>
          </cell>
          <cell r="E41">
            <v>0</v>
          </cell>
          <cell r="F41">
            <v>0</v>
          </cell>
          <cell r="G41">
            <v>656.4</v>
          </cell>
          <cell r="H41">
            <v>6461.4</v>
          </cell>
          <cell r="I41">
            <v>4013.79</v>
          </cell>
          <cell r="J41">
            <v>352.27</v>
          </cell>
          <cell r="K41">
            <v>2799.88</v>
          </cell>
          <cell r="L41">
            <v>41.38</v>
          </cell>
          <cell r="M41">
            <v>0.37</v>
          </cell>
        </row>
        <row r="42">
          <cell r="A42" t="str">
            <v>BELLA PIA</v>
          </cell>
          <cell r="B42">
            <v>17</v>
          </cell>
          <cell r="C42">
            <v>6555.11</v>
          </cell>
          <cell r="D42">
            <v>234.11</v>
          </cell>
          <cell r="E42">
            <v>0</v>
          </cell>
          <cell r="F42">
            <v>0</v>
          </cell>
          <cell r="G42">
            <v>566.9</v>
          </cell>
          <cell r="H42">
            <v>5988.21</v>
          </cell>
          <cell r="I42">
            <v>3569.49</v>
          </cell>
          <cell r="J42">
            <v>303.87</v>
          </cell>
          <cell r="K42">
            <v>2722.59</v>
          </cell>
          <cell r="L42">
            <v>43.55</v>
          </cell>
          <cell r="M42">
            <v>0.34</v>
          </cell>
        </row>
        <row r="43">
          <cell r="A43" t="str">
            <v>LUZARTE</v>
          </cell>
          <cell r="B43">
            <v>13</v>
          </cell>
          <cell r="C43">
            <v>6433.55</v>
          </cell>
          <cell r="D43">
            <v>178.71</v>
          </cell>
          <cell r="E43">
            <v>0</v>
          </cell>
          <cell r="F43">
            <v>0</v>
          </cell>
          <cell r="G43">
            <v>0</v>
          </cell>
          <cell r="H43">
            <v>6433.55</v>
          </cell>
          <cell r="I43">
            <v>4763</v>
          </cell>
          <cell r="J43">
            <v>0</v>
          </cell>
          <cell r="K43">
            <v>1670.55</v>
          </cell>
          <cell r="L43">
            <v>25.97</v>
          </cell>
          <cell r="M43">
            <v>0.34</v>
          </cell>
        </row>
        <row r="44">
          <cell r="A44" t="str">
            <v>HERC</v>
          </cell>
          <cell r="B44">
            <v>20</v>
          </cell>
          <cell r="C44">
            <v>6082.17</v>
          </cell>
          <cell r="D44">
            <v>23.13</v>
          </cell>
          <cell r="E44">
            <v>0</v>
          </cell>
          <cell r="F44">
            <v>0</v>
          </cell>
          <cell r="G44">
            <v>99.67</v>
          </cell>
          <cell r="H44">
            <v>5982.5</v>
          </cell>
          <cell r="I44">
            <v>3539.09</v>
          </cell>
          <cell r="J44">
            <v>56.08</v>
          </cell>
          <cell r="K44">
            <v>2499.4899999999998</v>
          </cell>
          <cell r="L44">
            <v>41.48</v>
          </cell>
          <cell r="M44">
            <v>0.32</v>
          </cell>
        </row>
        <row r="45">
          <cell r="A45" t="str">
            <v>INCESA</v>
          </cell>
          <cell r="B45">
            <v>4</v>
          </cell>
          <cell r="C45">
            <v>6049.116</v>
          </cell>
          <cell r="D45">
            <v>86.66</v>
          </cell>
          <cell r="E45">
            <v>0</v>
          </cell>
          <cell r="F45">
            <v>0</v>
          </cell>
          <cell r="G45">
            <v>0</v>
          </cell>
          <cell r="H45">
            <v>6049.116</v>
          </cell>
          <cell r="I45">
            <v>3825.826</v>
          </cell>
          <cell r="J45">
            <v>0</v>
          </cell>
          <cell r="K45">
            <v>2223.29</v>
          </cell>
          <cell r="L45">
            <v>36.75</v>
          </cell>
          <cell r="M45">
            <v>0.32</v>
          </cell>
        </row>
        <row r="46">
          <cell r="A46" t="str">
            <v>LUCONI</v>
          </cell>
          <cell r="B46">
            <v>43</v>
          </cell>
          <cell r="C46">
            <v>5491.52</v>
          </cell>
          <cell r="D46">
            <v>11.84</v>
          </cell>
          <cell r="E46">
            <v>0</v>
          </cell>
          <cell r="F46">
            <v>0</v>
          </cell>
          <cell r="G46">
            <v>140.69999999999999</v>
          </cell>
          <cell r="H46">
            <v>5350.82</v>
          </cell>
          <cell r="I46">
            <v>2648.72</v>
          </cell>
          <cell r="J46">
            <v>77.02</v>
          </cell>
          <cell r="K46">
            <v>2779.12</v>
          </cell>
          <cell r="L46">
            <v>51.33</v>
          </cell>
          <cell r="M46">
            <v>0.28999999999999998</v>
          </cell>
        </row>
        <row r="47">
          <cell r="A47" t="str">
            <v>KDK PORTAS</v>
          </cell>
          <cell r="B47">
            <v>17</v>
          </cell>
          <cell r="C47">
            <v>5181.58</v>
          </cell>
          <cell r="D47">
            <v>172.72</v>
          </cell>
          <cell r="E47">
            <v>0</v>
          </cell>
          <cell r="F47">
            <v>0</v>
          </cell>
          <cell r="G47">
            <v>349.89</v>
          </cell>
          <cell r="H47">
            <v>4831.6899999999996</v>
          </cell>
          <cell r="I47">
            <v>2814.97</v>
          </cell>
          <cell r="J47">
            <v>187.99</v>
          </cell>
          <cell r="K47">
            <v>2204.71</v>
          </cell>
          <cell r="L47">
            <v>44.15</v>
          </cell>
          <cell r="M47">
            <v>0.27</v>
          </cell>
        </row>
        <row r="48">
          <cell r="A48" t="str">
            <v>PRATEFIX</v>
          </cell>
          <cell r="B48">
            <v>15</v>
          </cell>
          <cell r="C48">
            <v>5050.09</v>
          </cell>
          <cell r="D48">
            <v>35.32</v>
          </cell>
          <cell r="E48">
            <v>0</v>
          </cell>
          <cell r="F48">
            <v>0</v>
          </cell>
          <cell r="G48">
            <v>187.6</v>
          </cell>
          <cell r="H48">
            <v>4862.49</v>
          </cell>
          <cell r="I48">
            <v>2802.46</v>
          </cell>
          <cell r="J48">
            <v>107.28</v>
          </cell>
          <cell r="K48">
            <v>2167.31</v>
          </cell>
          <cell r="L48">
            <v>43.85</v>
          </cell>
          <cell r="M48">
            <v>0.26</v>
          </cell>
        </row>
        <row r="49">
          <cell r="A49" t="str">
            <v>PULVITEC</v>
          </cell>
          <cell r="B49">
            <v>39</v>
          </cell>
          <cell r="C49">
            <v>4981.74</v>
          </cell>
          <cell r="D49">
            <v>8.1300000000000008</v>
          </cell>
          <cell r="E49">
            <v>0</v>
          </cell>
          <cell r="F49">
            <v>0</v>
          </cell>
          <cell r="G49">
            <v>18.5</v>
          </cell>
          <cell r="H49">
            <v>4963.24</v>
          </cell>
          <cell r="I49">
            <v>2434.13</v>
          </cell>
          <cell r="J49">
            <v>9.68</v>
          </cell>
          <cell r="K49">
            <v>2538.79</v>
          </cell>
          <cell r="L49">
            <v>51.06</v>
          </cell>
          <cell r="M49">
            <v>0.26</v>
          </cell>
        </row>
        <row r="50">
          <cell r="A50" t="str">
            <v>VEDACIT</v>
          </cell>
          <cell r="B50">
            <v>10</v>
          </cell>
          <cell r="C50">
            <v>4947.8</v>
          </cell>
          <cell r="D50">
            <v>62.63</v>
          </cell>
          <cell r="E50">
            <v>0</v>
          </cell>
          <cell r="F50">
            <v>0</v>
          </cell>
          <cell r="G50">
            <v>0</v>
          </cell>
          <cell r="H50">
            <v>4947.8</v>
          </cell>
          <cell r="I50">
            <v>2751.79</v>
          </cell>
          <cell r="J50">
            <v>0</v>
          </cell>
          <cell r="K50">
            <v>2196.0100000000002</v>
          </cell>
          <cell r="L50">
            <v>44.38</v>
          </cell>
          <cell r="M50">
            <v>0.26</v>
          </cell>
        </row>
        <row r="51">
          <cell r="A51" t="str">
            <v>EXATRON</v>
          </cell>
          <cell r="B51">
            <v>9</v>
          </cell>
          <cell r="C51">
            <v>4890.01</v>
          </cell>
          <cell r="D51">
            <v>44.05</v>
          </cell>
          <cell r="E51">
            <v>0</v>
          </cell>
          <cell r="F51">
            <v>0</v>
          </cell>
          <cell r="G51">
            <v>0</v>
          </cell>
          <cell r="H51">
            <v>4890.01</v>
          </cell>
          <cell r="I51">
            <v>2714.68</v>
          </cell>
          <cell r="J51">
            <v>0</v>
          </cell>
          <cell r="K51">
            <v>2175.33</v>
          </cell>
          <cell r="L51">
            <v>44.49</v>
          </cell>
          <cell r="M51">
            <v>0.26</v>
          </cell>
        </row>
        <row r="52">
          <cell r="A52" t="str">
            <v>ADERE</v>
          </cell>
          <cell r="B52">
            <v>25</v>
          </cell>
          <cell r="C52">
            <v>4366.96</v>
          </cell>
          <cell r="D52">
            <v>12</v>
          </cell>
          <cell r="E52">
            <v>0</v>
          </cell>
          <cell r="F52">
            <v>0</v>
          </cell>
          <cell r="G52">
            <v>0</v>
          </cell>
          <cell r="H52">
            <v>4366.96</v>
          </cell>
          <cell r="I52">
            <v>2487.89</v>
          </cell>
          <cell r="J52">
            <v>0</v>
          </cell>
          <cell r="K52">
            <v>1879.07</v>
          </cell>
          <cell r="L52">
            <v>43.03</v>
          </cell>
          <cell r="M52">
            <v>0.23</v>
          </cell>
        </row>
        <row r="53">
          <cell r="A53" t="str">
            <v>NORTON</v>
          </cell>
          <cell r="B53">
            <v>44</v>
          </cell>
          <cell r="C53">
            <v>4227.59</v>
          </cell>
          <cell r="D53">
            <v>2.79</v>
          </cell>
          <cell r="E53">
            <v>0</v>
          </cell>
          <cell r="F53">
            <v>0</v>
          </cell>
          <cell r="G53">
            <v>0</v>
          </cell>
          <cell r="H53">
            <v>4227.59</v>
          </cell>
          <cell r="I53">
            <v>2177.06</v>
          </cell>
          <cell r="J53">
            <v>0</v>
          </cell>
          <cell r="K53">
            <v>2050.5300000000002</v>
          </cell>
          <cell r="L53">
            <v>48.5</v>
          </cell>
          <cell r="M53">
            <v>0.22</v>
          </cell>
        </row>
        <row r="54">
          <cell r="A54" t="str">
            <v>BEMFIXA</v>
          </cell>
          <cell r="B54">
            <v>16</v>
          </cell>
          <cell r="C54">
            <v>3912.12</v>
          </cell>
          <cell r="D54">
            <v>13.13</v>
          </cell>
          <cell r="E54">
            <v>0</v>
          </cell>
          <cell r="F54">
            <v>0</v>
          </cell>
          <cell r="G54">
            <v>44.4</v>
          </cell>
          <cell r="H54">
            <v>3867.72</v>
          </cell>
          <cell r="I54">
            <v>2116.4899999999998</v>
          </cell>
          <cell r="J54">
            <v>23.97</v>
          </cell>
          <cell r="K54">
            <v>1775.2</v>
          </cell>
          <cell r="L54">
            <v>45.66</v>
          </cell>
          <cell r="M54">
            <v>0.2</v>
          </cell>
        </row>
        <row r="55">
          <cell r="A55" t="str">
            <v>BRASFORMA</v>
          </cell>
          <cell r="B55">
            <v>7</v>
          </cell>
          <cell r="C55">
            <v>3764.2</v>
          </cell>
          <cell r="D55">
            <v>40.92</v>
          </cell>
          <cell r="E55">
            <v>0</v>
          </cell>
          <cell r="F55">
            <v>0</v>
          </cell>
          <cell r="G55">
            <v>188.7</v>
          </cell>
          <cell r="H55">
            <v>3575.5</v>
          </cell>
          <cell r="I55">
            <v>2379.77</v>
          </cell>
          <cell r="J55">
            <v>127.19</v>
          </cell>
          <cell r="K55">
            <v>1322.92</v>
          </cell>
          <cell r="L55">
            <v>36.369999999999997</v>
          </cell>
          <cell r="M55">
            <v>0.2</v>
          </cell>
        </row>
        <row r="56">
          <cell r="A56" t="str">
            <v>MARLUVAS</v>
          </cell>
          <cell r="B56">
            <v>6</v>
          </cell>
          <cell r="C56">
            <v>3711.97</v>
          </cell>
          <cell r="D56">
            <v>86.32</v>
          </cell>
          <cell r="E56">
            <v>0</v>
          </cell>
          <cell r="F56">
            <v>0</v>
          </cell>
          <cell r="G56">
            <v>96.9</v>
          </cell>
          <cell r="H56">
            <v>3615.07</v>
          </cell>
          <cell r="I56">
            <v>2105.4899999999998</v>
          </cell>
          <cell r="J56">
            <v>57.18</v>
          </cell>
          <cell r="K56">
            <v>1566.76</v>
          </cell>
          <cell r="L56">
            <v>42.87</v>
          </cell>
          <cell r="M56">
            <v>0.19</v>
          </cell>
        </row>
        <row r="57">
          <cell r="A57" t="str">
            <v>CENSI</v>
          </cell>
          <cell r="B57">
            <v>23</v>
          </cell>
          <cell r="C57">
            <v>3581.35</v>
          </cell>
          <cell r="D57">
            <v>25.22</v>
          </cell>
          <cell r="E57">
            <v>0</v>
          </cell>
          <cell r="F57">
            <v>0</v>
          </cell>
          <cell r="G57">
            <v>76.400000000000006</v>
          </cell>
          <cell r="H57">
            <v>3504.95</v>
          </cell>
          <cell r="I57">
            <v>2045.28</v>
          </cell>
          <cell r="J57">
            <v>46.04</v>
          </cell>
          <cell r="K57">
            <v>1505.71</v>
          </cell>
          <cell r="L57">
            <v>42.59</v>
          </cell>
          <cell r="M57">
            <v>0.19</v>
          </cell>
        </row>
        <row r="58">
          <cell r="A58" t="str">
            <v>MYPA</v>
          </cell>
          <cell r="B58">
            <v>18</v>
          </cell>
          <cell r="C58">
            <v>3290.72</v>
          </cell>
          <cell r="D58">
            <v>16.45</v>
          </cell>
          <cell r="E58">
            <v>0</v>
          </cell>
          <cell r="F58">
            <v>0</v>
          </cell>
          <cell r="G58">
            <v>0</v>
          </cell>
          <cell r="H58">
            <v>3290.72</v>
          </cell>
          <cell r="I58">
            <v>1826.3</v>
          </cell>
          <cell r="J58">
            <v>0</v>
          </cell>
          <cell r="K58">
            <v>1464.42</v>
          </cell>
          <cell r="L58">
            <v>44.5</v>
          </cell>
          <cell r="M58">
            <v>0.17</v>
          </cell>
        </row>
        <row r="59">
          <cell r="A59" t="str">
            <v>PLASTMAR IND E COM</v>
          </cell>
          <cell r="B59">
            <v>11</v>
          </cell>
          <cell r="C59">
            <v>2915.53</v>
          </cell>
          <cell r="D59">
            <v>40.49</v>
          </cell>
          <cell r="E59">
            <v>0</v>
          </cell>
          <cell r="F59">
            <v>0</v>
          </cell>
          <cell r="G59">
            <v>0</v>
          </cell>
          <cell r="H59">
            <v>2915.53</v>
          </cell>
          <cell r="I59">
            <v>1643.5</v>
          </cell>
          <cell r="J59">
            <v>0</v>
          </cell>
          <cell r="K59">
            <v>1272.03</v>
          </cell>
          <cell r="L59">
            <v>43.63</v>
          </cell>
          <cell r="M59">
            <v>0.15</v>
          </cell>
        </row>
        <row r="60">
          <cell r="A60" t="str">
            <v>BOGNAR</v>
          </cell>
          <cell r="B60">
            <v>7</v>
          </cell>
          <cell r="C60">
            <v>2641.65</v>
          </cell>
          <cell r="D60">
            <v>58.7</v>
          </cell>
          <cell r="E60">
            <v>0</v>
          </cell>
          <cell r="F60">
            <v>0</v>
          </cell>
          <cell r="G60">
            <v>190.79</v>
          </cell>
          <cell r="H60">
            <v>2450.86</v>
          </cell>
          <cell r="I60">
            <v>1560.24</v>
          </cell>
          <cell r="J60">
            <v>107.46</v>
          </cell>
          <cell r="K60">
            <v>998.08</v>
          </cell>
          <cell r="L60">
            <v>39.380000000000003</v>
          </cell>
          <cell r="M60">
            <v>0.14000000000000001</v>
          </cell>
        </row>
        <row r="61">
          <cell r="A61" t="str">
            <v>PRATIMIX</v>
          </cell>
          <cell r="B61">
            <v>17</v>
          </cell>
          <cell r="C61">
            <v>2555.88</v>
          </cell>
          <cell r="D61">
            <v>13.04</v>
          </cell>
          <cell r="E61">
            <v>0</v>
          </cell>
          <cell r="F61">
            <v>0</v>
          </cell>
          <cell r="G61">
            <v>52.6</v>
          </cell>
          <cell r="H61">
            <v>2503.2800000000002</v>
          </cell>
          <cell r="I61">
            <v>1365.27</v>
          </cell>
          <cell r="J61">
            <v>28.59</v>
          </cell>
          <cell r="K61">
            <v>1166.5999999999999</v>
          </cell>
          <cell r="L61">
            <v>46.16</v>
          </cell>
          <cell r="M61">
            <v>0.13</v>
          </cell>
        </row>
        <row r="62">
          <cell r="A62" t="str">
            <v>PAMESA</v>
          </cell>
          <cell r="B62">
            <v>6</v>
          </cell>
          <cell r="C62">
            <v>2286.4128000000001</v>
          </cell>
          <cell r="D62">
            <v>28.16</v>
          </cell>
          <cell r="E62">
            <v>0</v>
          </cell>
          <cell r="F62">
            <v>0</v>
          </cell>
          <cell r="G62">
            <v>0</v>
          </cell>
          <cell r="H62">
            <v>2286.4128000000001</v>
          </cell>
          <cell r="I62">
            <v>1704.9284</v>
          </cell>
          <cell r="J62">
            <v>0</v>
          </cell>
          <cell r="K62">
            <v>581.48440000000005</v>
          </cell>
          <cell r="L62">
            <v>25.43</v>
          </cell>
          <cell r="M62">
            <v>0.12</v>
          </cell>
        </row>
        <row r="63">
          <cell r="A63" t="str">
            <v>METALOSA</v>
          </cell>
          <cell r="B63">
            <v>7</v>
          </cell>
          <cell r="C63">
            <v>2209.4499999999998</v>
          </cell>
          <cell r="D63">
            <v>184.12</v>
          </cell>
          <cell r="E63">
            <v>0</v>
          </cell>
          <cell r="F63">
            <v>0</v>
          </cell>
          <cell r="G63">
            <v>0</v>
          </cell>
          <cell r="H63">
            <v>2209.4499999999998</v>
          </cell>
          <cell r="I63">
            <v>1294.4100000000001</v>
          </cell>
          <cell r="J63">
            <v>0</v>
          </cell>
          <cell r="K63">
            <v>915.04</v>
          </cell>
          <cell r="L63">
            <v>41.41</v>
          </cell>
          <cell r="M63">
            <v>0.12</v>
          </cell>
        </row>
        <row r="64">
          <cell r="A64" t="str">
            <v>ALIANÇA</v>
          </cell>
          <cell r="B64">
            <v>6</v>
          </cell>
          <cell r="C64">
            <v>2200.6</v>
          </cell>
          <cell r="D64">
            <v>64.72</v>
          </cell>
          <cell r="E64">
            <v>0</v>
          </cell>
          <cell r="F64">
            <v>0</v>
          </cell>
          <cell r="G64">
            <v>0</v>
          </cell>
          <cell r="H64">
            <v>2200.6</v>
          </cell>
          <cell r="I64">
            <v>1299.48</v>
          </cell>
          <cell r="J64">
            <v>0</v>
          </cell>
          <cell r="K64">
            <v>901.12</v>
          </cell>
          <cell r="L64">
            <v>40.950000000000003</v>
          </cell>
          <cell r="M64">
            <v>0.11</v>
          </cell>
        </row>
        <row r="65">
          <cell r="A65" t="str">
            <v>KRONA</v>
          </cell>
          <cell r="B65">
            <v>11</v>
          </cell>
          <cell r="C65">
            <v>2111.3200000000002</v>
          </cell>
          <cell r="D65">
            <v>10.3</v>
          </cell>
          <cell r="E65">
            <v>0</v>
          </cell>
          <cell r="F65">
            <v>0</v>
          </cell>
          <cell r="G65">
            <v>131.97999999999999</v>
          </cell>
          <cell r="H65">
            <v>1979.34</v>
          </cell>
          <cell r="I65">
            <v>1211.1099999999999</v>
          </cell>
          <cell r="J65">
            <v>72.819999999999993</v>
          </cell>
          <cell r="K65">
            <v>841.05</v>
          </cell>
          <cell r="L65">
            <v>41.26</v>
          </cell>
          <cell r="M65">
            <v>0.11</v>
          </cell>
        </row>
        <row r="66">
          <cell r="A66" t="str">
            <v>Momfort</v>
          </cell>
          <cell r="B66">
            <v>11</v>
          </cell>
          <cell r="C66">
            <v>2034.93</v>
          </cell>
          <cell r="D66">
            <v>30.83</v>
          </cell>
          <cell r="E66">
            <v>0</v>
          </cell>
          <cell r="F66">
            <v>0</v>
          </cell>
          <cell r="G66">
            <v>0</v>
          </cell>
          <cell r="H66">
            <v>2034.93</v>
          </cell>
          <cell r="I66">
            <v>1200.8</v>
          </cell>
          <cell r="J66">
            <v>0</v>
          </cell>
          <cell r="K66">
            <v>834.13</v>
          </cell>
          <cell r="L66">
            <v>40.99</v>
          </cell>
          <cell r="M66">
            <v>0.11</v>
          </cell>
        </row>
        <row r="67">
          <cell r="A67" t="str">
            <v>FRANKLIN</v>
          </cell>
          <cell r="B67">
            <v>2</v>
          </cell>
          <cell r="C67">
            <v>1979.8</v>
          </cell>
          <cell r="D67">
            <v>989.9</v>
          </cell>
          <cell r="E67">
            <v>0</v>
          </cell>
          <cell r="F67">
            <v>0</v>
          </cell>
          <cell r="G67">
            <v>1049.9000000000001</v>
          </cell>
          <cell r="H67">
            <v>929.9</v>
          </cell>
          <cell r="I67">
            <v>1256.08</v>
          </cell>
          <cell r="J67">
            <v>665.76</v>
          </cell>
          <cell r="K67">
            <v>339.58</v>
          </cell>
          <cell r="L67">
            <v>25.84</v>
          </cell>
          <cell r="M67">
            <v>0.1</v>
          </cell>
        </row>
        <row r="68">
          <cell r="A68" t="str">
            <v>TAF</v>
          </cell>
          <cell r="B68">
            <v>10</v>
          </cell>
          <cell r="C68">
            <v>1812.36</v>
          </cell>
          <cell r="D68">
            <v>17.43</v>
          </cell>
          <cell r="E68">
            <v>0</v>
          </cell>
          <cell r="F68">
            <v>0</v>
          </cell>
          <cell r="G68">
            <v>20.9</v>
          </cell>
          <cell r="H68">
            <v>1791.46</v>
          </cell>
          <cell r="I68">
            <v>993.41</v>
          </cell>
          <cell r="J68">
            <v>11.24</v>
          </cell>
          <cell r="K68">
            <v>809.29</v>
          </cell>
          <cell r="L68">
            <v>44.93</v>
          </cell>
          <cell r="M68">
            <v>0.09</v>
          </cell>
        </row>
        <row r="69">
          <cell r="A69" t="str">
            <v>REALLE</v>
          </cell>
          <cell r="B69">
            <v>4</v>
          </cell>
          <cell r="C69">
            <v>1693.3833</v>
          </cell>
          <cell r="D69">
            <v>34.909999999999997</v>
          </cell>
          <cell r="E69">
            <v>0</v>
          </cell>
          <cell r="F69">
            <v>0</v>
          </cell>
          <cell r="G69">
            <v>0</v>
          </cell>
          <cell r="H69">
            <v>1693.3833</v>
          </cell>
          <cell r="I69">
            <v>1030.4100000000001</v>
          </cell>
          <cell r="J69">
            <v>0</v>
          </cell>
          <cell r="K69">
            <v>662.97329999999999</v>
          </cell>
          <cell r="L69">
            <v>39.15</v>
          </cell>
          <cell r="M69">
            <v>0.09</v>
          </cell>
        </row>
        <row r="70">
          <cell r="A70" t="str">
            <v>CERBRAS</v>
          </cell>
          <cell r="B70">
            <v>2</v>
          </cell>
          <cell r="C70">
            <v>1629.7116000000001</v>
          </cell>
          <cell r="D70">
            <v>65.5</v>
          </cell>
          <cell r="E70">
            <v>0</v>
          </cell>
          <cell r="F70">
            <v>0</v>
          </cell>
          <cell r="G70">
            <v>0</v>
          </cell>
          <cell r="H70">
            <v>1629.7116000000001</v>
          </cell>
          <cell r="I70">
            <v>1091.8778</v>
          </cell>
          <cell r="J70">
            <v>0</v>
          </cell>
          <cell r="K70">
            <v>537.8338</v>
          </cell>
          <cell r="L70">
            <v>33</v>
          </cell>
          <cell r="M70">
            <v>0.08</v>
          </cell>
        </row>
        <row r="71">
          <cell r="A71" t="str">
            <v>PRECON</v>
          </cell>
          <cell r="B71">
            <v>3</v>
          </cell>
          <cell r="C71">
            <v>1291.7</v>
          </cell>
          <cell r="D71">
            <v>129.16999999999999</v>
          </cell>
          <cell r="E71">
            <v>0</v>
          </cell>
          <cell r="F71">
            <v>0</v>
          </cell>
          <cell r="G71">
            <v>0</v>
          </cell>
          <cell r="H71">
            <v>1291.7</v>
          </cell>
          <cell r="I71">
            <v>824.87</v>
          </cell>
          <cell r="J71">
            <v>0</v>
          </cell>
          <cell r="K71">
            <v>466.83</v>
          </cell>
          <cell r="L71">
            <v>36.14</v>
          </cell>
          <cell r="M71">
            <v>7.0000000000000007E-2</v>
          </cell>
        </row>
        <row r="72">
          <cell r="A72" t="str">
            <v>PADRAO FORTE</v>
          </cell>
          <cell r="B72">
            <v>6</v>
          </cell>
          <cell r="C72">
            <v>1266.6300000000001</v>
          </cell>
          <cell r="D72">
            <v>13.77</v>
          </cell>
          <cell r="E72">
            <v>0</v>
          </cell>
          <cell r="F72">
            <v>0</v>
          </cell>
          <cell r="G72">
            <v>0</v>
          </cell>
          <cell r="H72">
            <v>1266.6300000000001</v>
          </cell>
          <cell r="I72">
            <v>724.47</v>
          </cell>
          <cell r="J72">
            <v>0</v>
          </cell>
          <cell r="K72">
            <v>542.16</v>
          </cell>
          <cell r="L72">
            <v>42.8</v>
          </cell>
          <cell r="M72">
            <v>7.0000000000000007E-2</v>
          </cell>
        </row>
        <row r="73">
          <cell r="A73" t="str">
            <v>ULTRA CLEAN</v>
          </cell>
          <cell r="B73">
            <v>4</v>
          </cell>
          <cell r="C73">
            <v>1246.23</v>
          </cell>
          <cell r="D73">
            <v>23.97</v>
          </cell>
          <cell r="E73">
            <v>0</v>
          </cell>
          <cell r="F73">
            <v>0</v>
          </cell>
          <cell r="G73">
            <v>0</v>
          </cell>
          <cell r="H73">
            <v>1246.23</v>
          </cell>
          <cell r="I73">
            <v>805.48</v>
          </cell>
          <cell r="J73">
            <v>0</v>
          </cell>
          <cell r="K73">
            <v>440.75</v>
          </cell>
          <cell r="L73">
            <v>35.369999999999997</v>
          </cell>
          <cell r="M73">
            <v>0.06</v>
          </cell>
        </row>
        <row r="74">
          <cell r="A74" t="str">
            <v>ORBI QUIMICA LTDA</v>
          </cell>
          <cell r="B74">
            <v>5</v>
          </cell>
          <cell r="C74">
            <v>1148.25</v>
          </cell>
          <cell r="D74">
            <v>14.72</v>
          </cell>
          <cell r="E74">
            <v>0</v>
          </cell>
          <cell r="F74">
            <v>0</v>
          </cell>
          <cell r="G74">
            <v>8.9</v>
          </cell>
          <cell r="H74">
            <v>1139.3499999999999</v>
          </cell>
          <cell r="I74">
            <v>616.41999999999996</v>
          </cell>
          <cell r="J74">
            <v>4.6900000000000004</v>
          </cell>
          <cell r="K74">
            <v>527.62</v>
          </cell>
          <cell r="L74">
            <v>46.14</v>
          </cell>
          <cell r="M74">
            <v>0.06</v>
          </cell>
        </row>
        <row r="75">
          <cell r="A75" t="str">
            <v>DOCOL</v>
          </cell>
          <cell r="B75">
            <v>1</v>
          </cell>
          <cell r="C75">
            <v>1071.8499999999999</v>
          </cell>
          <cell r="D75">
            <v>357.28</v>
          </cell>
          <cell r="E75">
            <v>0</v>
          </cell>
          <cell r="F75">
            <v>0</v>
          </cell>
          <cell r="G75">
            <v>0</v>
          </cell>
          <cell r="H75">
            <v>1071.8499999999999</v>
          </cell>
          <cell r="I75">
            <v>793.99</v>
          </cell>
          <cell r="J75">
            <v>0</v>
          </cell>
          <cell r="K75">
            <v>277.86</v>
          </cell>
          <cell r="L75">
            <v>25.92</v>
          </cell>
          <cell r="M75">
            <v>0.06</v>
          </cell>
        </row>
        <row r="76">
          <cell r="A76" t="str">
            <v>STARRETT INDUSTRIA E COMERCIO</v>
          </cell>
          <cell r="B76">
            <v>7</v>
          </cell>
          <cell r="C76">
            <v>965.78</v>
          </cell>
          <cell r="D76">
            <v>22.99</v>
          </cell>
          <cell r="E76">
            <v>0</v>
          </cell>
          <cell r="F76">
            <v>0</v>
          </cell>
          <cell r="G76">
            <v>0</v>
          </cell>
          <cell r="H76">
            <v>965.78</v>
          </cell>
          <cell r="I76">
            <v>556.71</v>
          </cell>
          <cell r="J76">
            <v>0</v>
          </cell>
          <cell r="K76">
            <v>409.07</v>
          </cell>
          <cell r="L76">
            <v>42.36</v>
          </cell>
          <cell r="M76">
            <v>0.05</v>
          </cell>
        </row>
        <row r="77">
          <cell r="A77" t="str">
            <v>ASTRA</v>
          </cell>
          <cell r="B77">
            <v>11</v>
          </cell>
          <cell r="C77">
            <v>955.2</v>
          </cell>
          <cell r="D77">
            <v>12.41</v>
          </cell>
          <cell r="E77">
            <v>0</v>
          </cell>
          <cell r="F77">
            <v>0</v>
          </cell>
          <cell r="G77">
            <v>66.7</v>
          </cell>
          <cell r="H77">
            <v>888.5</v>
          </cell>
          <cell r="I77">
            <v>536.91</v>
          </cell>
          <cell r="J77">
            <v>40.880000000000003</v>
          </cell>
          <cell r="K77">
            <v>392.47</v>
          </cell>
          <cell r="L77">
            <v>42.92</v>
          </cell>
          <cell r="M77">
            <v>0.05</v>
          </cell>
        </row>
        <row r="78">
          <cell r="A78" t="str">
            <v>HIDRACOR</v>
          </cell>
          <cell r="B78">
            <v>9</v>
          </cell>
          <cell r="C78">
            <v>954.96</v>
          </cell>
          <cell r="D78">
            <v>3.88</v>
          </cell>
          <cell r="E78">
            <v>0</v>
          </cell>
          <cell r="F78">
            <v>0</v>
          </cell>
          <cell r="G78">
            <v>0</v>
          </cell>
          <cell r="H78">
            <v>954.96</v>
          </cell>
          <cell r="I78">
            <v>432.41</v>
          </cell>
          <cell r="J78">
            <v>0</v>
          </cell>
          <cell r="K78">
            <v>522.54999999999995</v>
          </cell>
          <cell r="L78">
            <v>54.72</v>
          </cell>
          <cell r="M78">
            <v>0.05</v>
          </cell>
        </row>
        <row r="79">
          <cell r="A79" t="str">
            <v>ELIZABETH PORC.</v>
          </cell>
          <cell r="B79">
            <v>1</v>
          </cell>
          <cell r="C79">
            <v>953.83979999999997</v>
          </cell>
          <cell r="D79">
            <v>36.799999999999997</v>
          </cell>
          <cell r="E79">
            <v>0</v>
          </cell>
          <cell r="F79">
            <v>0</v>
          </cell>
          <cell r="G79">
            <v>0</v>
          </cell>
          <cell r="H79">
            <v>953.83979999999997</v>
          </cell>
          <cell r="I79">
            <v>666.17639999999994</v>
          </cell>
          <cell r="J79">
            <v>0</v>
          </cell>
          <cell r="K79">
            <v>287.66340000000002</v>
          </cell>
          <cell r="L79">
            <v>30.16</v>
          </cell>
          <cell r="M79">
            <v>0.05</v>
          </cell>
        </row>
        <row r="80">
          <cell r="A80" t="str">
            <v>ULTRACLEAN</v>
          </cell>
          <cell r="B80">
            <v>5</v>
          </cell>
          <cell r="C80">
            <v>933.8</v>
          </cell>
          <cell r="D80">
            <v>23.35</v>
          </cell>
          <cell r="E80">
            <v>0</v>
          </cell>
          <cell r="F80">
            <v>0</v>
          </cell>
          <cell r="G80">
            <v>0</v>
          </cell>
          <cell r="H80">
            <v>933.8</v>
          </cell>
          <cell r="I80">
            <v>556.94000000000005</v>
          </cell>
          <cell r="J80">
            <v>0</v>
          </cell>
          <cell r="K80">
            <v>376.86</v>
          </cell>
          <cell r="L80">
            <v>40.36</v>
          </cell>
          <cell r="M80">
            <v>0.05</v>
          </cell>
        </row>
        <row r="81">
          <cell r="A81" t="str">
            <v>KALIPSO</v>
          </cell>
          <cell r="B81">
            <v>5</v>
          </cell>
          <cell r="C81">
            <v>878</v>
          </cell>
          <cell r="D81">
            <v>6.55</v>
          </cell>
          <cell r="E81">
            <v>0</v>
          </cell>
          <cell r="F81">
            <v>0</v>
          </cell>
          <cell r="G81">
            <v>0</v>
          </cell>
          <cell r="H81">
            <v>878</v>
          </cell>
          <cell r="I81">
            <v>431.21</v>
          </cell>
          <cell r="J81">
            <v>0</v>
          </cell>
          <cell r="K81">
            <v>446.79</v>
          </cell>
          <cell r="L81">
            <v>50.89</v>
          </cell>
          <cell r="M81">
            <v>0.05</v>
          </cell>
        </row>
        <row r="82">
          <cell r="A82" t="str">
            <v>ARCELORMITTAL</v>
          </cell>
          <cell r="B82">
            <v>3</v>
          </cell>
          <cell r="C82">
            <v>794.03</v>
          </cell>
          <cell r="D82">
            <v>46.71</v>
          </cell>
          <cell r="E82">
            <v>0</v>
          </cell>
          <cell r="F82">
            <v>0</v>
          </cell>
          <cell r="G82">
            <v>0</v>
          </cell>
          <cell r="H82">
            <v>794.03</v>
          </cell>
          <cell r="I82">
            <v>467.91</v>
          </cell>
          <cell r="J82">
            <v>0</v>
          </cell>
          <cell r="K82">
            <v>326.12</v>
          </cell>
          <cell r="L82">
            <v>41.07</v>
          </cell>
          <cell r="M82">
            <v>0.04</v>
          </cell>
        </row>
        <row r="83">
          <cell r="A83" t="str">
            <v>SECALUX</v>
          </cell>
          <cell r="B83">
            <v>8</v>
          </cell>
          <cell r="C83">
            <v>774.5</v>
          </cell>
          <cell r="D83">
            <v>40.76</v>
          </cell>
          <cell r="E83">
            <v>0</v>
          </cell>
          <cell r="F83">
            <v>0</v>
          </cell>
          <cell r="G83">
            <v>0</v>
          </cell>
          <cell r="H83">
            <v>774.5</v>
          </cell>
          <cell r="I83">
            <v>475.25</v>
          </cell>
          <cell r="J83">
            <v>0</v>
          </cell>
          <cell r="K83">
            <v>299.25</v>
          </cell>
          <cell r="L83">
            <v>38.64</v>
          </cell>
          <cell r="M83">
            <v>0.04</v>
          </cell>
        </row>
        <row r="84">
          <cell r="A84" t="str">
            <v>BOSCH</v>
          </cell>
          <cell r="B84">
            <v>3</v>
          </cell>
          <cell r="C84">
            <v>736.23</v>
          </cell>
          <cell r="D84">
            <v>245.41</v>
          </cell>
          <cell r="E84">
            <v>0</v>
          </cell>
          <cell r="F84">
            <v>0</v>
          </cell>
          <cell r="G84">
            <v>0</v>
          </cell>
          <cell r="H84">
            <v>736.23</v>
          </cell>
          <cell r="I84">
            <v>473.85</v>
          </cell>
          <cell r="J84">
            <v>0</v>
          </cell>
          <cell r="K84">
            <v>262.38</v>
          </cell>
          <cell r="L84">
            <v>35.64</v>
          </cell>
          <cell r="M84">
            <v>0.04</v>
          </cell>
        </row>
        <row r="85">
          <cell r="A85" t="str">
            <v>FORTLINE</v>
          </cell>
          <cell r="B85">
            <v>2</v>
          </cell>
          <cell r="C85">
            <v>691.2</v>
          </cell>
          <cell r="D85">
            <v>115.2</v>
          </cell>
          <cell r="E85">
            <v>0</v>
          </cell>
          <cell r="F85">
            <v>0</v>
          </cell>
          <cell r="G85">
            <v>67.900000000000006</v>
          </cell>
          <cell r="H85">
            <v>623.29999999999995</v>
          </cell>
          <cell r="I85">
            <v>422.62</v>
          </cell>
          <cell r="J85">
            <v>40.08</v>
          </cell>
          <cell r="K85">
            <v>240.76</v>
          </cell>
          <cell r="L85">
            <v>36.979999999999997</v>
          </cell>
          <cell r="M85">
            <v>0.04</v>
          </cell>
        </row>
        <row r="86">
          <cell r="A86" t="str">
            <v>COZIMAX</v>
          </cell>
          <cell r="B86">
            <v>5</v>
          </cell>
          <cell r="C86">
            <v>647.6</v>
          </cell>
          <cell r="D86">
            <v>129.52000000000001</v>
          </cell>
          <cell r="E86">
            <v>0</v>
          </cell>
          <cell r="F86">
            <v>0</v>
          </cell>
          <cell r="G86">
            <v>0</v>
          </cell>
          <cell r="H86">
            <v>647.6</v>
          </cell>
          <cell r="I86">
            <v>376.17</v>
          </cell>
          <cell r="J86">
            <v>0</v>
          </cell>
          <cell r="K86">
            <v>271.43</v>
          </cell>
          <cell r="L86">
            <v>41.91</v>
          </cell>
          <cell r="M86">
            <v>0.03</v>
          </cell>
        </row>
        <row r="87">
          <cell r="A87" t="str">
            <v>TRAMONTINA</v>
          </cell>
          <cell r="B87">
            <v>3</v>
          </cell>
          <cell r="C87">
            <v>646.51</v>
          </cell>
          <cell r="D87">
            <v>43.1</v>
          </cell>
          <cell r="E87">
            <v>0</v>
          </cell>
          <cell r="F87">
            <v>0</v>
          </cell>
          <cell r="G87">
            <v>0</v>
          </cell>
          <cell r="H87">
            <v>646.51</v>
          </cell>
          <cell r="I87">
            <v>385.77</v>
          </cell>
          <cell r="J87">
            <v>0</v>
          </cell>
          <cell r="K87">
            <v>260.74</v>
          </cell>
          <cell r="L87">
            <v>40.33</v>
          </cell>
          <cell r="M87">
            <v>0.03</v>
          </cell>
        </row>
        <row r="88">
          <cell r="A88" t="str">
            <v>ONDULINE</v>
          </cell>
          <cell r="B88">
            <v>2</v>
          </cell>
          <cell r="C88">
            <v>575.66</v>
          </cell>
          <cell r="D88">
            <v>82.24</v>
          </cell>
          <cell r="E88">
            <v>0</v>
          </cell>
          <cell r="F88">
            <v>0</v>
          </cell>
          <cell r="G88">
            <v>0</v>
          </cell>
          <cell r="H88">
            <v>575.66</v>
          </cell>
          <cell r="I88">
            <v>397.21</v>
          </cell>
          <cell r="J88">
            <v>0</v>
          </cell>
          <cell r="K88">
            <v>178.45</v>
          </cell>
          <cell r="L88">
            <v>31</v>
          </cell>
          <cell r="M88">
            <v>0.03</v>
          </cell>
        </row>
        <row r="89">
          <cell r="A89" t="str">
            <v>LEDAN</v>
          </cell>
          <cell r="B89">
            <v>3</v>
          </cell>
          <cell r="C89">
            <v>533.76</v>
          </cell>
          <cell r="D89">
            <v>23.21</v>
          </cell>
          <cell r="E89">
            <v>0</v>
          </cell>
          <cell r="F89">
            <v>0</v>
          </cell>
          <cell r="G89">
            <v>0</v>
          </cell>
          <cell r="H89">
            <v>533.76</v>
          </cell>
          <cell r="I89">
            <v>333.52</v>
          </cell>
          <cell r="J89">
            <v>0</v>
          </cell>
          <cell r="K89">
            <v>200.24</v>
          </cell>
          <cell r="L89">
            <v>37.51</v>
          </cell>
          <cell r="M89">
            <v>0.03</v>
          </cell>
        </row>
        <row r="90">
          <cell r="A90" t="str">
            <v>LGMAIS</v>
          </cell>
          <cell r="B90">
            <v>2</v>
          </cell>
          <cell r="C90">
            <v>520.6</v>
          </cell>
          <cell r="D90">
            <v>130.15</v>
          </cell>
          <cell r="E90">
            <v>0</v>
          </cell>
          <cell r="F90">
            <v>0</v>
          </cell>
          <cell r="G90">
            <v>0</v>
          </cell>
          <cell r="H90">
            <v>520.6</v>
          </cell>
          <cell r="I90">
            <v>579.09</v>
          </cell>
          <cell r="J90">
            <v>0</v>
          </cell>
          <cell r="K90">
            <v>-58.49</v>
          </cell>
          <cell r="L90">
            <v>0</v>
          </cell>
          <cell r="M90">
            <v>0.03</v>
          </cell>
        </row>
        <row r="91">
          <cell r="A91" t="str">
            <v>J LOBATO</v>
          </cell>
          <cell r="B91">
            <v>4</v>
          </cell>
          <cell r="C91">
            <v>363.56</v>
          </cell>
          <cell r="D91">
            <v>33.049999999999997</v>
          </cell>
          <cell r="E91">
            <v>0</v>
          </cell>
          <cell r="F91">
            <v>0</v>
          </cell>
          <cell r="G91">
            <v>0</v>
          </cell>
          <cell r="H91">
            <v>363.56</v>
          </cell>
          <cell r="I91">
            <v>164.87</v>
          </cell>
          <cell r="J91">
            <v>0</v>
          </cell>
          <cell r="K91">
            <v>198.69</v>
          </cell>
          <cell r="L91">
            <v>54.65</v>
          </cell>
          <cell r="M91">
            <v>0.02</v>
          </cell>
        </row>
        <row r="92">
          <cell r="A92" t="str">
            <v>VONDER</v>
          </cell>
          <cell r="B92">
            <v>4</v>
          </cell>
          <cell r="C92">
            <v>350</v>
          </cell>
          <cell r="D92">
            <v>19.440000000000001</v>
          </cell>
          <cell r="E92">
            <v>0</v>
          </cell>
          <cell r="F92">
            <v>0</v>
          </cell>
          <cell r="G92">
            <v>0</v>
          </cell>
          <cell r="H92">
            <v>350</v>
          </cell>
          <cell r="I92">
            <v>179.03</v>
          </cell>
          <cell r="J92">
            <v>0</v>
          </cell>
          <cell r="K92">
            <v>170.97</v>
          </cell>
          <cell r="L92">
            <v>48.85</v>
          </cell>
          <cell r="M92">
            <v>0.02</v>
          </cell>
        </row>
        <row r="93">
          <cell r="A93" t="str">
            <v>GERDAU</v>
          </cell>
          <cell r="B93">
            <v>5</v>
          </cell>
          <cell r="C93">
            <v>334.95</v>
          </cell>
          <cell r="D93">
            <v>25.77</v>
          </cell>
          <cell r="E93">
            <v>0</v>
          </cell>
          <cell r="F93">
            <v>0</v>
          </cell>
          <cell r="G93">
            <v>0</v>
          </cell>
          <cell r="H93">
            <v>334.95</v>
          </cell>
          <cell r="I93">
            <v>177.63</v>
          </cell>
          <cell r="J93">
            <v>0</v>
          </cell>
          <cell r="K93">
            <v>157.32</v>
          </cell>
          <cell r="L93">
            <v>46.97</v>
          </cell>
          <cell r="M93">
            <v>0.02</v>
          </cell>
        </row>
        <row r="94">
          <cell r="A94" t="str">
            <v>BLACK ELEPHANT</v>
          </cell>
          <cell r="B94">
            <v>4</v>
          </cell>
          <cell r="C94">
            <v>333.16</v>
          </cell>
          <cell r="D94">
            <v>23.8</v>
          </cell>
          <cell r="E94">
            <v>0</v>
          </cell>
          <cell r="F94">
            <v>0</v>
          </cell>
          <cell r="G94">
            <v>23.9</v>
          </cell>
          <cell r="H94">
            <v>309.26</v>
          </cell>
          <cell r="I94">
            <v>181.72</v>
          </cell>
          <cell r="J94">
            <v>12.98</v>
          </cell>
          <cell r="K94">
            <v>140.52000000000001</v>
          </cell>
          <cell r="L94">
            <v>43.89</v>
          </cell>
          <cell r="M94">
            <v>0.02</v>
          </cell>
        </row>
        <row r="95">
          <cell r="A95" t="str">
            <v>Max-Giro</v>
          </cell>
          <cell r="B95">
            <v>4</v>
          </cell>
          <cell r="C95">
            <v>330.1</v>
          </cell>
          <cell r="D95">
            <v>13.75</v>
          </cell>
          <cell r="E95">
            <v>0</v>
          </cell>
          <cell r="F95">
            <v>0</v>
          </cell>
          <cell r="G95">
            <v>0</v>
          </cell>
          <cell r="H95">
            <v>330.1</v>
          </cell>
          <cell r="I95">
            <v>177.98</v>
          </cell>
          <cell r="J95">
            <v>0</v>
          </cell>
          <cell r="K95">
            <v>152.12</v>
          </cell>
          <cell r="L95">
            <v>46.08</v>
          </cell>
          <cell r="M95">
            <v>0.02</v>
          </cell>
        </row>
        <row r="96">
          <cell r="A96" t="str">
            <v>BRASFORT</v>
          </cell>
          <cell r="B96">
            <v>4</v>
          </cell>
          <cell r="C96">
            <v>326.97000000000003</v>
          </cell>
          <cell r="D96">
            <v>18.170000000000002</v>
          </cell>
          <cell r="E96">
            <v>0</v>
          </cell>
          <cell r="F96">
            <v>0</v>
          </cell>
          <cell r="G96">
            <v>0</v>
          </cell>
          <cell r="H96">
            <v>326.97000000000003</v>
          </cell>
          <cell r="I96">
            <v>201.5</v>
          </cell>
          <cell r="J96">
            <v>0</v>
          </cell>
          <cell r="K96">
            <v>125.47</v>
          </cell>
          <cell r="L96">
            <v>38.369999999999997</v>
          </cell>
          <cell r="M96">
            <v>0.02</v>
          </cell>
        </row>
        <row r="97">
          <cell r="A97" t="str">
            <v>DUDA</v>
          </cell>
          <cell r="B97">
            <v>2</v>
          </cell>
          <cell r="C97">
            <v>322.92</v>
          </cell>
          <cell r="D97">
            <v>29.9</v>
          </cell>
          <cell r="E97">
            <v>0</v>
          </cell>
          <cell r="F97">
            <v>0</v>
          </cell>
          <cell r="G97">
            <v>71.760000000000005</v>
          </cell>
          <cell r="H97">
            <v>251.16</v>
          </cell>
          <cell r="I97">
            <v>211.14</v>
          </cell>
          <cell r="J97">
            <v>46.103999999999999</v>
          </cell>
          <cell r="K97">
            <v>86.123999999999995</v>
          </cell>
          <cell r="L97">
            <v>31.11</v>
          </cell>
          <cell r="M97">
            <v>0.02</v>
          </cell>
        </row>
        <row r="98">
          <cell r="A98" t="str">
            <v>COMFORT DOOR</v>
          </cell>
          <cell r="B98">
            <v>4</v>
          </cell>
          <cell r="C98">
            <v>283.8</v>
          </cell>
          <cell r="D98">
            <v>40.54</v>
          </cell>
          <cell r="E98">
            <v>0</v>
          </cell>
          <cell r="F98">
            <v>0</v>
          </cell>
          <cell r="G98">
            <v>0</v>
          </cell>
          <cell r="H98">
            <v>283.8</v>
          </cell>
          <cell r="I98">
            <v>156.75</v>
          </cell>
          <cell r="J98">
            <v>0</v>
          </cell>
          <cell r="K98">
            <v>127.05</v>
          </cell>
          <cell r="L98">
            <v>44.77</v>
          </cell>
          <cell r="M98">
            <v>0.01</v>
          </cell>
        </row>
        <row r="99">
          <cell r="A99" t="str">
            <v>TRAMONTINA ELETRIK S.A.</v>
          </cell>
          <cell r="B99">
            <v>3</v>
          </cell>
          <cell r="C99">
            <v>238.69</v>
          </cell>
          <cell r="D99">
            <v>14.04</v>
          </cell>
          <cell r="E99">
            <v>0</v>
          </cell>
          <cell r="F99">
            <v>0</v>
          </cell>
          <cell r="G99">
            <v>26.57</v>
          </cell>
          <cell r="H99">
            <v>212.12</v>
          </cell>
          <cell r="I99">
            <v>143.21</v>
          </cell>
          <cell r="J99">
            <v>15.44</v>
          </cell>
          <cell r="K99">
            <v>84.35</v>
          </cell>
          <cell r="L99">
            <v>37.78</v>
          </cell>
          <cell r="M99">
            <v>0.01</v>
          </cell>
        </row>
        <row r="100">
          <cell r="A100" t="str">
            <v>ILUMI</v>
          </cell>
          <cell r="B100">
            <v>2</v>
          </cell>
          <cell r="C100">
            <v>218.96</v>
          </cell>
          <cell r="D100">
            <v>16.84</v>
          </cell>
          <cell r="E100">
            <v>0</v>
          </cell>
          <cell r="F100">
            <v>0</v>
          </cell>
          <cell r="G100">
            <v>0</v>
          </cell>
          <cell r="H100">
            <v>218.96</v>
          </cell>
          <cell r="I100">
            <v>115.76</v>
          </cell>
          <cell r="J100">
            <v>0</v>
          </cell>
          <cell r="K100">
            <v>103.2</v>
          </cell>
          <cell r="L100">
            <v>47.13</v>
          </cell>
          <cell r="M100">
            <v>0.01</v>
          </cell>
        </row>
        <row r="101">
          <cell r="A101" t="str">
            <v>STAM</v>
          </cell>
          <cell r="B101">
            <v>2</v>
          </cell>
          <cell r="C101">
            <v>210.7</v>
          </cell>
          <cell r="D101">
            <v>70.23</v>
          </cell>
          <cell r="E101">
            <v>0</v>
          </cell>
          <cell r="F101">
            <v>0</v>
          </cell>
          <cell r="G101">
            <v>72.900000000000006</v>
          </cell>
          <cell r="H101">
            <v>137.80000000000001</v>
          </cell>
          <cell r="I101">
            <v>116.27</v>
          </cell>
          <cell r="J101">
            <v>38.53</v>
          </cell>
          <cell r="K101">
            <v>60.06</v>
          </cell>
          <cell r="L101">
            <v>34.880000000000003</v>
          </cell>
          <cell r="M101">
            <v>0.01</v>
          </cell>
        </row>
        <row r="102">
          <cell r="A102" t="str">
            <v>FRANKE</v>
          </cell>
          <cell r="B102">
            <v>1</v>
          </cell>
          <cell r="C102">
            <v>179.35</v>
          </cell>
          <cell r="D102">
            <v>179.35</v>
          </cell>
          <cell r="E102">
            <v>0</v>
          </cell>
          <cell r="F102">
            <v>0</v>
          </cell>
          <cell r="G102">
            <v>0</v>
          </cell>
          <cell r="H102">
            <v>179.35</v>
          </cell>
          <cell r="I102">
            <v>96.54</v>
          </cell>
          <cell r="J102">
            <v>0</v>
          </cell>
          <cell r="K102">
            <v>82.81</v>
          </cell>
          <cell r="L102">
            <v>46.17</v>
          </cell>
          <cell r="M102">
            <v>0.01</v>
          </cell>
        </row>
        <row r="103">
          <cell r="A103" t="str">
            <v>RANCAN</v>
          </cell>
          <cell r="B103">
            <v>1</v>
          </cell>
          <cell r="C103">
            <v>177.9</v>
          </cell>
          <cell r="D103">
            <v>59.3</v>
          </cell>
          <cell r="E103">
            <v>0</v>
          </cell>
          <cell r="F103">
            <v>0</v>
          </cell>
          <cell r="G103">
            <v>0</v>
          </cell>
          <cell r="H103">
            <v>177.9</v>
          </cell>
          <cell r="I103">
            <v>94.05</v>
          </cell>
          <cell r="J103">
            <v>0</v>
          </cell>
          <cell r="K103">
            <v>83.85</v>
          </cell>
          <cell r="L103">
            <v>47.13</v>
          </cell>
          <cell r="M103">
            <v>0.01</v>
          </cell>
        </row>
        <row r="104">
          <cell r="A104" t="str">
            <v>OVERTIME</v>
          </cell>
          <cell r="B104">
            <v>2</v>
          </cell>
          <cell r="C104">
            <v>161.9</v>
          </cell>
          <cell r="D104">
            <v>26.98</v>
          </cell>
          <cell r="E104">
            <v>0</v>
          </cell>
          <cell r="F104">
            <v>0</v>
          </cell>
          <cell r="G104">
            <v>0</v>
          </cell>
          <cell r="H104">
            <v>161.9</v>
          </cell>
          <cell r="I104">
            <v>97.58</v>
          </cell>
          <cell r="J104">
            <v>0</v>
          </cell>
          <cell r="K104">
            <v>64.319999999999993</v>
          </cell>
          <cell r="L104">
            <v>39.729999999999997</v>
          </cell>
          <cell r="M104">
            <v>0.01</v>
          </cell>
        </row>
        <row r="105">
          <cell r="A105" t="str">
            <v xml:space="preserve"> RESISWAL</v>
          </cell>
          <cell r="B105">
            <v>2</v>
          </cell>
          <cell r="C105">
            <v>131.69999999999999</v>
          </cell>
          <cell r="D105">
            <v>43.9</v>
          </cell>
          <cell r="E105">
            <v>0</v>
          </cell>
          <cell r="F105">
            <v>0</v>
          </cell>
          <cell r="G105">
            <v>0</v>
          </cell>
          <cell r="H105">
            <v>131.69999999999999</v>
          </cell>
          <cell r="I105">
            <v>72.900000000000006</v>
          </cell>
          <cell r="J105">
            <v>0</v>
          </cell>
          <cell r="K105">
            <v>58.8</v>
          </cell>
          <cell r="L105">
            <v>44.65</v>
          </cell>
          <cell r="M105">
            <v>0.01</v>
          </cell>
        </row>
        <row r="106">
          <cell r="A106" t="str">
            <v>PHILIPS ILUMINACAO LA</v>
          </cell>
          <cell r="B106">
            <v>1</v>
          </cell>
          <cell r="C106">
            <v>113.2</v>
          </cell>
          <cell r="D106">
            <v>9.43</v>
          </cell>
          <cell r="E106">
            <v>0</v>
          </cell>
          <cell r="F106">
            <v>0</v>
          </cell>
          <cell r="G106">
            <v>0</v>
          </cell>
          <cell r="H106">
            <v>113.2</v>
          </cell>
          <cell r="I106">
            <v>67.680000000000007</v>
          </cell>
          <cell r="J106">
            <v>0</v>
          </cell>
          <cell r="K106">
            <v>45.52</v>
          </cell>
          <cell r="L106">
            <v>40.21</v>
          </cell>
          <cell r="M106">
            <v>0.01</v>
          </cell>
        </row>
        <row r="107">
          <cell r="A107" t="str">
            <v>NOVA FIXACAO</v>
          </cell>
          <cell r="B107">
            <v>1</v>
          </cell>
          <cell r="C107">
            <v>110.09</v>
          </cell>
          <cell r="D107">
            <v>1.83</v>
          </cell>
          <cell r="E107">
            <v>0</v>
          </cell>
          <cell r="F107">
            <v>0</v>
          </cell>
          <cell r="G107">
            <v>0</v>
          </cell>
          <cell r="H107">
            <v>110.09</v>
          </cell>
          <cell r="I107">
            <v>62.25</v>
          </cell>
          <cell r="J107">
            <v>0</v>
          </cell>
          <cell r="K107">
            <v>47.84</v>
          </cell>
          <cell r="L107">
            <v>43.46</v>
          </cell>
          <cell r="M107">
            <v>0.01</v>
          </cell>
        </row>
        <row r="108">
          <cell r="A108" t="str">
            <v>INCA</v>
          </cell>
          <cell r="B108">
            <v>3</v>
          </cell>
          <cell r="C108">
            <v>60.3</v>
          </cell>
          <cell r="D108">
            <v>7.54</v>
          </cell>
          <cell r="E108">
            <v>0</v>
          </cell>
          <cell r="F108">
            <v>0</v>
          </cell>
          <cell r="G108">
            <v>0</v>
          </cell>
          <cell r="H108">
            <v>60.3</v>
          </cell>
          <cell r="I108">
            <v>31.58</v>
          </cell>
          <cell r="J108">
            <v>0</v>
          </cell>
          <cell r="K108">
            <v>28.72</v>
          </cell>
          <cell r="L108">
            <v>47.63</v>
          </cell>
          <cell r="M108">
            <v>0</v>
          </cell>
        </row>
        <row r="109">
          <cell r="A109" t="str">
            <v>TRAMONTINA NORDESTE</v>
          </cell>
          <cell r="B109">
            <v>2</v>
          </cell>
          <cell r="C109">
            <v>53.7</v>
          </cell>
          <cell r="D109">
            <v>13.43</v>
          </cell>
          <cell r="E109">
            <v>0</v>
          </cell>
          <cell r="F109">
            <v>0</v>
          </cell>
          <cell r="G109">
            <v>14.03</v>
          </cell>
          <cell r="H109">
            <v>39.67</v>
          </cell>
          <cell r="I109">
            <v>29.1</v>
          </cell>
          <cell r="J109">
            <v>7.78</v>
          </cell>
          <cell r="K109">
            <v>18.350000000000001</v>
          </cell>
          <cell r="L109">
            <v>39.96</v>
          </cell>
          <cell r="M109">
            <v>0</v>
          </cell>
        </row>
        <row r="110">
          <cell r="A110" t="str">
            <v>PINTSILK</v>
          </cell>
          <cell r="B110">
            <v>1</v>
          </cell>
          <cell r="C110">
            <v>51.9</v>
          </cell>
          <cell r="D110">
            <v>51.9</v>
          </cell>
          <cell r="E110">
            <v>0</v>
          </cell>
          <cell r="F110">
            <v>0</v>
          </cell>
          <cell r="G110">
            <v>0</v>
          </cell>
          <cell r="H110">
            <v>51.9</v>
          </cell>
          <cell r="I110">
            <v>25.96</v>
          </cell>
          <cell r="J110">
            <v>0</v>
          </cell>
          <cell r="K110">
            <v>25.94</v>
          </cell>
          <cell r="L110">
            <v>49.98</v>
          </cell>
          <cell r="M110">
            <v>0</v>
          </cell>
        </row>
        <row r="111">
          <cell r="A111" t="str">
            <v>EMPLAC</v>
          </cell>
          <cell r="B111">
            <v>2</v>
          </cell>
          <cell r="C111">
            <v>49.3</v>
          </cell>
          <cell r="D111">
            <v>9.86</v>
          </cell>
          <cell r="E111">
            <v>0</v>
          </cell>
          <cell r="F111">
            <v>0</v>
          </cell>
          <cell r="G111">
            <v>0</v>
          </cell>
          <cell r="H111">
            <v>49.3</v>
          </cell>
          <cell r="I111">
            <v>21.5</v>
          </cell>
          <cell r="J111">
            <v>0</v>
          </cell>
          <cell r="K111">
            <v>27.8</v>
          </cell>
          <cell r="L111">
            <v>56.39</v>
          </cell>
          <cell r="M111">
            <v>0</v>
          </cell>
        </row>
        <row r="112">
          <cell r="A112" t="str">
            <v>EXTRALUZ</v>
          </cell>
          <cell r="B112">
            <v>1</v>
          </cell>
          <cell r="C112">
            <v>43.3</v>
          </cell>
          <cell r="D112">
            <v>21.65</v>
          </cell>
          <cell r="E112">
            <v>0</v>
          </cell>
          <cell r="F112">
            <v>0</v>
          </cell>
          <cell r="G112">
            <v>0</v>
          </cell>
          <cell r="H112">
            <v>43.3</v>
          </cell>
          <cell r="I112">
            <v>26.45</v>
          </cell>
          <cell r="J112">
            <v>0</v>
          </cell>
          <cell r="K112">
            <v>16.850000000000001</v>
          </cell>
          <cell r="L112">
            <v>38.909999999999997</v>
          </cell>
          <cell r="M112">
            <v>0</v>
          </cell>
        </row>
        <row r="113">
          <cell r="A113" t="str">
            <v>ATTENA</v>
          </cell>
          <cell r="B113">
            <v>1</v>
          </cell>
          <cell r="C113">
            <v>41.9</v>
          </cell>
          <cell r="D113">
            <v>41.9</v>
          </cell>
          <cell r="E113">
            <v>0</v>
          </cell>
          <cell r="F113">
            <v>0</v>
          </cell>
          <cell r="G113">
            <v>0</v>
          </cell>
          <cell r="H113">
            <v>41.9</v>
          </cell>
          <cell r="I113">
            <v>26.43</v>
          </cell>
          <cell r="J113">
            <v>0</v>
          </cell>
          <cell r="K113">
            <v>15.47</v>
          </cell>
          <cell r="L113">
            <v>36.92</v>
          </cell>
          <cell r="M113">
            <v>0</v>
          </cell>
        </row>
        <row r="114">
          <cell r="A114" t="str">
            <v>KAPAZI</v>
          </cell>
          <cell r="B114">
            <v>1</v>
          </cell>
          <cell r="C114">
            <v>36.9</v>
          </cell>
          <cell r="D114">
            <v>36.9</v>
          </cell>
          <cell r="E114">
            <v>0</v>
          </cell>
          <cell r="F114">
            <v>0</v>
          </cell>
          <cell r="G114">
            <v>0</v>
          </cell>
          <cell r="H114">
            <v>36.9</v>
          </cell>
          <cell r="I114">
            <v>21.45</v>
          </cell>
          <cell r="J114">
            <v>0</v>
          </cell>
          <cell r="K114">
            <v>15.45</v>
          </cell>
          <cell r="L114">
            <v>41.87</v>
          </cell>
          <cell r="M114">
            <v>0</v>
          </cell>
        </row>
        <row r="115">
          <cell r="A115" t="str">
            <v>INJEPLAST</v>
          </cell>
          <cell r="B115">
            <v>2</v>
          </cell>
          <cell r="C115">
            <v>36</v>
          </cell>
          <cell r="D115">
            <v>0.4</v>
          </cell>
          <cell r="E115">
            <v>0</v>
          </cell>
          <cell r="F115">
            <v>0</v>
          </cell>
          <cell r="G115">
            <v>0</v>
          </cell>
          <cell r="H115">
            <v>36</v>
          </cell>
          <cell r="I115">
            <v>16.2</v>
          </cell>
          <cell r="J115">
            <v>0</v>
          </cell>
          <cell r="K115">
            <v>19.8</v>
          </cell>
          <cell r="L115">
            <v>55</v>
          </cell>
          <cell r="M115">
            <v>0</v>
          </cell>
        </row>
        <row r="116">
          <cell r="A116" t="str">
            <v>PADOVA</v>
          </cell>
          <cell r="B116">
            <v>1</v>
          </cell>
          <cell r="C116">
            <v>23.9</v>
          </cell>
          <cell r="D116">
            <v>23.9</v>
          </cell>
          <cell r="E116">
            <v>0</v>
          </cell>
          <cell r="F116">
            <v>0</v>
          </cell>
          <cell r="G116">
            <v>0</v>
          </cell>
          <cell r="H116">
            <v>23.9</v>
          </cell>
          <cell r="I116">
            <v>14.66</v>
          </cell>
          <cell r="J116">
            <v>0</v>
          </cell>
          <cell r="K116">
            <v>9.24</v>
          </cell>
          <cell r="L116">
            <v>38.659999999999997</v>
          </cell>
          <cell r="M116">
            <v>0</v>
          </cell>
        </row>
        <row r="117">
          <cell r="A117" t="str">
            <v>outros</v>
          </cell>
          <cell r="B117">
            <v>0</v>
          </cell>
          <cell r="C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SET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185</v>
          </cell>
          <cell r="C2">
            <v>201085.05669999999</v>
          </cell>
          <cell r="D2">
            <v>32.61</v>
          </cell>
          <cell r="E2">
            <v>0</v>
          </cell>
          <cell r="F2">
            <v>0</v>
          </cell>
          <cell r="G2">
            <v>8751.6111999999994</v>
          </cell>
          <cell r="H2">
            <v>192333.4455</v>
          </cell>
          <cell r="I2">
            <v>127649.0845</v>
          </cell>
          <cell r="J2">
            <v>5484.29</v>
          </cell>
          <cell r="K2">
            <v>70168.650999999998</v>
          </cell>
          <cell r="L2">
            <v>35.869999999999997</v>
          </cell>
          <cell r="M2">
            <v>12.67</v>
          </cell>
        </row>
        <row r="3">
          <cell r="A3" t="str">
            <v>POINTER</v>
          </cell>
          <cell r="B3">
            <v>127</v>
          </cell>
          <cell r="C3">
            <v>147071.88800000001</v>
          </cell>
          <cell r="D3">
            <v>34.26</v>
          </cell>
          <cell r="E3">
            <v>0</v>
          </cell>
          <cell r="F3">
            <v>0</v>
          </cell>
          <cell r="G3">
            <v>1708.1904</v>
          </cell>
          <cell r="H3">
            <v>145363.69760000001</v>
          </cell>
          <cell r="I3">
            <v>94534.387799999997</v>
          </cell>
          <cell r="J3">
            <v>1149.5699</v>
          </cell>
          <cell r="K3">
            <v>51978.879699999998</v>
          </cell>
          <cell r="L3">
            <v>35.619999999999997</v>
          </cell>
          <cell r="M3">
            <v>9.26</v>
          </cell>
        </row>
        <row r="4">
          <cell r="A4" t="str">
            <v>ARIELLE</v>
          </cell>
          <cell r="B4">
            <v>136</v>
          </cell>
          <cell r="C4">
            <v>140203.74950000001</v>
          </cell>
          <cell r="D4">
            <v>34.04</v>
          </cell>
          <cell r="E4">
            <v>0</v>
          </cell>
          <cell r="F4">
            <v>0</v>
          </cell>
          <cell r="G4">
            <v>1480.1378</v>
          </cell>
          <cell r="H4">
            <v>138723.61170000001</v>
          </cell>
          <cell r="I4">
            <v>88321.425700000007</v>
          </cell>
          <cell r="J4">
            <v>940.46810000000005</v>
          </cell>
          <cell r="K4">
            <v>51342.6541</v>
          </cell>
          <cell r="L4">
            <v>36.869999999999997</v>
          </cell>
          <cell r="M4">
            <v>8.83</v>
          </cell>
        </row>
        <row r="5">
          <cell r="A5" t="str">
            <v>IQUINE</v>
          </cell>
          <cell r="B5">
            <v>80</v>
          </cell>
          <cell r="C5">
            <v>125473.38</v>
          </cell>
          <cell r="D5">
            <v>31.26</v>
          </cell>
          <cell r="E5">
            <v>0</v>
          </cell>
          <cell r="F5">
            <v>0</v>
          </cell>
          <cell r="G5">
            <v>1325.03</v>
          </cell>
          <cell r="H5">
            <v>124148.35</v>
          </cell>
          <cell r="I5">
            <v>75768.389599999995</v>
          </cell>
          <cell r="J5">
            <v>892.02</v>
          </cell>
          <cell r="K5">
            <v>49271.9804</v>
          </cell>
          <cell r="L5">
            <v>39.549999999999997</v>
          </cell>
          <cell r="M5">
            <v>7.9</v>
          </cell>
        </row>
        <row r="6">
          <cell r="A6" t="str">
            <v>DO MESTRE</v>
          </cell>
          <cell r="B6">
            <v>239</v>
          </cell>
          <cell r="C6">
            <v>118802.77</v>
          </cell>
          <cell r="D6">
            <v>24.16</v>
          </cell>
          <cell r="E6">
            <v>0</v>
          </cell>
          <cell r="F6">
            <v>0</v>
          </cell>
          <cell r="G6">
            <v>2560.65</v>
          </cell>
          <cell r="H6">
            <v>116242.12</v>
          </cell>
          <cell r="I6">
            <v>66401.47</v>
          </cell>
          <cell r="J6">
            <v>1441.74</v>
          </cell>
          <cell r="K6">
            <v>51282.39</v>
          </cell>
          <cell r="L6">
            <v>43.7</v>
          </cell>
          <cell r="M6">
            <v>7.48</v>
          </cell>
        </row>
        <row r="7">
          <cell r="A7" t="str">
            <v>MEGAÓ</v>
          </cell>
          <cell r="B7">
            <v>69</v>
          </cell>
          <cell r="C7">
            <v>109747.19</v>
          </cell>
          <cell r="D7">
            <v>59.32</v>
          </cell>
          <cell r="E7">
            <v>0</v>
          </cell>
          <cell r="F7">
            <v>0</v>
          </cell>
          <cell r="G7">
            <v>1748.99</v>
          </cell>
          <cell r="H7">
            <v>107998.2</v>
          </cell>
          <cell r="I7">
            <v>66871.789999999994</v>
          </cell>
          <cell r="J7">
            <v>1144.05</v>
          </cell>
          <cell r="K7">
            <v>42270.46</v>
          </cell>
          <cell r="L7">
            <v>38.92</v>
          </cell>
          <cell r="M7">
            <v>6.91</v>
          </cell>
        </row>
        <row r="8">
          <cell r="A8" t="str">
            <v>WEBER QUARTZOLIT</v>
          </cell>
          <cell r="B8">
            <v>128</v>
          </cell>
          <cell r="C8">
            <v>58141.93</v>
          </cell>
          <cell r="D8">
            <v>36.5</v>
          </cell>
          <cell r="E8">
            <v>0</v>
          </cell>
          <cell r="F8">
            <v>0</v>
          </cell>
          <cell r="G8">
            <v>754.05</v>
          </cell>
          <cell r="H8">
            <v>57387.88</v>
          </cell>
          <cell r="I8">
            <v>36311.32</v>
          </cell>
          <cell r="J8">
            <v>452.81</v>
          </cell>
          <cell r="K8">
            <v>21529.37</v>
          </cell>
          <cell r="L8">
            <v>37.32</v>
          </cell>
          <cell r="M8">
            <v>3.66</v>
          </cell>
        </row>
        <row r="9">
          <cell r="A9" t="str">
            <v>ROCA</v>
          </cell>
          <cell r="B9">
            <v>56</v>
          </cell>
          <cell r="C9">
            <v>53449.72</v>
          </cell>
          <cell r="D9">
            <v>198.7</v>
          </cell>
          <cell r="E9">
            <v>0</v>
          </cell>
          <cell r="F9">
            <v>0</v>
          </cell>
          <cell r="G9">
            <v>1980.28</v>
          </cell>
          <cell r="H9">
            <v>51469.440000000002</v>
          </cell>
          <cell r="I9">
            <v>36153.51</v>
          </cell>
          <cell r="J9">
            <v>1321.64</v>
          </cell>
          <cell r="K9">
            <v>16637.57</v>
          </cell>
          <cell r="L9">
            <v>31.92</v>
          </cell>
          <cell r="M9">
            <v>3.37</v>
          </cell>
        </row>
        <row r="10">
          <cell r="A10" t="str">
            <v>TECNOGRES</v>
          </cell>
          <cell r="B10">
            <v>42</v>
          </cell>
          <cell r="C10">
            <v>51064.191400000003</v>
          </cell>
          <cell r="D10">
            <v>46.42</v>
          </cell>
          <cell r="E10">
            <v>0</v>
          </cell>
          <cell r="F10">
            <v>0</v>
          </cell>
          <cell r="G10">
            <v>939.60050000000001</v>
          </cell>
          <cell r="H10">
            <v>50124.590900000003</v>
          </cell>
          <cell r="I10">
            <v>28135.607</v>
          </cell>
          <cell r="J10">
            <v>469.1952</v>
          </cell>
          <cell r="K10">
            <v>22458.179100000001</v>
          </cell>
          <cell r="L10">
            <v>44.39</v>
          </cell>
          <cell r="M10">
            <v>3.22</v>
          </cell>
        </row>
        <row r="11">
          <cell r="A11" t="str">
            <v>QUALITY</v>
          </cell>
          <cell r="B11">
            <v>44</v>
          </cell>
          <cell r="C11">
            <v>38208.26</v>
          </cell>
          <cell r="D11">
            <v>253.03</v>
          </cell>
          <cell r="E11">
            <v>0</v>
          </cell>
          <cell r="F11">
            <v>0</v>
          </cell>
          <cell r="G11">
            <v>2224.67</v>
          </cell>
          <cell r="H11">
            <v>35983.589999999997</v>
          </cell>
          <cell r="I11">
            <v>23339.5</v>
          </cell>
          <cell r="J11">
            <v>1369.47</v>
          </cell>
          <cell r="K11">
            <v>14013.56</v>
          </cell>
          <cell r="L11">
            <v>38.04</v>
          </cell>
          <cell r="M11">
            <v>2.41</v>
          </cell>
        </row>
        <row r="12">
          <cell r="A12" t="str">
            <v>FORTLEV</v>
          </cell>
          <cell r="B12">
            <v>62</v>
          </cell>
          <cell r="C12">
            <v>33399.269999999997</v>
          </cell>
          <cell r="D12">
            <v>9.2899999999999991</v>
          </cell>
          <cell r="E12">
            <v>0</v>
          </cell>
          <cell r="F12">
            <v>0</v>
          </cell>
          <cell r="G12">
            <v>909.75</v>
          </cell>
          <cell r="H12">
            <v>32489.52</v>
          </cell>
          <cell r="I12">
            <v>22850.04</v>
          </cell>
          <cell r="J12">
            <v>619.29</v>
          </cell>
          <cell r="K12">
            <v>10258.77</v>
          </cell>
          <cell r="L12">
            <v>31.3</v>
          </cell>
          <cell r="M12">
            <v>2.1</v>
          </cell>
        </row>
        <row r="13">
          <cell r="A13" t="str">
            <v>NORCOLA</v>
          </cell>
          <cell r="B13">
            <v>14</v>
          </cell>
          <cell r="C13">
            <v>28582.71</v>
          </cell>
          <cell r="D13">
            <v>210.17</v>
          </cell>
          <cell r="E13">
            <v>0</v>
          </cell>
          <cell r="F13">
            <v>0</v>
          </cell>
          <cell r="G13">
            <v>386.93</v>
          </cell>
          <cell r="H13">
            <v>28195.78</v>
          </cell>
          <cell r="I13">
            <v>21174.21</v>
          </cell>
          <cell r="J13">
            <v>333.92</v>
          </cell>
          <cell r="K13">
            <v>7355.49</v>
          </cell>
          <cell r="L13">
            <v>26.04</v>
          </cell>
          <cell r="M13">
            <v>1.8</v>
          </cell>
        </row>
        <row r="14">
          <cell r="A14" t="str">
            <v>BRASILIT</v>
          </cell>
          <cell r="B14">
            <v>23</v>
          </cell>
          <cell r="C14">
            <v>26093.5</v>
          </cell>
          <cell r="D14">
            <v>74.55</v>
          </cell>
          <cell r="E14">
            <v>0</v>
          </cell>
          <cell r="F14">
            <v>0</v>
          </cell>
          <cell r="G14">
            <v>0</v>
          </cell>
          <cell r="H14">
            <v>26093.5</v>
          </cell>
          <cell r="I14">
            <v>20236.41</v>
          </cell>
          <cell r="J14">
            <v>0</v>
          </cell>
          <cell r="K14">
            <v>5857.09</v>
          </cell>
          <cell r="L14">
            <v>22.45</v>
          </cell>
          <cell r="M14">
            <v>1.64</v>
          </cell>
        </row>
        <row r="15">
          <cell r="A15" t="str">
            <v>LORENZETTI</v>
          </cell>
          <cell r="B15">
            <v>25</v>
          </cell>
          <cell r="C15">
            <v>24203.47</v>
          </cell>
          <cell r="D15">
            <v>102.99</v>
          </cell>
          <cell r="E15">
            <v>0</v>
          </cell>
          <cell r="F15">
            <v>0</v>
          </cell>
          <cell r="G15">
            <v>378.59</v>
          </cell>
          <cell r="H15">
            <v>23824.880000000001</v>
          </cell>
          <cell r="I15">
            <v>15060.27</v>
          </cell>
          <cell r="J15">
            <v>232.36</v>
          </cell>
          <cell r="K15">
            <v>8996.9699999999993</v>
          </cell>
          <cell r="L15">
            <v>37.53</v>
          </cell>
          <cell r="M15">
            <v>1.52</v>
          </cell>
        </row>
        <row r="16">
          <cell r="A16" t="str">
            <v>CARMELO FIOR</v>
          </cell>
          <cell r="B16">
            <v>10</v>
          </cell>
          <cell r="C16">
            <v>23586.97</v>
          </cell>
          <cell r="D16">
            <v>65.180000000000007</v>
          </cell>
          <cell r="E16">
            <v>0</v>
          </cell>
          <cell r="F16">
            <v>0</v>
          </cell>
          <cell r="G16">
            <v>0</v>
          </cell>
          <cell r="H16">
            <v>23586.97</v>
          </cell>
          <cell r="I16">
            <v>9044.607</v>
          </cell>
          <cell r="J16">
            <v>0</v>
          </cell>
          <cell r="K16">
            <v>14542.362999999999</v>
          </cell>
          <cell r="L16">
            <v>61.65</v>
          </cell>
          <cell r="M16">
            <v>1.49</v>
          </cell>
        </row>
        <row r="17">
          <cell r="A17" t="str">
            <v>ATLAS</v>
          </cell>
          <cell r="B17">
            <v>69</v>
          </cell>
          <cell r="C17">
            <v>23555.57</v>
          </cell>
          <cell r="D17">
            <v>15.82</v>
          </cell>
          <cell r="E17">
            <v>0</v>
          </cell>
          <cell r="F17">
            <v>0</v>
          </cell>
          <cell r="G17">
            <v>296.60000000000002</v>
          </cell>
          <cell r="H17">
            <v>23258.97</v>
          </cell>
          <cell r="I17">
            <v>12999.89</v>
          </cell>
          <cell r="J17">
            <v>157</v>
          </cell>
          <cell r="K17">
            <v>10416.08</v>
          </cell>
          <cell r="L17">
            <v>44.52</v>
          </cell>
          <cell r="M17">
            <v>1.48</v>
          </cell>
        </row>
        <row r="18">
          <cell r="A18" t="str">
            <v>ETERNIT</v>
          </cell>
          <cell r="B18">
            <v>16</v>
          </cell>
          <cell r="C18">
            <v>20568.2</v>
          </cell>
          <cell r="D18">
            <v>63.29</v>
          </cell>
          <cell r="E18">
            <v>0</v>
          </cell>
          <cell r="F18">
            <v>0</v>
          </cell>
          <cell r="G18">
            <v>670</v>
          </cell>
          <cell r="H18">
            <v>19898.2</v>
          </cell>
          <cell r="I18">
            <v>15836.43</v>
          </cell>
          <cell r="J18">
            <v>513.85</v>
          </cell>
          <cell r="K18">
            <v>4575.62</v>
          </cell>
          <cell r="L18">
            <v>22.82</v>
          </cell>
          <cell r="M18">
            <v>1.3</v>
          </cell>
        </row>
        <row r="19">
          <cell r="A19" t="str">
            <v>MEC-TRONIC</v>
          </cell>
          <cell r="B19">
            <v>45</v>
          </cell>
          <cell r="C19">
            <v>19140.89</v>
          </cell>
          <cell r="D19">
            <v>10.96</v>
          </cell>
          <cell r="E19">
            <v>0</v>
          </cell>
          <cell r="F19">
            <v>0</v>
          </cell>
          <cell r="G19">
            <v>265.39999999999998</v>
          </cell>
          <cell r="H19">
            <v>18875.490000000002</v>
          </cell>
          <cell r="I19">
            <v>10206.99</v>
          </cell>
          <cell r="J19">
            <v>148.84</v>
          </cell>
          <cell r="K19">
            <v>8817.34</v>
          </cell>
          <cell r="L19">
            <v>46.43</v>
          </cell>
          <cell r="M19">
            <v>1.21</v>
          </cell>
        </row>
        <row r="20">
          <cell r="A20" t="str">
            <v>NITROLUX</v>
          </cell>
          <cell r="B20">
            <v>29</v>
          </cell>
          <cell r="C20">
            <v>17844.68</v>
          </cell>
          <cell r="D20">
            <v>16.93</v>
          </cell>
          <cell r="E20">
            <v>0</v>
          </cell>
          <cell r="F20">
            <v>0</v>
          </cell>
          <cell r="G20">
            <v>553.41999999999996</v>
          </cell>
          <cell r="H20">
            <v>17291.259999999998</v>
          </cell>
          <cell r="I20">
            <v>9340.9500000000007</v>
          </cell>
          <cell r="J20">
            <v>304.13</v>
          </cell>
          <cell r="K20">
            <v>8254.44</v>
          </cell>
          <cell r="L20">
            <v>47.06</v>
          </cell>
          <cell r="M20">
            <v>1.1200000000000001</v>
          </cell>
        </row>
        <row r="21">
          <cell r="A21" t="str">
            <v>INCESA</v>
          </cell>
          <cell r="B21">
            <v>13</v>
          </cell>
          <cell r="C21">
            <v>15194.36</v>
          </cell>
          <cell r="D21">
            <v>89.27</v>
          </cell>
          <cell r="E21">
            <v>0</v>
          </cell>
          <cell r="F21">
            <v>0</v>
          </cell>
          <cell r="G21">
            <v>934.96</v>
          </cell>
          <cell r="H21">
            <v>14259.4</v>
          </cell>
          <cell r="I21">
            <v>9487.44</v>
          </cell>
          <cell r="J21">
            <v>590.20000000000005</v>
          </cell>
          <cell r="K21">
            <v>5362.16</v>
          </cell>
          <cell r="L21">
            <v>36.72</v>
          </cell>
          <cell r="M21">
            <v>0.96</v>
          </cell>
        </row>
        <row r="22">
          <cell r="A22" t="str">
            <v>GRANPLAST</v>
          </cell>
          <cell r="B22">
            <v>36</v>
          </cell>
          <cell r="C22">
            <v>15020.27</v>
          </cell>
          <cell r="D22">
            <v>25.76</v>
          </cell>
          <cell r="E22">
            <v>0</v>
          </cell>
          <cell r="F22">
            <v>0</v>
          </cell>
          <cell r="G22">
            <v>207</v>
          </cell>
          <cell r="H22">
            <v>14813.27</v>
          </cell>
          <cell r="I22">
            <v>8908.86</v>
          </cell>
          <cell r="J22">
            <v>116.53</v>
          </cell>
          <cell r="K22">
            <v>6020.94</v>
          </cell>
          <cell r="L22">
            <v>40.4</v>
          </cell>
          <cell r="M22">
            <v>0.95</v>
          </cell>
        </row>
        <row r="23">
          <cell r="A23" t="str">
            <v>GHEL'PLUS</v>
          </cell>
          <cell r="B23">
            <v>24</v>
          </cell>
          <cell r="C23">
            <v>14964.32</v>
          </cell>
          <cell r="D23">
            <v>129</v>
          </cell>
          <cell r="E23">
            <v>0</v>
          </cell>
          <cell r="F23">
            <v>0</v>
          </cell>
          <cell r="G23">
            <v>287.8</v>
          </cell>
          <cell r="H23">
            <v>14676.52</v>
          </cell>
          <cell r="I23">
            <v>9166.36</v>
          </cell>
          <cell r="J23">
            <v>178.17</v>
          </cell>
          <cell r="K23">
            <v>5688.33</v>
          </cell>
          <cell r="L23">
            <v>38.47</v>
          </cell>
          <cell r="M23">
            <v>0.94</v>
          </cell>
        </row>
        <row r="24">
          <cell r="A24" t="str">
            <v>FERTAK COMERCIO E IMPORTAÇÃO</v>
          </cell>
          <cell r="B24">
            <v>47</v>
          </cell>
          <cell r="C24">
            <v>14337.66</v>
          </cell>
          <cell r="D24">
            <v>9.85</v>
          </cell>
          <cell r="E24">
            <v>0</v>
          </cell>
          <cell r="F24">
            <v>0</v>
          </cell>
          <cell r="G24">
            <v>222.7799</v>
          </cell>
          <cell r="H24">
            <v>14114.8801</v>
          </cell>
          <cell r="I24">
            <v>7879.83</v>
          </cell>
          <cell r="J24">
            <v>122.46</v>
          </cell>
          <cell r="K24">
            <v>6357.5101000000004</v>
          </cell>
          <cell r="L24">
            <v>44.72</v>
          </cell>
          <cell r="M24">
            <v>0.9</v>
          </cell>
        </row>
        <row r="25">
          <cell r="A25" t="str">
            <v>METAIS LEAO</v>
          </cell>
          <cell r="B25">
            <v>36</v>
          </cell>
          <cell r="C25">
            <v>14027.24</v>
          </cell>
          <cell r="D25">
            <v>64.05</v>
          </cell>
          <cell r="E25">
            <v>0</v>
          </cell>
          <cell r="F25">
            <v>0</v>
          </cell>
          <cell r="G25">
            <v>754.3</v>
          </cell>
          <cell r="H25">
            <v>13272.94</v>
          </cell>
          <cell r="I25">
            <v>8043.21</v>
          </cell>
          <cell r="J25">
            <v>426.34</v>
          </cell>
          <cell r="K25">
            <v>5656.07</v>
          </cell>
          <cell r="L25">
            <v>41.59</v>
          </cell>
          <cell r="M25">
            <v>0.88</v>
          </cell>
        </row>
        <row r="26">
          <cell r="A26" t="str">
            <v>Perfilplast Industria e Comerc</v>
          </cell>
          <cell r="B26">
            <v>26</v>
          </cell>
          <cell r="C26">
            <v>12076.82</v>
          </cell>
          <cell r="D26">
            <v>66.87</v>
          </cell>
          <cell r="E26">
            <v>0</v>
          </cell>
          <cell r="F26">
            <v>0</v>
          </cell>
          <cell r="G26">
            <v>264.58</v>
          </cell>
          <cell r="H26">
            <v>11812.24</v>
          </cell>
          <cell r="I26">
            <v>7216.2179999999998</v>
          </cell>
          <cell r="J26">
            <v>156.15799999999999</v>
          </cell>
          <cell r="K26">
            <v>4752.18</v>
          </cell>
          <cell r="L26">
            <v>39.869999999999997</v>
          </cell>
          <cell r="M26">
            <v>0.76</v>
          </cell>
        </row>
        <row r="27">
          <cell r="A27" t="str">
            <v>BLACK DECKER</v>
          </cell>
          <cell r="B27">
            <v>13</v>
          </cell>
          <cell r="C27">
            <v>10610.21</v>
          </cell>
          <cell r="D27">
            <v>54.98</v>
          </cell>
          <cell r="E27">
            <v>0</v>
          </cell>
          <cell r="F27">
            <v>0</v>
          </cell>
          <cell r="G27">
            <v>22.8</v>
          </cell>
          <cell r="H27">
            <v>10587.41</v>
          </cell>
          <cell r="I27">
            <v>6946.89</v>
          </cell>
          <cell r="J27">
            <v>12.64</v>
          </cell>
          <cell r="K27">
            <v>3653.16</v>
          </cell>
          <cell r="L27">
            <v>34.47</v>
          </cell>
          <cell r="M27">
            <v>0.67</v>
          </cell>
        </row>
        <row r="28">
          <cell r="A28" t="str">
            <v>MADELAR</v>
          </cell>
          <cell r="B28">
            <v>22</v>
          </cell>
          <cell r="C28">
            <v>10562.18</v>
          </cell>
          <cell r="D28">
            <v>165.03</v>
          </cell>
          <cell r="E28">
            <v>0</v>
          </cell>
          <cell r="F28">
            <v>0</v>
          </cell>
          <cell r="G28">
            <v>1111.73</v>
          </cell>
          <cell r="H28">
            <v>9450.4500000000007</v>
          </cell>
          <cell r="I28">
            <v>5919</v>
          </cell>
          <cell r="J28">
            <v>637</v>
          </cell>
          <cell r="K28">
            <v>4168.45</v>
          </cell>
          <cell r="L28">
            <v>42</v>
          </cell>
          <cell r="M28">
            <v>0.67</v>
          </cell>
        </row>
        <row r="29">
          <cell r="A29" t="str">
            <v>INTECH MACHINE</v>
          </cell>
          <cell r="B29">
            <v>15</v>
          </cell>
          <cell r="C29">
            <v>10378.09</v>
          </cell>
          <cell r="D29">
            <v>199.58</v>
          </cell>
          <cell r="E29">
            <v>0</v>
          </cell>
          <cell r="F29">
            <v>0</v>
          </cell>
          <cell r="G29">
            <v>189</v>
          </cell>
          <cell r="H29">
            <v>10189.09</v>
          </cell>
          <cell r="I29">
            <v>6191.58</v>
          </cell>
          <cell r="J29">
            <v>113.09</v>
          </cell>
          <cell r="K29">
            <v>4110.6000000000004</v>
          </cell>
          <cell r="L29">
            <v>40.04</v>
          </cell>
          <cell r="M29">
            <v>0.65</v>
          </cell>
        </row>
        <row r="30">
          <cell r="A30" t="str">
            <v>PADO</v>
          </cell>
          <cell r="B30">
            <v>11</v>
          </cell>
          <cell r="C30">
            <v>9311.7199999999993</v>
          </cell>
          <cell r="D30">
            <v>41.76</v>
          </cell>
          <cell r="E30">
            <v>0</v>
          </cell>
          <cell r="F30">
            <v>0</v>
          </cell>
          <cell r="G30">
            <v>126.3</v>
          </cell>
          <cell r="H30">
            <v>9185.42</v>
          </cell>
          <cell r="I30">
            <v>5205.51</v>
          </cell>
          <cell r="J30">
            <v>74.680000000000007</v>
          </cell>
          <cell r="K30">
            <v>4054.59</v>
          </cell>
          <cell r="L30">
            <v>43.89</v>
          </cell>
          <cell r="M30">
            <v>0.59</v>
          </cell>
        </row>
        <row r="31">
          <cell r="A31" t="str">
            <v>COBRECOM</v>
          </cell>
          <cell r="B31">
            <v>13</v>
          </cell>
          <cell r="C31">
            <v>9181.43</v>
          </cell>
          <cell r="D31">
            <v>153.02000000000001</v>
          </cell>
          <cell r="E31">
            <v>0</v>
          </cell>
          <cell r="F31">
            <v>0</v>
          </cell>
          <cell r="G31">
            <v>386.93</v>
          </cell>
          <cell r="H31">
            <v>8794.5</v>
          </cell>
          <cell r="I31">
            <v>5675.58</v>
          </cell>
          <cell r="J31">
            <v>263.95999999999998</v>
          </cell>
          <cell r="K31">
            <v>3382.88</v>
          </cell>
          <cell r="L31">
            <v>37.94</v>
          </cell>
          <cell r="M31">
            <v>0.57999999999999996</v>
          </cell>
        </row>
        <row r="32">
          <cell r="A32" t="str">
            <v>BELLA PIA</v>
          </cell>
          <cell r="B32">
            <v>19</v>
          </cell>
          <cell r="C32">
            <v>8583.31</v>
          </cell>
          <cell r="D32">
            <v>209.35</v>
          </cell>
          <cell r="E32">
            <v>0</v>
          </cell>
          <cell r="F32">
            <v>0</v>
          </cell>
          <cell r="G32">
            <v>2007.6</v>
          </cell>
          <cell r="H32">
            <v>6575.71</v>
          </cell>
          <cell r="I32">
            <v>5055.3900000000003</v>
          </cell>
          <cell r="J32">
            <v>1172.93</v>
          </cell>
          <cell r="K32">
            <v>2693.25</v>
          </cell>
          <cell r="L32">
            <v>36.340000000000003</v>
          </cell>
          <cell r="M32">
            <v>0.54</v>
          </cell>
        </row>
        <row r="33">
          <cell r="A33" t="str">
            <v>LEDVANCE</v>
          </cell>
          <cell r="B33">
            <v>27</v>
          </cell>
          <cell r="C33">
            <v>8186.37</v>
          </cell>
          <cell r="D33">
            <v>6.99</v>
          </cell>
          <cell r="E33">
            <v>0</v>
          </cell>
          <cell r="F33">
            <v>0</v>
          </cell>
          <cell r="G33">
            <v>45.7</v>
          </cell>
          <cell r="H33">
            <v>8140.67</v>
          </cell>
          <cell r="I33">
            <v>5102.24</v>
          </cell>
          <cell r="J33">
            <v>29.62</v>
          </cell>
          <cell r="K33">
            <v>3068.05</v>
          </cell>
          <cell r="L33">
            <v>37.61</v>
          </cell>
          <cell r="M33">
            <v>0.52</v>
          </cell>
        </row>
        <row r="34">
          <cell r="A34" t="str">
            <v>ANAUGER</v>
          </cell>
          <cell r="B34">
            <v>11</v>
          </cell>
          <cell r="C34">
            <v>7978.19</v>
          </cell>
          <cell r="D34">
            <v>234.65</v>
          </cell>
          <cell r="E34">
            <v>0</v>
          </cell>
          <cell r="F34">
            <v>0</v>
          </cell>
          <cell r="G34">
            <v>56.9</v>
          </cell>
          <cell r="H34">
            <v>7921.29</v>
          </cell>
          <cell r="I34">
            <v>5555.39</v>
          </cell>
          <cell r="J34">
            <v>32.700000000000003</v>
          </cell>
          <cell r="K34">
            <v>2398.6</v>
          </cell>
          <cell r="L34">
            <v>30.19</v>
          </cell>
          <cell r="M34">
            <v>0.5</v>
          </cell>
        </row>
        <row r="35">
          <cell r="A35" t="str">
            <v>VIQUA</v>
          </cell>
          <cell r="B35">
            <v>19</v>
          </cell>
          <cell r="C35">
            <v>7746.62</v>
          </cell>
          <cell r="D35">
            <v>35.86</v>
          </cell>
          <cell r="E35">
            <v>0</v>
          </cell>
          <cell r="F35">
            <v>0</v>
          </cell>
          <cell r="G35">
            <v>156.6</v>
          </cell>
          <cell r="H35">
            <v>7590.02</v>
          </cell>
          <cell r="I35">
            <v>4731.59</v>
          </cell>
          <cell r="J35">
            <v>95.74</v>
          </cell>
          <cell r="K35">
            <v>2954.17</v>
          </cell>
          <cell r="L35">
            <v>38.61</v>
          </cell>
          <cell r="M35">
            <v>0.49</v>
          </cell>
        </row>
        <row r="36">
          <cell r="A36" t="str">
            <v>SILVANA</v>
          </cell>
          <cell r="B36">
            <v>21</v>
          </cell>
          <cell r="C36">
            <v>7714.2</v>
          </cell>
          <cell r="D36">
            <v>29.22</v>
          </cell>
          <cell r="E36">
            <v>0</v>
          </cell>
          <cell r="F36">
            <v>0</v>
          </cell>
          <cell r="G36">
            <v>298.2</v>
          </cell>
          <cell r="H36">
            <v>7416</v>
          </cell>
          <cell r="I36">
            <v>4531.92</v>
          </cell>
          <cell r="J36">
            <v>180.7</v>
          </cell>
          <cell r="K36">
            <v>3064.78</v>
          </cell>
          <cell r="L36">
            <v>40.68</v>
          </cell>
          <cell r="M36">
            <v>0.49</v>
          </cell>
        </row>
        <row r="37">
          <cell r="A37" t="str">
            <v>METALURGICA MOR S/A</v>
          </cell>
          <cell r="B37">
            <v>11</v>
          </cell>
          <cell r="C37">
            <v>7681.01</v>
          </cell>
          <cell r="D37">
            <v>105.22</v>
          </cell>
          <cell r="E37">
            <v>0</v>
          </cell>
          <cell r="F37">
            <v>0</v>
          </cell>
          <cell r="G37">
            <v>119.7</v>
          </cell>
          <cell r="H37">
            <v>7561.31</v>
          </cell>
          <cell r="I37">
            <v>4842.13</v>
          </cell>
          <cell r="J37">
            <v>69.489999999999995</v>
          </cell>
          <cell r="K37">
            <v>2788.67</v>
          </cell>
          <cell r="L37">
            <v>36.64</v>
          </cell>
          <cell r="M37">
            <v>0.48</v>
          </cell>
        </row>
        <row r="38">
          <cell r="A38" t="str">
            <v>LEGRAND</v>
          </cell>
          <cell r="B38">
            <v>15</v>
          </cell>
          <cell r="C38">
            <v>7617.61</v>
          </cell>
          <cell r="D38">
            <v>16.07</v>
          </cell>
          <cell r="E38">
            <v>0</v>
          </cell>
          <cell r="F38">
            <v>0</v>
          </cell>
          <cell r="G38">
            <v>31.8</v>
          </cell>
          <cell r="H38">
            <v>7585.81</v>
          </cell>
          <cell r="I38">
            <v>4831.45</v>
          </cell>
          <cell r="J38">
            <v>21</v>
          </cell>
          <cell r="K38">
            <v>2775.36</v>
          </cell>
          <cell r="L38">
            <v>36.53</v>
          </cell>
          <cell r="M38">
            <v>0.48</v>
          </cell>
        </row>
        <row r="39">
          <cell r="A39" t="str">
            <v>AVANT</v>
          </cell>
          <cell r="B39">
            <v>17</v>
          </cell>
          <cell r="C39">
            <v>7423.13</v>
          </cell>
          <cell r="D39">
            <v>31.06</v>
          </cell>
          <cell r="E39">
            <v>0</v>
          </cell>
          <cell r="F39">
            <v>0</v>
          </cell>
          <cell r="G39">
            <v>410.25</v>
          </cell>
          <cell r="H39">
            <v>7012.88</v>
          </cell>
          <cell r="I39">
            <v>4067.87</v>
          </cell>
          <cell r="J39">
            <v>214.67</v>
          </cell>
          <cell r="K39">
            <v>3159.68</v>
          </cell>
          <cell r="L39">
            <v>43.83</v>
          </cell>
          <cell r="M39">
            <v>0.47</v>
          </cell>
        </row>
        <row r="40">
          <cell r="A40" t="str">
            <v>BLUKIT</v>
          </cell>
          <cell r="B40">
            <v>38</v>
          </cell>
          <cell r="C40">
            <v>7214.88</v>
          </cell>
          <cell r="D40">
            <v>21.54</v>
          </cell>
          <cell r="E40">
            <v>0</v>
          </cell>
          <cell r="F40">
            <v>0</v>
          </cell>
          <cell r="G40">
            <v>89.1</v>
          </cell>
          <cell r="H40">
            <v>7125.78</v>
          </cell>
          <cell r="I40">
            <v>4056.79</v>
          </cell>
          <cell r="J40">
            <v>45.06</v>
          </cell>
          <cell r="K40">
            <v>3114.05</v>
          </cell>
          <cell r="L40">
            <v>43.43</v>
          </cell>
          <cell r="M40">
            <v>0.45</v>
          </cell>
        </row>
        <row r="41">
          <cell r="A41" t="str">
            <v>CORTAG</v>
          </cell>
          <cell r="B41">
            <v>20</v>
          </cell>
          <cell r="C41">
            <v>6730.41</v>
          </cell>
          <cell r="D41">
            <v>21.99</v>
          </cell>
          <cell r="E41">
            <v>0</v>
          </cell>
          <cell r="F41">
            <v>0</v>
          </cell>
          <cell r="G41">
            <v>94.7</v>
          </cell>
          <cell r="H41">
            <v>6635.71</v>
          </cell>
          <cell r="I41">
            <v>3945.42</v>
          </cell>
          <cell r="J41">
            <v>49.67</v>
          </cell>
          <cell r="K41">
            <v>2739.96</v>
          </cell>
          <cell r="L41">
            <v>41.01</v>
          </cell>
          <cell r="M41">
            <v>0.42</v>
          </cell>
        </row>
        <row r="42">
          <cell r="A42" t="str">
            <v>MULT MIX IMPORTADORA</v>
          </cell>
          <cell r="B42">
            <v>29</v>
          </cell>
          <cell r="C42">
            <v>6112.89</v>
          </cell>
          <cell r="D42">
            <v>16.66</v>
          </cell>
          <cell r="E42">
            <v>0</v>
          </cell>
          <cell r="F42">
            <v>0</v>
          </cell>
          <cell r="G42">
            <v>84.3</v>
          </cell>
          <cell r="H42">
            <v>6028.59</v>
          </cell>
          <cell r="I42">
            <v>3149.65</v>
          </cell>
          <cell r="J42">
            <v>44.12</v>
          </cell>
          <cell r="K42">
            <v>2923.06</v>
          </cell>
          <cell r="L42">
            <v>48.17</v>
          </cell>
          <cell r="M42">
            <v>0.39</v>
          </cell>
        </row>
        <row r="43">
          <cell r="A43" t="str">
            <v>VEDACIT</v>
          </cell>
          <cell r="B43">
            <v>8</v>
          </cell>
          <cell r="C43">
            <v>6002.5</v>
          </cell>
          <cell r="D43">
            <v>68.209999999999994</v>
          </cell>
          <cell r="E43">
            <v>0</v>
          </cell>
          <cell r="F43">
            <v>0</v>
          </cell>
          <cell r="G43">
            <v>227.05</v>
          </cell>
          <cell r="H43">
            <v>5775.45</v>
          </cell>
          <cell r="I43">
            <v>3418.79</v>
          </cell>
          <cell r="J43">
            <v>132.88999999999999</v>
          </cell>
          <cell r="K43">
            <v>2489.5500000000002</v>
          </cell>
          <cell r="L43">
            <v>42.41</v>
          </cell>
          <cell r="M43">
            <v>0.38</v>
          </cell>
        </row>
        <row r="44">
          <cell r="A44" t="str">
            <v>PAMESA</v>
          </cell>
          <cell r="B44">
            <v>9</v>
          </cell>
          <cell r="C44">
            <v>5869.5843999999997</v>
          </cell>
          <cell r="D44">
            <v>29.61</v>
          </cell>
          <cell r="E44">
            <v>0</v>
          </cell>
          <cell r="F44">
            <v>0</v>
          </cell>
          <cell r="G44">
            <v>0</v>
          </cell>
          <cell r="H44">
            <v>5869.5843999999997</v>
          </cell>
          <cell r="I44">
            <v>3791.25</v>
          </cell>
          <cell r="J44">
            <v>0</v>
          </cell>
          <cell r="K44">
            <v>2078.3344000000002</v>
          </cell>
          <cell r="L44">
            <v>35.409999999999997</v>
          </cell>
          <cell r="M44">
            <v>0.37</v>
          </cell>
        </row>
        <row r="45">
          <cell r="A45" t="str">
            <v>LUCONI</v>
          </cell>
          <cell r="B45">
            <v>47</v>
          </cell>
          <cell r="C45">
            <v>5666.82</v>
          </cell>
          <cell r="D45">
            <v>10.81</v>
          </cell>
          <cell r="E45">
            <v>0</v>
          </cell>
          <cell r="F45">
            <v>0</v>
          </cell>
          <cell r="G45">
            <v>68.099999999999994</v>
          </cell>
          <cell r="H45">
            <v>5598.72</v>
          </cell>
          <cell r="I45">
            <v>2701.83</v>
          </cell>
          <cell r="J45">
            <v>29.73</v>
          </cell>
          <cell r="K45">
            <v>2926.62</v>
          </cell>
          <cell r="L45">
            <v>51.92</v>
          </cell>
          <cell r="M45">
            <v>0.36</v>
          </cell>
        </row>
        <row r="46">
          <cell r="A46" t="str">
            <v>NORTON</v>
          </cell>
          <cell r="B46">
            <v>32</v>
          </cell>
          <cell r="C46">
            <v>5469.64</v>
          </cell>
          <cell r="D46">
            <v>3.01</v>
          </cell>
          <cell r="E46">
            <v>0</v>
          </cell>
          <cell r="F46">
            <v>0</v>
          </cell>
          <cell r="G46">
            <v>0</v>
          </cell>
          <cell r="H46">
            <v>5469.64</v>
          </cell>
          <cell r="I46">
            <v>2767.12</v>
          </cell>
          <cell r="J46">
            <v>0</v>
          </cell>
          <cell r="K46">
            <v>2702.52</v>
          </cell>
          <cell r="L46">
            <v>49.41</v>
          </cell>
          <cell r="M46">
            <v>0.34</v>
          </cell>
        </row>
        <row r="47">
          <cell r="A47" t="str">
            <v>ADERE</v>
          </cell>
          <cell r="B47">
            <v>32</v>
          </cell>
          <cell r="C47">
            <v>5303.22</v>
          </cell>
          <cell r="D47">
            <v>11.89</v>
          </cell>
          <cell r="E47">
            <v>0</v>
          </cell>
          <cell r="F47">
            <v>0</v>
          </cell>
          <cell r="G47">
            <v>0</v>
          </cell>
          <cell r="H47">
            <v>5303.22</v>
          </cell>
          <cell r="I47">
            <v>3012.74</v>
          </cell>
          <cell r="J47">
            <v>0</v>
          </cell>
          <cell r="K47">
            <v>2290.48</v>
          </cell>
          <cell r="L47">
            <v>43.19</v>
          </cell>
          <cell r="M47">
            <v>0.33</v>
          </cell>
        </row>
        <row r="48">
          <cell r="A48" t="str">
            <v>HERC</v>
          </cell>
          <cell r="B48">
            <v>17</v>
          </cell>
          <cell r="C48">
            <v>4899.1099999999997</v>
          </cell>
          <cell r="D48">
            <v>25.78</v>
          </cell>
          <cell r="E48">
            <v>0</v>
          </cell>
          <cell r="F48">
            <v>0</v>
          </cell>
          <cell r="G48">
            <v>79.790000000000006</v>
          </cell>
          <cell r="H48">
            <v>4819.32</v>
          </cell>
          <cell r="I48">
            <v>2868.21</v>
          </cell>
          <cell r="J48">
            <v>48.58</v>
          </cell>
          <cell r="K48">
            <v>1999.69</v>
          </cell>
          <cell r="L48">
            <v>41.23</v>
          </cell>
          <cell r="M48">
            <v>0.31</v>
          </cell>
        </row>
        <row r="49">
          <cell r="A49" t="str">
            <v>PULVITEC</v>
          </cell>
          <cell r="B49">
            <v>29</v>
          </cell>
          <cell r="C49">
            <v>4219.4799999999996</v>
          </cell>
          <cell r="D49">
            <v>8.27</v>
          </cell>
          <cell r="E49">
            <v>0</v>
          </cell>
          <cell r="F49">
            <v>0</v>
          </cell>
          <cell r="G49">
            <v>0</v>
          </cell>
          <cell r="H49">
            <v>4219.4799999999996</v>
          </cell>
          <cell r="I49">
            <v>2143.4</v>
          </cell>
          <cell r="J49">
            <v>0</v>
          </cell>
          <cell r="K49">
            <v>2076.08</v>
          </cell>
          <cell r="L49">
            <v>49.2</v>
          </cell>
          <cell r="M49">
            <v>0.27</v>
          </cell>
        </row>
        <row r="50">
          <cell r="A50" t="str">
            <v>LUZARTE</v>
          </cell>
          <cell r="B50">
            <v>6</v>
          </cell>
          <cell r="C50">
            <v>4122.01</v>
          </cell>
          <cell r="D50">
            <v>164.88</v>
          </cell>
          <cell r="E50">
            <v>0</v>
          </cell>
          <cell r="F50">
            <v>0</v>
          </cell>
          <cell r="G50">
            <v>0</v>
          </cell>
          <cell r="H50">
            <v>4122.01</v>
          </cell>
          <cell r="I50">
            <v>3060.62</v>
          </cell>
          <cell r="J50">
            <v>0</v>
          </cell>
          <cell r="K50">
            <v>1061.3900000000001</v>
          </cell>
          <cell r="L50">
            <v>25.75</v>
          </cell>
          <cell r="M50">
            <v>0.26</v>
          </cell>
        </row>
        <row r="51">
          <cell r="A51" t="str">
            <v>BRASFORMA</v>
          </cell>
          <cell r="B51">
            <v>6</v>
          </cell>
          <cell r="C51">
            <v>3889.42</v>
          </cell>
          <cell r="D51">
            <v>51.86</v>
          </cell>
          <cell r="E51">
            <v>0</v>
          </cell>
          <cell r="F51">
            <v>0</v>
          </cell>
          <cell r="G51">
            <v>23.9</v>
          </cell>
          <cell r="H51">
            <v>3865.52</v>
          </cell>
          <cell r="I51">
            <v>2552.4899999999998</v>
          </cell>
          <cell r="J51">
            <v>14.68</v>
          </cell>
          <cell r="K51">
            <v>1327.71</v>
          </cell>
          <cell r="L51">
            <v>34.270000000000003</v>
          </cell>
          <cell r="M51">
            <v>0.24</v>
          </cell>
        </row>
        <row r="52">
          <cell r="A52" t="str">
            <v>MARLUVAS</v>
          </cell>
          <cell r="B52">
            <v>8</v>
          </cell>
          <cell r="C52">
            <v>3744.83</v>
          </cell>
          <cell r="D52">
            <v>85.11</v>
          </cell>
          <cell r="E52">
            <v>0</v>
          </cell>
          <cell r="F52">
            <v>0</v>
          </cell>
          <cell r="G52">
            <v>96.9</v>
          </cell>
          <cell r="H52">
            <v>3647.93</v>
          </cell>
          <cell r="I52">
            <v>2124.0100000000002</v>
          </cell>
          <cell r="J52">
            <v>57.33</v>
          </cell>
          <cell r="K52">
            <v>1581.25</v>
          </cell>
          <cell r="L52">
            <v>42.88</v>
          </cell>
          <cell r="M52">
            <v>0.24</v>
          </cell>
        </row>
        <row r="53">
          <cell r="A53" t="str">
            <v>DOCOL METAIS</v>
          </cell>
          <cell r="B53">
            <v>8</v>
          </cell>
          <cell r="C53">
            <v>3502.9</v>
          </cell>
          <cell r="D53">
            <v>89.82</v>
          </cell>
          <cell r="E53">
            <v>0</v>
          </cell>
          <cell r="F53">
            <v>0</v>
          </cell>
          <cell r="G53">
            <v>63.6</v>
          </cell>
          <cell r="H53">
            <v>3439.3</v>
          </cell>
          <cell r="I53">
            <v>2109.94</v>
          </cell>
          <cell r="J53">
            <v>34.770000000000003</v>
          </cell>
          <cell r="K53">
            <v>1364.13</v>
          </cell>
          <cell r="L53">
            <v>39.33</v>
          </cell>
          <cell r="M53">
            <v>0.22</v>
          </cell>
        </row>
        <row r="54">
          <cell r="A54" t="str">
            <v>MGM</v>
          </cell>
          <cell r="B54">
            <v>6</v>
          </cell>
          <cell r="C54">
            <v>3246.83</v>
          </cell>
          <cell r="D54">
            <v>405.85</v>
          </cell>
          <cell r="E54">
            <v>0</v>
          </cell>
          <cell r="F54">
            <v>0</v>
          </cell>
          <cell r="G54">
            <v>286.89999999999998</v>
          </cell>
          <cell r="H54">
            <v>2959.93</v>
          </cell>
          <cell r="I54">
            <v>2000.65</v>
          </cell>
          <cell r="J54">
            <v>174.13</v>
          </cell>
          <cell r="K54">
            <v>1133.4100000000001</v>
          </cell>
          <cell r="L54">
            <v>36.89</v>
          </cell>
          <cell r="M54">
            <v>0.2</v>
          </cell>
        </row>
        <row r="55">
          <cell r="A55" t="str">
            <v>PRATEFIX</v>
          </cell>
          <cell r="B55">
            <v>5</v>
          </cell>
          <cell r="C55">
            <v>3200.27</v>
          </cell>
          <cell r="D55">
            <v>31.07</v>
          </cell>
          <cell r="E55">
            <v>0</v>
          </cell>
          <cell r="F55">
            <v>0</v>
          </cell>
          <cell r="G55">
            <v>0</v>
          </cell>
          <cell r="H55">
            <v>3200.27</v>
          </cell>
          <cell r="I55">
            <v>1775.75</v>
          </cell>
          <cell r="J55">
            <v>0</v>
          </cell>
          <cell r="K55">
            <v>1424.52</v>
          </cell>
          <cell r="L55">
            <v>44.51</v>
          </cell>
          <cell r="M55">
            <v>0.2</v>
          </cell>
        </row>
        <row r="56">
          <cell r="A56" t="str">
            <v>CENSI</v>
          </cell>
          <cell r="B56">
            <v>13</v>
          </cell>
          <cell r="C56">
            <v>3129.75</v>
          </cell>
          <cell r="D56">
            <v>26.08</v>
          </cell>
          <cell r="E56">
            <v>0</v>
          </cell>
          <cell r="F56">
            <v>0</v>
          </cell>
          <cell r="G56">
            <v>47.4</v>
          </cell>
          <cell r="H56">
            <v>3082.35</v>
          </cell>
          <cell r="I56">
            <v>1776.47</v>
          </cell>
          <cell r="J56">
            <v>28.29</v>
          </cell>
          <cell r="K56">
            <v>1334.17</v>
          </cell>
          <cell r="L56">
            <v>43.02</v>
          </cell>
          <cell r="M56">
            <v>0.2</v>
          </cell>
        </row>
        <row r="57">
          <cell r="A57" t="str">
            <v>PADRAO FORTE</v>
          </cell>
          <cell r="B57">
            <v>12</v>
          </cell>
          <cell r="C57">
            <v>3111.71</v>
          </cell>
          <cell r="D57">
            <v>14.41</v>
          </cell>
          <cell r="E57">
            <v>0</v>
          </cell>
          <cell r="F57">
            <v>0</v>
          </cell>
          <cell r="G57">
            <v>65.290000000000006</v>
          </cell>
          <cell r="H57">
            <v>3046.42</v>
          </cell>
          <cell r="I57">
            <v>1772.02</v>
          </cell>
          <cell r="J57">
            <v>37.04</v>
          </cell>
          <cell r="K57">
            <v>1311.44</v>
          </cell>
          <cell r="L57">
            <v>42.65</v>
          </cell>
          <cell r="M57">
            <v>0.2</v>
          </cell>
        </row>
        <row r="58">
          <cell r="A58" t="str">
            <v>PLASTMAR IND E COM</v>
          </cell>
          <cell r="B58">
            <v>10</v>
          </cell>
          <cell r="C58">
            <v>3057.07</v>
          </cell>
          <cell r="D58">
            <v>46.32</v>
          </cell>
          <cell r="E58">
            <v>0</v>
          </cell>
          <cell r="F58">
            <v>0</v>
          </cell>
          <cell r="G58">
            <v>0</v>
          </cell>
          <cell r="H58">
            <v>3057.07</v>
          </cell>
          <cell r="I58">
            <v>1745.62</v>
          </cell>
          <cell r="J58">
            <v>0</v>
          </cell>
          <cell r="K58">
            <v>1311.45</v>
          </cell>
          <cell r="L58">
            <v>42.9</v>
          </cell>
          <cell r="M58">
            <v>0.19</v>
          </cell>
        </row>
        <row r="59">
          <cell r="A59" t="str">
            <v>EXATRON</v>
          </cell>
          <cell r="B59">
            <v>6</v>
          </cell>
          <cell r="C59">
            <v>2668.89</v>
          </cell>
          <cell r="D59">
            <v>59.31</v>
          </cell>
          <cell r="E59">
            <v>0</v>
          </cell>
          <cell r="F59">
            <v>0</v>
          </cell>
          <cell r="G59">
            <v>39.9</v>
          </cell>
          <cell r="H59">
            <v>2628.99</v>
          </cell>
          <cell r="I59">
            <v>1461.28</v>
          </cell>
          <cell r="J59">
            <v>23.92</v>
          </cell>
          <cell r="K59">
            <v>1191.6300000000001</v>
          </cell>
          <cell r="L59">
            <v>45.05</v>
          </cell>
          <cell r="M59">
            <v>0.17</v>
          </cell>
        </row>
        <row r="60">
          <cell r="A60" t="str">
            <v>BEMFIXA</v>
          </cell>
          <cell r="B60">
            <v>15</v>
          </cell>
          <cell r="C60">
            <v>2657.3</v>
          </cell>
          <cell r="D60">
            <v>11.92</v>
          </cell>
          <cell r="E60">
            <v>0</v>
          </cell>
          <cell r="F60">
            <v>0</v>
          </cell>
          <cell r="G60">
            <v>10.9</v>
          </cell>
          <cell r="H60">
            <v>2646.4</v>
          </cell>
          <cell r="I60">
            <v>1407.13</v>
          </cell>
          <cell r="J60">
            <v>5.99</v>
          </cell>
          <cell r="K60">
            <v>1245.26</v>
          </cell>
          <cell r="L60">
            <v>46.97</v>
          </cell>
          <cell r="M60">
            <v>0.17</v>
          </cell>
        </row>
        <row r="61">
          <cell r="A61" t="str">
            <v>ALIANÇA</v>
          </cell>
          <cell r="B61">
            <v>5</v>
          </cell>
          <cell r="C61">
            <v>2610.29</v>
          </cell>
          <cell r="D61">
            <v>65.260000000000005</v>
          </cell>
          <cell r="E61">
            <v>0</v>
          </cell>
          <cell r="F61">
            <v>0</v>
          </cell>
          <cell r="G61">
            <v>0</v>
          </cell>
          <cell r="H61">
            <v>2610.29</v>
          </cell>
          <cell r="I61">
            <v>1544.79</v>
          </cell>
          <cell r="J61">
            <v>0</v>
          </cell>
          <cell r="K61">
            <v>1065.5</v>
          </cell>
          <cell r="L61">
            <v>40.82</v>
          </cell>
          <cell r="M61">
            <v>0.16</v>
          </cell>
        </row>
        <row r="62">
          <cell r="A62" t="str">
            <v>METALOSA</v>
          </cell>
          <cell r="B62">
            <v>6</v>
          </cell>
          <cell r="C62">
            <v>2559.52</v>
          </cell>
          <cell r="D62">
            <v>170.63</v>
          </cell>
          <cell r="E62">
            <v>0</v>
          </cell>
          <cell r="F62">
            <v>0</v>
          </cell>
          <cell r="G62">
            <v>0</v>
          </cell>
          <cell r="H62">
            <v>2559.52</v>
          </cell>
          <cell r="I62">
            <v>1477.56</v>
          </cell>
          <cell r="J62">
            <v>0</v>
          </cell>
          <cell r="K62">
            <v>1081.96</v>
          </cell>
          <cell r="L62">
            <v>42.27</v>
          </cell>
          <cell r="M62">
            <v>0.16</v>
          </cell>
        </row>
        <row r="63">
          <cell r="A63" t="str">
            <v>PRATIMIX</v>
          </cell>
          <cell r="B63">
            <v>24</v>
          </cell>
          <cell r="C63">
            <v>2490.83</v>
          </cell>
          <cell r="D63">
            <v>12.77</v>
          </cell>
          <cell r="E63">
            <v>0</v>
          </cell>
          <cell r="F63">
            <v>0</v>
          </cell>
          <cell r="G63">
            <v>52.02</v>
          </cell>
          <cell r="H63">
            <v>2438.81</v>
          </cell>
          <cell r="I63">
            <v>1341.87</v>
          </cell>
          <cell r="J63">
            <v>29.04</v>
          </cell>
          <cell r="K63">
            <v>1125.98</v>
          </cell>
          <cell r="L63">
            <v>45.74</v>
          </cell>
          <cell r="M63">
            <v>0.16</v>
          </cell>
        </row>
        <row r="64">
          <cell r="A64" t="str">
            <v>MYPA</v>
          </cell>
          <cell r="B64">
            <v>16</v>
          </cell>
          <cell r="C64">
            <v>2314.21</v>
          </cell>
          <cell r="D64">
            <v>15.85</v>
          </cell>
          <cell r="E64">
            <v>0</v>
          </cell>
          <cell r="F64">
            <v>0</v>
          </cell>
          <cell r="G64">
            <v>0</v>
          </cell>
          <cell r="H64">
            <v>2314.21</v>
          </cell>
          <cell r="I64">
            <v>1275.3499999999999</v>
          </cell>
          <cell r="J64">
            <v>0</v>
          </cell>
          <cell r="K64">
            <v>1038.8599999999999</v>
          </cell>
          <cell r="L64">
            <v>44.89</v>
          </cell>
          <cell r="M64">
            <v>0.15</v>
          </cell>
        </row>
        <row r="65">
          <cell r="A65" t="str">
            <v>BOGNAR</v>
          </cell>
          <cell r="B65">
            <v>6</v>
          </cell>
          <cell r="C65">
            <v>2028.05</v>
          </cell>
          <cell r="D65">
            <v>59.65</v>
          </cell>
          <cell r="E65">
            <v>0</v>
          </cell>
          <cell r="F65">
            <v>0</v>
          </cell>
          <cell r="G65">
            <v>101.8</v>
          </cell>
          <cell r="H65">
            <v>1926.25</v>
          </cell>
          <cell r="I65">
            <v>1197.6199999999999</v>
          </cell>
          <cell r="J65">
            <v>61.78</v>
          </cell>
          <cell r="K65">
            <v>790.41</v>
          </cell>
          <cell r="L65">
            <v>40.200000000000003</v>
          </cell>
          <cell r="M65">
            <v>0.13</v>
          </cell>
        </row>
        <row r="66">
          <cell r="A66" t="str">
            <v>Momfort</v>
          </cell>
          <cell r="B66">
            <v>7</v>
          </cell>
          <cell r="C66">
            <v>1989.2</v>
          </cell>
          <cell r="D66">
            <v>34.299999999999997</v>
          </cell>
          <cell r="E66">
            <v>0</v>
          </cell>
          <cell r="F66">
            <v>0</v>
          </cell>
          <cell r="G66">
            <v>0</v>
          </cell>
          <cell r="H66">
            <v>1989.2</v>
          </cell>
          <cell r="I66">
            <v>1268.48</v>
          </cell>
          <cell r="J66">
            <v>0</v>
          </cell>
          <cell r="K66">
            <v>720.72</v>
          </cell>
          <cell r="L66">
            <v>36.229999999999997</v>
          </cell>
          <cell r="M66">
            <v>0.13</v>
          </cell>
        </row>
        <row r="67">
          <cell r="A67" t="str">
            <v>TAF</v>
          </cell>
          <cell r="B67">
            <v>13</v>
          </cell>
          <cell r="C67">
            <v>1828.59</v>
          </cell>
          <cell r="D67">
            <v>19.25</v>
          </cell>
          <cell r="E67">
            <v>0</v>
          </cell>
          <cell r="F67">
            <v>0</v>
          </cell>
          <cell r="G67">
            <v>18.2</v>
          </cell>
          <cell r="H67">
            <v>1810.39</v>
          </cell>
          <cell r="I67">
            <v>982.15</v>
          </cell>
          <cell r="J67">
            <v>10.5</v>
          </cell>
          <cell r="K67">
            <v>838.74</v>
          </cell>
          <cell r="L67">
            <v>46.13</v>
          </cell>
          <cell r="M67">
            <v>0.12</v>
          </cell>
        </row>
        <row r="68">
          <cell r="A68" t="str">
            <v>REALLE</v>
          </cell>
          <cell r="B68">
            <v>3</v>
          </cell>
          <cell r="C68">
            <v>1064.655</v>
          </cell>
          <cell r="D68">
            <v>22.49</v>
          </cell>
          <cell r="E68">
            <v>0</v>
          </cell>
          <cell r="F68">
            <v>0</v>
          </cell>
          <cell r="G68">
            <v>0</v>
          </cell>
          <cell r="H68">
            <v>1064.655</v>
          </cell>
          <cell r="I68">
            <v>854.02800000000002</v>
          </cell>
          <cell r="J68">
            <v>0</v>
          </cell>
          <cell r="K68">
            <v>210.62700000000001</v>
          </cell>
          <cell r="L68">
            <v>19.78</v>
          </cell>
          <cell r="M68">
            <v>7.0000000000000007E-2</v>
          </cell>
        </row>
        <row r="69">
          <cell r="A69" t="str">
            <v>VONDER</v>
          </cell>
          <cell r="B69">
            <v>4</v>
          </cell>
          <cell r="C69">
            <v>1054.79</v>
          </cell>
          <cell r="D69">
            <v>47.95</v>
          </cell>
          <cell r="E69">
            <v>0</v>
          </cell>
          <cell r="F69">
            <v>0</v>
          </cell>
          <cell r="G69">
            <v>0</v>
          </cell>
          <cell r="H69">
            <v>1054.79</v>
          </cell>
          <cell r="I69">
            <v>609.29999999999995</v>
          </cell>
          <cell r="J69">
            <v>0</v>
          </cell>
          <cell r="K69">
            <v>445.49</v>
          </cell>
          <cell r="L69">
            <v>42.23</v>
          </cell>
          <cell r="M69">
            <v>7.0000000000000007E-2</v>
          </cell>
        </row>
        <row r="70">
          <cell r="A70" t="str">
            <v>HIDRACOR</v>
          </cell>
          <cell r="B70">
            <v>9</v>
          </cell>
          <cell r="C70">
            <v>1051.52</v>
          </cell>
          <cell r="D70">
            <v>3.89</v>
          </cell>
          <cell r="E70">
            <v>0</v>
          </cell>
          <cell r="F70">
            <v>0</v>
          </cell>
          <cell r="G70">
            <v>11.7</v>
          </cell>
          <cell r="H70">
            <v>1039.82</v>
          </cell>
          <cell r="I70">
            <v>473.84</v>
          </cell>
          <cell r="J70">
            <v>5.36</v>
          </cell>
          <cell r="K70">
            <v>571.34</v>
          </cell>
          <cell r="L70">
            <v>54.61</v>
          </cell>
          <cell r="M70">
            <v>7.0000000000000007E-2</v>
          </cell>
        </row>
        <row r="71">
          <cell r="A71" t="str">
            <v>ULTRA CLEAN</v>
          </cell>
          <cell r="B71">
            <v>4</v>
          </cell>
          <cell r="C71">
            <v>995.8</v>
          </cell>
          <cell r="D71">
            <v>23.71</v>
          </cell>
          <cell r="E71">
            <v>0</v>
          </cell>
          <cell r="F71">
            <v>0</v>
          </cell>
          <cell r="G71">
            <v>0</v>
          </cell>
          <cell r="H71">
            <v>995.8</v>
          </cell>
          <cell r="I71">
            <v>634.17999999999995</v>
          </cell>
          <cell r="J71">
            <v>0</v>
          </cell>
          <cell r="K71">
            <v>361.62</v>
          </cell>
          <cell r="L71">
            <v>36.31</v>
          </cell>
          <cell r="M71">
            <v>0.06</v>
          </cell>
        </row>
        <row r="72">
          <cell r="A72" t="str">
            <v>FRANKLIN</v>
          </cell>
          <cell r="B72">
            <v>2</v>
          </cell>
          <cell r="C72">
            <v>991.9</v>
          </cell>
          <cell r="D72">
            <v>495.95</v>
          </cell>
          <cell r="E72">
            <v>0</v>
          </cell>
          <cell r="F72">
            <v>0</v>
          </cell>
          <cell r="G72">
            <v>0</v>
          </cell>
          <cell r="H72">
            <v>991.9</v>
          </cell>
          <cell r="I72">
            <v>623.72</v>
          </cell>
          <cell r="J72">
            <v>0</v>
          </cell>
          <cell r="K72">
            <v>368.18</v>
          </cell>
          <cell r="L72">
            <v>37.119999999999997</v>
          </cell>
          <cell r="M72">
            <v>0.06</v>
          </cell>
        </row>
        <row r="73">
          <cell r="A73" t="str">
            <v>KRONA</v>
          </cell>
          <cell r="B73">
            <v>11</v>
          </cell>
          <cell r="C73">
            <v>980.92</v>
          </cell>
          <cell r="D73">
            <v>6.76</v>
          </cell>
          <cell r="E73">
            <v>0</v>
          </cell>
          <cell r="F73">
            <v>0</v>
          </cell>
          <cell r="G73">
            <v>0</v>
          </cell>
          <cell r="H73">
            <v>980.92</v>
          </cell>
          <cell r="I73">
            <v>531.37</v>
          </cell>
          <cell r="J73">
            <v>0</v>
          </cell>
          <cell r="K73">
            <v>449.55</v>
          </cell>
          <cell r="L73">
            <v>45.83</v>
          </cell>
          <cell r="M73">
            <v>0.06</v>
          </cell>
        </row>
        <row r="74">
          <cell r="A74" t="str">
            <v>KALIPSO</v>
          </cell>
          <cell r="B74">
            <v>9</v>
          </cell>
          <cell r="C74">
            <v>929.49</v>
          </cell>
          <cell r="D74">
            <v>7.5</v>
          </cell>
          <cell r="E74">
            <v>0</v>
          </cell>
          <cell r="F74">
            <v>0</v>
          </cell>
          <cell r="G74">
            <v>0</v>
          </cell>
          <cell r="H74">
            <v>929.49</v>
          </cell>
          <cell r="I74">
            <v>450.78</v>
          </cell>
          <cell r="J74">
            <v>0</v>
          </cell>
          <cell r="K74">
            <v>478.71</v>
          </cell>
          <cell r="L74">
            <v>51.5</v>
          </cell>
          <cell r="M74">
            <v>0.06</v>
          </cell>
        </row>
        <row r="75">
          <cell r="A75" t="str">
            <v>ORBI QUIMICA LTDA</v>
          </cell>
          <cell r="B75">
            <v>7</v>
          </cell>
          <cell r="C75">
            <v>886.45</v>
          </cell>
          <cell r="D75">
            <v>13.04</v>
          </cell>
          <cell r="E75">
            <v>0</v>
          </cell>
          <cell r="F75">
            <v>0</v>
          </cell>
          <cell r="G75">
            <v>0</v>
          </cell>
          <cell r="H75">
            <v>886.45</v>
          </cell>
          <cell r="I75">
            <v>479.59</v>
          </cell>
          <cell r="J75">
            <v>0</v>
          </cell>
          <cell r="K75">
            <v>406.86</v>
          </cell>
          <cell r="L75">
            <v>45.9</v>
          </cell>
          <cell r="M75">
            <v>0.06</v>
          </cell>
        </row>
        <row r="76">
          <cell r="A76" t="str">
            <v>SECALUX</v>
          </cell>
          <cell r="B76">
            <v>3</v>
          </cell>
          <cell r="C76">
            <v>873</v>
          </cell>
          <cell r="D76">
            <v>124.71</v>
          </cell>
          <cell r="E76">
            <v>0</v>
          </cell>
          <cell r="F76">
            <v>0</v>
          </cell>
          <cell r="G76">
            <v>29.9</v>
          </cell>
          <cell r="H76">
            <v>843.1</v>
          </cell>
          <cell r="I76">
            <v>548.86</v>
          </cell>
          <cell r="J76">
            <v>18.03</v>
          </cell>
          <cell r="K76">
            <v>312.27</v>
          </cell>
          <cell r="L76">
            <v>36.520000000000003</v>
          </cell>
          <cell r="M76">
            <v>0.05</v>
          </cell>
        </row>
        <row r="77">
          <cell r="A77" t="str">
            <v>ASTRA</v>
          </cell>
          <cell r="B77">
            <v>9</v>
          </cell>
          <cell r="C77">
            <v>863.05</v>
          </cell>
          <cell r="D77">
            <v>15.98</v>
          </cell>
          <cell r="E77">
            <v>0</v>
          </cell>
          <cell r="F77">
            <v>0</v>
          </cell>
          <cell r="G77">
            <v>0</v>
          </cell>
          <cell r="H77">
            <v>863.05</v>
          </cell>
          <cell r="I77">
            <v>496.64</v>
          </cell>
          <cell r="J77">
            <v>0</v>
          </cell>
          <cell r="K77">
            <v>366.41</v>
          </cell>
          <cell r="L77">
            <v>42.46</v>
          </cell>
          <cell r="M77">
            <v>0.05</v>
          </cell>
        </row>
        <row r="78">
          <cell r="A78" t="str">
            <v>ULTRACLEAN</v>
          </cell>
          <cell r="B78">
            <v>4</v>
          </cell>
          <cell r="C78">
            <v>738.4</v>
          </cell>
          <cell r="D78">
            <v>20.51</v>
          </cell>
          <cell r="E78">
            <v>0</v>
          </cell>
          <cell r="F78">
            <v>0</v>
          </cell>
          <cell r="G78">
            <v>0</v>
          </cell>
          <cell r="H78">
            <v>738.4</v>
          </cell>
          <cell r="I78">
            <v>448.07</v>
          </cell>
          <cell r="J78">
            <v>0</v>
          </cell>
          <cell r="K78">
            <v>290.33</v>
          </cell>
          <cell r="L78">
            <v>39.32</v>
          </cell>
          <cell r="M78">
            <v>0.05</v>
          </cell>
        </row>
        <row r="79">
          <cell r="A79" t="str">
            <v>BOSCH</v>
          </cell>
          <cell r="B79">
            <v>2</v>
          </cell>
          <cell r="C79">
            <v>705.49</v>
          </cell>
          <cell r="D79">
            <v>352.75</v>
          </cell>
          <cell r="E79">
            <v>0</v>
          </cell>
          <cell r="F79">
            <v>0</v>
          </cell>
          <cell r="G79">
            <v>0</v>
          </cell>
          <cell r="H79">
            <v>705.49</v>
          </cell>
          <cell r="I79">
            <v>475.69</v>
          </cell>
          <cell r="J79">
            <v>0</v>
          </cell>
          <cell r="K79">
            <v>229.8</v>
          </cell>
          <cell r="L79">
            <v>32.57</v>
          </cell>
          <cell r="M79">
            <v>0.04</v>
          </cell>
        </row>
        <row r="80">
          <cell r="A80" t="str">
            <v>BLACK ELEPHANT</v>
          </cell>
          <cell r="B80">
            <v>6</v>
          </cell>
          <cell r="C80">
            <v>667.76</v>
          </cell>
          <cell r="D80">
            <v>23.85</v>
          </cell>
          <cell r="E80">
            <v>0</v>
          </cell>
          <cell r="F80">
            <v>0</v>
          </cell>
          <cell r="G80">
            <v>0</v>
          </cell>
          <cell r="H80">
            <v>667.76</v>
          </cell>
          <cell r="I80">
            <v>405.66</v>
          </cell>
          <cell r="J80">
            <v>0</v>
          </cell>
          <cell r="K80">
            <v>262.10000000000002</v>
          </cell>
          <cell r="L80">
            <v>39.25</v>
          </cell>
          <cell r="M80">
            <v>0.04</v>
          </cell>
        </row>
        <row r="81">
          <cell r="A81" t="str">
            <v>TRAMONTINA NORDESTE</v>
          </cell>
          <cell r="B81">
            <v>2</v>
          </cell>
          <cell r="C81">
            <v>667.36</v>
          </cell>
          <cell r="D81">
            <v>333.68</v>
          </cell>
          <cell r="E81">
            <v>0</v>
          </cell>
          <cell r="F81">
            <v>0</v>
          </cell>
          <cell r="G81">
            <v>0</v>
          </cell>
          <cell r="H81">
            <v>667.36</v>
          </cell>
          <cell r="I81">
            <v>454.12</v>
          </cell>
          <cell r="J81">
            <v>0</v>
          </cell>
          <cell r="K81">
            <v>213.24</v>
          </cell>
          <cell r="L81">
            <v>31.95</v>
          </cell>
          <cell r="M81">
            <v>0.04</v>
          </cell>
        </row>
        <row r="82">
          <cell r="A82" t="str">
            <v>LGMAIS</v>
          </cell>
          <cell r="B82">
            <v>3</v>
          </cell>
          <cell r="C82">
            <v>664.43</v>
          </cell>
          <cell r="D82">
            <v>94.92</v>
          </cell>
          <cell r="E82">
            <v>0</v>
          </cell>
          <cell r="F82">
            <v>0</v>
          </cell>
          <cell r="G82">
            <v>123.8</v>
          </cell>
          <cell r="H82">
            <v>540.63</v>
          </cell>
          <cell r="I82">
            <v>585.15</v>
          </cell>
          <cell r="J82">
            <v>74.86</v>
          </cell>
          <cell r="K82">
            <v>30.34</v>
          </cell>
          <cell r="L82">
            <v>5.15</v>
          </cell>
          <cell r="M82">
            <v>0.04</v>
          </cell>
        </row>
        <row r="83">
          <cell r="A83" t="str">
            <v>RHPE</v>
          </cell>
          <cell r="B83">
            <v>3</v>
          </cell>
          <cell r="C83">
            <v>515.4</v>
          </cell>
          <cell r="D83">
            <v>85.9</v>
          </cell>
          <cell r="E83">
            <v>0</v>
          </cell>
          <cell r="F83">
            <v>0</v>
          </cell>
          <cell r="G83">
            <v>0</v>
          </cell>
          <cell r="H83">
            <v>515.4</v>
          </cell>
          <cell r="I83">
            <v>320.04000000000002</v>
          </cell>
          <cell r="J83">
            <v>0</v>
          </cell>
          <cell r="K83">
            <v>195.36</v>
          </cell>
          <cell r="L83">
            <v>37.9</v>
          </cell>
          <cell r="M83">
            <v>0.03</v>
          </cell>
        </row>
        <row r="84">
          <cell r="A84" t="str">
            <v>BRASFORT</v>
          </cell>
          <cell r="B84">
            <v>6</v>
          </cell>
          <cell r="C84">
            <v>500.77</v>
          </cell>
          <cell r="D84">
            <v>21.77</v>
          </cell>
          <cell r="E84">
            <v>0</v>
          </cell>
          <cell r="F84">
            <v>0</v>
          </cell>
          <cell r="G84">
            <v>42.9</v>
          </cell>
          <cell r="H84">
            <v>457.87</v>
          </cell>
          <cell r="I84">
            <v>297.3</v>
          </cell>
          <cell r="J84">
            <v>25.32</v>
          </cell>
          <cell r="K84">
            <v>185.89</v>
          </cell>
          <cell r="L84">
            <v>39.1</v>
          </cell>
          <cell r="M84">
            <v>0.03</v>
          </cell>
        </row>
        <row r="85">
          <cell r="A85" t="str">
            <v>TRAMONTINA ELETRIK S.A.</v>
          </cell>
          <cell r="B85">
            <v>3</v>
          </cell>
          <cell r="C85">
            <v>448.22</v>
          </cell>
          <cell r="D85">
            <v>14.94</v>
          </cell>
          <cell r="E85">
            <v>0</v>
          </cell>
          <cell r="F85">
            <v>0</v>
          </cell>
          <cell r="G85">
            <v>0</v>
          </cell>
          <cell r="H85">
            <v>448.22</v>
          </cell>
          <cell r="I85">
            <v>270.37</v>
          </cell>
          <cell r="J85">
            <v>0</v>
          </cell>
          <cell r="K85">
            <v>177.85</v>
          </cell>
          <cell r="L85">
            <v>39.68</v>
          </cell>
          <cell r="M85">
            <v>0.03</v>
          </cell>
        </row>
        <row r="86">
          <cell r="A86" t="str">
            <v>ARCELORMITTAL</v>
          </cell>
          <cell r="B86">
            <v>4</v>
          </cell>
          <cell r="C86">
            <v>400.5</v>
          </cell>
          <cell r="D86">
            <v>26.7</v>
          </cell>
          <cell r="E86">
            <v>0</v>
          </cell>
          <cell r="F86">
            <v>0</v>
          </cell>
          <cell r="G86">
            <v>0</v>
          </cell>
          <cell r="H86">
            <v>400.5</v>
          </cell>
          <cell r="I86">
            <v>224.15</v>
          </cell>
          <cell r="J86">
            <v>0</v>
          </cell>
          <cell r="K86">
            <v>176.35</v>
          </cell>
          <cell r="L86">
            <v>44.03</v>
          </cell>
          <cell r="M86">
            <v>0.03</v>
          </cell>
        </row>
        <row r="87">
          <cell r="A87" t="str">
            <v>STARRETT INDUSTRIA E COMERCIO</v>
          </cell>
          <cell r="B87">
            <v>3</v>
          </cell>
          <cell r="C87">
            <v>365.7</v>
          </cell>
          <cell r="D87">
            <v>16.62</v>
          </cell>
          <cell r="E87">
            <v>0</v>
          </cell>
          <cell r="F87">
            <v>0</v>
          </cell>
          <cell r="G87">
            <v>0</v>
          </cell>
          <cell r="H87">
            <v>365.7</v>
          </cell>
          <cell r="I87">
            <v>207.91</v>
          </cell>
          <cell r="J87">
            <v>0</v>
          </cell>
          <cell r="K87">
            <v>157.79</v>
          </cell>
          <cell r="L87">
            <v>43.15</v>
          </cell>
          <cell r="M87">
            <v>0.02</v>
          </cell>
        </row>
        <row r="88">
          <cell r="A88" t="str">
            <v>CERBRAS</v>
          </cell>
          <cell r="B88">
            <v>2</v>
          </cell>
          <cell r="C88">
            <v>292.40699999999998</v>
          </cell>
          <cell r="D88">
            <v>67.22</v>
          </cell>
          <cell r="E88">
            <v>0</v>
          </cell>
          <cell r="F88">
            <v>0</v>
          </cell>
          <cell r="G88">
            <v>0</v>
          </cell>
          <cell r="H88">
            <v>292.40699999999998</v>
          </cell>
          <cell r="I88">
            <v>190.83449999999999</v>
          </cell>
          <cell r="J88">
            <v>0</v>
          </cell>
          <cell r="K88">
            <v>101.57250000000001</v>
          </cell>
          <cell r="L88">
            <v>34.74</v>
          </cell>
          <cell r="M88">
            <v>0.02</v>
          </cell>
        </row>
        <row r="89">
          <cell r="A89" t="str">
            <v>COZIMAX</v>
          </cell>
          <cell r="B89">
            <v>2</v>
          </cell>
          <cell r="C89">
            <v>267.8</v>
          </cell>
          <cell r="D89">
            <v>133.9</v>
          </cell>
          <cell r="E89">
            <v>0</v>
          </cell>
          <cell r="F89">
            <v>0</v>
          </cell>
          <cell r="G89">
            <v>0</v>
          </cell>
          <cell r="H89">
            <v>267.8</v>
          </cell>
          <cell r="I89">
            <v>155.52000000000001</v>
          </cell>
          <cell r="J89">
            <v>0</v>
          </cell>
          <cell r="K89">
            <v>112.28</v>
          </cell>
          <cell r="L89">
            <v>41.93</v>
          </cell>
          <cell r="M89">
            <v>0.02</v>
          </cell>
        </row>
        <row r="90">
          <cell r="A90" t="str">
            <v>PRECON</v>
          </cell>
          <cell r="B90">
            <v>1</v>
          </cell>
          <cell r="C90">
            <v>255.53</v>
          </cell>
          <cell r="D90">
            <v>127.77</v>
          </cell>
          <cell r="E90">
            <v>0</v>
          </cell>
          <cell r="F90">
            <v>0</v>
          </cell>
          <cell r="G90">
            <v>0</v>
          </cell>
          <cell r="H90">
            <v>255.53</v>
          </cell>
          <cell r="I90">
            <v>163.26</v>
          </cell>
          <cell r="J90">
            <v>0</v>
          </cell>
          <cell r="K90">
            <v>92.27</v>
          </cell>
          <cell r="L90">
            <v>36.11</v>
          </cell>
          <cell r="M90">
            <v>0.02</v>
          </cell>
        </row>
        <row r="91">
          <cell r="A91" t="str">
            <v>GERDAU</v>
          </cell>
          <cell r="B91">
            <v>3</v>
          </cell>
          <cell r="C91">
            <v>255</v>
          </cell>
          <cell r="D91">
            <v>25.5</v>
          </cell>
          <cell r="E91">
            <v>0</v>
          </cell>
          <cell r="F91">
            <v>0</v>
          </cell>
          <cell r="G91">
            <v>0</v>
          </cell>
          <cell r="H91">
            <v>255</v>
          </cell>
          <cell r="I91">
            <v>133.22999999999999</v>
          </cell>
          <cell r="J91">
            <v>0</v>
          </cell>
          <cell r="K91">
            <v>121.77</v>
          </cell>
          <cell r="L91">
            <v>47.75</v>
          </cell>
          <cell r="M91">
            <v>0.02</v>
          </cell>
        </row>
        <row r="92">
          <cell r="A92" t="str">
            <v>ILUMI</v>
          </cell>
          <cell r="B92">
            <v>3</v>
          </cell>
          <cell r="C92">
            <v>242.5</v>
          </cell>
          <cell r="D92">
            <v>11.55</v>
          </cell>
          <cell r="E92">
            <v>0</v>
          </cell>
          <cell r="F92">
            <v>0</v>
          </cell>
          <cell r="G92">
            <v>0</v>
          </cell>
          <cell r="H92">
            <v>242.5</v>
          </cell>
          <cell r="I92">
            <v>136.80000000000001</v>
          </cell>
          <cell r="J92">
            <v>0</v>
          </cell>
          <cell r="K92">
            <v>105.7</v>
          </cell>
          <cell r="L92">
            <v>43.59</v>
          </cell>
          <cell r="M92">
            <v>0.02</v>
          </cell>
        </row>
        <row r="93">
          <cell r="A93" t="str">
            <v>ARAFORROS</v>
          </cell>
          <cell r="B93">
            <v>1</v>
          </cell>
          <cell r="C93">
            <v>199.9</v>
          </cell>
          <cell r="D93">
            <v>199.9</v>
          </cell>
          <cell r="E93">
            <v>0</v>
          </cell>
          <cell r="F93">
            <v>0</v>
          </cell>
          <cell r="G93">
            <v>199.9</v>
          </cell>
          <cell r="H93">
            <v>0</v>
          </cell>
          <cell r="I93">
            <v>123.39</v>
          </cell>
          <cell r="J93">
            <v>123.39</v>
          </cell>
          <cell r="K93">
            <v>0</v>
          </cell>
          <cell r="L93">
            <v>0</v>
          </cell>
          <cell r="M93">
            <v>0.01</v>
          </cell>
        </row>
        <row r="94">
          <cell r="A94" t="str">
            <v>KDK PORTAS</v>
          </cell>
          <cell r="B94">
            <v>1</v>
          </cell>
          <cell r="C94">
            <v>196.9</v>
          </cell>
          <cell r="D94">
            <v>196.9</v>
          </cell>
          <cell r="E94">
            <v>0</v>
          </cell>
          <cell r="F94">
            <v>0</v>
          </cell>
          <cell r="G94">
            <v>0</v>
          </cell>
          <cell r="H94">
            <v>196.9</v>
          </cell>
          <cell r="I94">
            <v>95</v>
          </cell>
          <cell r="J94">
            <v>0</v>
          </cell>
          <cell r="K94">
            <v>101.9</v>
          </cell>
          <cell r="L94">
            <v>51.75</v>
          </cell>
          <cell r="M94">
            <v>0.01</v>
          </cell>
        </row>
        <row r="95">
          <cell r="A95" t="str">
            <v>Max-Giro</v>
          </cell>
          <cell r="B95">
            <v>4</v>
          </cell>
          <cell r="C95">
            <v>185.46</v>
          </cell>
          <cell r="D95">
            <v>14.27</v>
          </cell>
          <cell r="E95">
            <v>0</v>
          </cell>
          <cell r="F95">
            <v>0</v>
          </cell>
          <cell r="G95">
            <v>0</v>
          </cell>
          <cell r="H95">
            <v>185.46</v>
          </cell>
          <cell r="I95">
            <v>108.57</v>
          </cell>
          <cell r="J95">
            <v>0</v>
          </cell>
          <cell r="K95">
            <v>76.89</v>
          </cell>
          <cell r="L95">
            <v>41.46</v>
          </cell>
          <cell r="M95">
            <v>0.01</v>
          </cell>
        </row>
        <row r="96">
          <cell r="A96" t="str">
            <v>OVERTIME</v>
          </cell>
          <cell r="B96">
            <v>2</v>
          </cell>
          <cell r="C96">
            <v>181.28</v>
          </cell>
          <cell r="D96">
            <v>20.14</v>
          </cell>
          <cell r="E96">
            <v>0</v>
          </cell>
          <cell r="F96">
            <v>0</v>
          </cell>
          <cell r="G96">
            <v>0</v>
          </cell>
          <cell r="H96">
            <v>181.28</v>
          </cell>
          <cell r="I96">
            <v>108.56</v>
          </cell>
          <cell r="J96">
            <v>0</v>
          </cell>
          <cell r="K96">
            <v>72.72</v>
          </cell>
          <cell r="L96">
            <v>40.11</v>
          </cell>
          <cell r="M96">
            <v>0.01</v>
          </cell>
        </row>
        <row r="97">
          <cell r="A97" t="str">
            <v>ELIZABETH PORC.</v>
          </cell>
          <cell r="B97">
            <v>1</v>
          </cell>
          <cell r="C97">
            <v>163.02000000000001</v>
          </cell>
          <cell r="D97">
            <v>42.9</v>
          </cell>
          <cell r="E97">
            <v>0</v>
          </cell>
          <cell r="F97">
            <v>0</v>
          </cell>
          <cell r="G97">
            <v>0</v>
          </cell>
          <cell r="H97">
            <v>163.02000000000001</v>
          </cell>
          <cell r="I97">
            <v>89.451999999999998</v>
          </cell>
          <cell r="J97">
            <v>0</v>
          </cell>
          <cell r="K97">
            <v>73.567999999999998</v>
          </cell>
          <cell r="L97">
            <v>45.13</v>
          </cell>
          <cell r="M97">
            <v>0.01</v>
          </cell>
        </row>
        <row r="98">
          <cell r="A98" t="str">
            <v>TRAMONTINA</v>
          </cell>
          <cell r="B98">
            <v>2</v>
          </cell>
          <cell r="C98">
            <v>152.02000000000001</v>
          </cell>
          <cell r="D98">
            <v>38.01</v>
          </cell>
          <cell r="E98">
            <v>0</v>
          </cell>
          <cell r="F98">
            <v>0</v>
          </cell>
          <cell r="G98">
            <v>0</v>
          </cell>
          <cell r="H98">
            <v>152.02000000000001</v>
          </cell>
          <cell r="I98">
            <v>76.209999999999994</v>
          </cell>
          <cell r="J98">
            <v>0</v>
          </cell>
          <cell r="K98">
            <v>75.81</v>
          </cell>
          <cell r="L98">
            <v>49.87</v>
          </cell>
          <cell r="M98">
            <v>0.01</v>
          </cell>
        </row>
        <row r="99">
          <cell r="A99" t="str">
            <v>LEDAN</v>
          </cell>
          <cell r="B99">
            <v>4</v>
          </cell>
          <cell r="C99">
            <v>148</v>
          </cell>
          <cell r="D99">
            <v>12.33</v>
          </cell>
          <cell r="E99">
            <v>0</v>
          </cell>
          <cell r="F99">
            <v>0</v>
          </cell>
          <cell r="G99">
            <v>0</v>
          </cell>
          <cell r="H99">
            <v>148</v>
          </cell>
          <cell r="I99">
            <v>90.24</v>
          </cell>
          <cell r="J99">
            <v>0</v>
          </cell>
          <cell r="K99">
            <v>57.76</v>
          </cell>
          <cell r="L99">
            <v>39.03</v>
          </cell>
          <cell r="M99">
            <v>0.01</v>
          </cell>
        </row>
        <row r="100">
          <cell r="A100" t="str">
            <v>FORTLINE</v>
          </cell>
          <cell r="B100">
            <v>1</v>
          </cell>
          <cell r="C100">
            <v>139.9</v>
          </cell>
          <cell r="D100">
            <v>139.9</v>
          </cell>
          <cell r="E100">
            <v>0</v>
          </cell>
          <cell r="F100">
            <v>0</v>
          </cell>
          <cell r="G100">
            <v>0</v>
          </cell>
          <cell r="H100">
            <v>139.9</v>
          </cell>
          <cell r="I100">
            <v>83.54</v>
          </cell>
          <cell r="J100">
            <v>0</v>
          </cell>
          <cell r="K100">
            <v>56.36</v>
          </cell>
          <cell r="L100">
            <v>40.29</v>
          </cell>
          <cell r="M100">
            <v>0.01</v>
          </cell>
        </row>
        <row r="101">
          <cell r="A101" t="str">
            <v>NOVA FIXACAO</v>
          </cell>
          <cell r="B101">
            <v>1</v>
          </cell>
          <cell r="C101">
            <v>123.38</v>
          </cell>
          <cell r="D101">
            <v>1.99</v>
          </cell>
          <cell r="E101">
            <v>0</v>
          </cell>
          <cell r="F101">
            <v>0</v>
          </cell>
          <cell r="G101">
            <v>0</v>
          </cell>
          <cell r="H101">
            <v>123.38</v>
          </cell>
          <cell r="I101">
            <v>71.92</v>
          </cell>
          <cell r="J101">
            <v>0</v>
          </cell>
          <cell r="K101">
            <v>51.46</v>
          </cell>
          <cell r="L101">
            <v>41.71</v>
          </cell>
          <cell r="M101">
            <v>0.01</v>
          </cell>
        </row>
        <row r="102">
          <cell r="A102" t="str">
            <v>RANCAN</v>
          </cell>
          <cell r="B102">
            <v>1</v>
          </cell>
          <cell r="C102">
            <v>119.8</v>
          </cell>
          <cell r="D102">
            <v>59.9</v>
          </cell>
          <cell r="E102">
            <v>0</v>
          </cell>
          <cell r="F102">
            <v>0</v>
          </cell>
          <cell r="G102">
            <v>0</v>
          </cell>
          <cell r="H102">
            <v>119.8</v>
          </cell>
          <cell r="I102">
            <v>67.56</v>
          </cell>
          <cell r="J102">
            <v>0</v>
          </cell>
          <cell r="K102">
            <v>52.24</v>
          </cell>
          <cell r="L102">
            <v>43.61</v>
          </cell>
          <cell r="M102">
            <v>0.01</v>
          </cell>
        </row>
        <row r="103">
          <cell r="A103" t="str">
            <v>STAM</v>
          </cell>
          <cell r="B103">
            <v>2</v>
          </cell>
          <cell r="C103">
            <v>119.7</v>
          </cell>
          <cell r="D103">
            <v>39.9</v>
          </cell>
          <cell r="E103">
            <v>0</v>
          </cell>
          <cell r="F103">
            <v>0</v>
          </cell>
          <cell r="G103">
            <v>0</v>
          </cell>
          <cell r="H103">
            <v>119.7</v>
          </cell>
          <cell r="I103">
            <v>68.150000000000006</v>
          </cell>
          <cell r="J103">
            <v>0</v>
          </cell>
          <cell r="K103">
            <v>51.55</v>
          </cell>
          <cell r="L103">
            <v>43.07</v>
          </cell>
          <cell r="M103">
            <v>0.01</v>
          </cell>
        </row>
        <row r="104">
          <cell r="A104" t="str">
            <v>COMFORT DOOR</v>
          </cell>
          <cell r="B104">
            <v>2</v>
          </cell>
          <cell r="C104">
            <v>117.8</v>
          </cell>
          <cell r="D104">
            <v>23.56</v>
          </cell>
          <cell r="E104">
            <v>0</v>
          </cell>
          <cell r="F104">
            <v>0</v>
          </cell>
          <cell r="G104">
            <v>0</v>
          </cell>
          <cell r="H104">
            <v>117.8</v>
          </cell>
          <cell r="I104">
            <v>62.87</v>
          </cell>
          <cell r="J104">
            <v>0</v>
          </cell>
          <cell r="K104">
            <v>54.93</v>
          </cell>
          <cell r="L104">
            <v>46.63</v>
          </cell>
          <cell r="M104">
            <v>0.01</v>
          </cell>
        </row>
        <row r="105">
          <cell r="A105" t="str">
            <v>J LOBATO</v>
          </cell>
          <cell r="B105">
            <v>2</v>
          </cell>
          <cell r="C105">
            <v>79.489999999999995</v>
          </cell>
          <cell r="D105">
            <v>15.9</v>
          </cell>
          <cell r="E105">
            <v>0</v>
          </cell>
          <cell r="F105">
            <v>0</v>
          </cell>
          <cell r="G105">
            <v>0</v>
          </cell>
          <cell r="H105">
            <v>79.489999999999995</v>
          </cell>
          <cell r="I105">
            <v>35.85</v>
          </cell>
          <cell r="J105">
            <v>0</v>
          </cell>
          <cell r="K105">
            <v>43.64</v>
          </cell>
          <cell r="L105">
            <v>54.9</v>
          </cell>
          <cell r="M105">
            <v>0.01</v>
          </cell>
        </row>
        <row r="106">
          <cell r="A106" t="str">
            <v>ONDULINE</v>
          </cell>
          <cell r="B106">
            <v>2</v>
          </cell>
          <cell r="C106">
            <v>71.7</v>
          </cell>
          <cell r="D106">
            <v>23.9</v>
          </cell>
          <cell r="E106">
            <v>0</v>
          </cell>
          <cell r="F106">
            <v>0</v>
          </cell>
          <cell r="G106">
            <v>0</v>
          </cell>
          <cell r="H106">
            <v>71.7</v>
          </cell>
          <cell r="I106">
            <v>52.05</v>
          </cell>
          <cell r="J106">
            <v>0</v>
          </cell>
          <cell r="K106">
            <v>19.649999999999999</v>
          </cell>
          <cell r="L106">
            <v>27.41</v>
          </cell>
          <cell r="M106">
            <v>0</v>
          </cell>
        </row>
        <row r="107">
          <cell r="A107" t="str">
            <v>PADOVA</v>
          </cell>
          <cell r="B107">
            <v>2</v>
          </cell>
          <cell r="C107">
            <v>71.22</v>
          </cell>
          <cell r="D107">
            <v>23.74</v>
          </cell>
          <cell r="E107">
            <v>0</v>
          </cell>
          <cell r="F107">
            <v>0</v>
          </cell>
          <cell r="G107">
            <v>23.9</v>
          </cell>
          <cell r="H107">
            <v>47.32</v>
          </cell>
          <cell r="I107">
            <v>43.98</v>
          </cell>
          <cell r="J107">
            <v>14.66</v>
          </cell>
          <cell r="K107">
            <v>18</v>
          </cell>
          <cell r="L107">
            <v>31.82</v>
          </cell>
          <cell r="M107">
            <v>0</v>
          </cell>
        </row>
        <row r="108">
          <cell r="A108" t="str">
            <v>INJEPLAST</v>
          </cell>
          <cell r="B108">
            <v>3</v>
          </cell>
          <cell r="C108">
            <v>67.2</v>
          </cell>
          <cell r="D108">
            <v>0.4</v>
          </cell>
          <cell r="E108">
            <v>0</v>
          </cell>
          <cell r="F108">
            <v>0</v>
          </cell>
          <cell r="G108">
            <v>0</v>
          </cell>
          <cell r="H108">
            <v>67.2</v>
          </cell>
          <cell r="I108">
            <v>30.24</v>
          </cell>
          <cell r="J108">
            <v>0</v>
          </cell>
          <cell r="K108">
            <v>36.96</v>
          </cell>
          <cell r="L108">
            <v>55</v>
          </cell>
          <cell r="M108">
            <v>0</v>
          </cell>
        </row>
        <row r="109">
          <cell r="A109" t="str">
            <v>EMPLAC</v>
          </cell>
          <cell r="B109">
            <v>2</v>
          </cell>
          <cell r="C109">
            <v>58.5</v>
          </cell>
          <cell r="D109">
            <v>6.5</v>
          </cell>
          <cell r="E109">
            <v>0</v>
          </cell>
          <cell r="F109">
            <v>0</v>
          </cell>
          <cell r="G109">
            <v>0</v>
          </cell>
          <cell r="H109">
            <v>58.5</v>
          </cell>
          <cell r="I109">
            <v>28.36</v>
          </cell>
          <cell r="J109">
            <v>0</v>
          </cell>
          <cell r="K109">
            <v>30.14</v>
          </cell>
          <cell r="L109">
            <v>51.52</v>
          </cell>
          <cell r="M109">
            <v>0</v>
          </cell>
        </row>
        <row r="110">
          <cell r="A110" t="str">
            <v>PINTSILK</v>
          </cell>
          <cell r="B110">
            <v>1</v>
          </cell>
          <cell r="C110">
            <v>56.9</v>
          </cell>
          <cell r="D110">
            <v>56.9</v>
          </cell>
          <cell r="E110">
            <v>0</v>
          </cell>
          <cell r="F110">
            <v>0</v>
          </cell>
          <cell r="G110">
            <v>0</v>
          </cell>
          <cell r="H110">
            <v>56.9</v>
          </cell>
          <cell r="I110">
            <v>34.26</v>
          </cell>
          <cell r="J110">
            <v>0</v>
          </cell>
          <cell r="K110">
            <v>22.64</v>
          </cell>
          <cell r="L110">
            <v>39.79</v>
          </cell>
          <cell r="M110">
            <v>0</v>
          </cell>
        </row>
        <row r="111">
          <cell r="A111" t="str">
            <v>EXTRALUX</v>
          </cell>
          <cell r="B111">
            <v>2</v>
          </cell>
          <cell r="C111">
            <v>46.9</v>
          </cell>
          <cell r="D111">
            <v>23.45</v>
          </cell>
          <cell r="E111">
            <v>0</v>
          </cell>
          <cell r="F111">
            <v>0</v>
          </cell>
          <cell r="G111">
            <v>0</v>
          </cell>
          <cell r="H111">
            <v>46.9</v>
          </cell>
          <cell r="I111">
            <v>28.2</v>
          </cell>
          <cell r="J111">
            <v>0</v>
          </cell>
          <cell r="K111">
            <v>18.7</v>
          </cell>
          <cell r="L111">
            <v>39.869999999999997</v>
          </cell>
          <cell r="M111">
            <v>0</v>
          </cell>
        </row>
        <row r="112">
          <cell r="A112" t="str">
            <v>ANJO QUIMICA DO BRASIL LTDA</v>
          </cell>
          <cell r="B112">
            <v>1</v>
          </cell>
          <cell r="C112">
            <v>41.8</v>
          </cell>
          <cell r="D112">
            <v>20.9</v>
          </cell>
          <cell r="E112">
            <v>0</v>
          </cell>
          <cell r="F112">
            <v>0</v>
          </cell>
          <cell r="G112">
            <v>83.6</v>
          </cell>
          <cell r="H112">
            <v>-41.8</v>
          </cell>
          <cell r="I112">
            <v>26.3</v>
          </cell>
          <cell r="J112">
            <v>52.6</v>
          </cell>
          <cell r="K112">
            <v>-15.5</v>
          </cell>
          <cell r="L112">
            <v>0</v>
          </cell>
          <cell r="M112">
            <v>0</v>
          </cell>
        </row>
        <row r="113">
          <cell r="A113" t="str">
            <v>KAPAZI</v>
          </cell>
          <cell r="B113">
            <v>1</v>
          </cell>
          <cell r="C113">
            <v>29.9</v>
          </cell>
          <cell r="D113">
            <v>29.9</v>
          </cell>
          <cell r="E113">
            <v>0</v>
          </cell>
          <cell r="F113">
            <v>0</v>
          </cell>
          <cell r="G113">
            <v>29.9</v>
          </cell>
          <cell r="H113">
            <v>0</v>
          </cell>
          <cell r="I113">
            <v>19.34</v>
          </cell>
          <cell r="J113">
            <v>19.34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EXTRALUZ</v>
          </cell>
          <cell r="B114">
            <v>1</v>
          </cell>
          <cell r="C114">
            <v>21.9</v>
          </cell>
          <cell r="D114">
            <v>21.9</v>
          </cell>
          <cell r="E114">
            <v>0</v>
          </cell>
          <cell r="F114">
            <v>0</v>
          </cell>
          <cell r="G114">
            <v>0</v>
          </cell>
          <cell r="H114">
            <v>21.9</v>
          </cell>
          <cell r="I114">
            <v>12.96</v>
          </cell>
          <cell r="J114">
            <v>0</v>
          </cell>
          <cell r="K114">
            <v>8.94</v>
          </cell>
          <cell r="L114">
            <v>40.82</v>
          </cell>
          <cell r="M114">
            <v>0</v>
          </cell>
        </row>
        <row r="115">
          <cell r="A115" t="str">
            <v>PHILIPS ILUMINACAO LA</v>
          </cell>
          <cell r="B115">
            <v>1</v>
          </cell>
          <cell r="C115">
            <v>9.9</v>
          </cell>
          <cell r="D115">
            <v>9.9</v>
          </cell>
          <cell r="E115">
            <v>0</v>
          </cell>
          <cell r="F115">
            <v>0</v>
          </cell>
          <cell r="G115">
            <v>0</v>
          </cell>
          <cell r="H115">
            <v>9.9</v>
          </cell>
          <cell r="I115">
            <v>5.93</v>
          </cell>
          <cell r="J115">
            <v>0</v>
          </cell>
          <cell r="K115">
            <v>3.97</v>
          </cell>
          <cell r="L115">
            <v>40.1</v>
          </cell>
          <cell r="M115">
            <v>0</v>
          </cell>
        </row>
        <row r="116">
          <cell r="A116" t="str">
            <v>INCA</v>
          </cell>
          <cell r="B116">
            <v>1</v>
          </cell>
          <cell r="C116">
            <v>3.1</v>
          </cell>
          <cell r="D116">
            <v>3.1</v>
          </cell>
          <cell r="E116">
            <v>0</v>
          </cell>
          <cell r="F116">
            <v>0</v>
          </cell>
          <cell r="G116">
            <v>0</v>
          </cell>
          <cell r="H116">
            <v>3.1</v>
          </cell>
          <cell r="I116">
            <v>1.64</v>
          </cell>
          <cell r="J116">
            <v>0</v>
          </cell>
          <cell r="K116">
            <v>1.46</v>
          </cell>
          <cell r="L116">
            <v>47.1</v>
          </cell>
          <cell r="M116">
            <v>0</v>
          </cell>
        </row>
        <row r="117">
          <cell r="A117" t="str">
            <v>outros</v>
          </cell>
          <cell r="B117">
            <v>0</v>
          </cell>
          <cell r="C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2.377</v>
          </cell>
          <cell r="C118" t="str">
            <v>1.587.542,85</v>
          </cell>
          <cell r="E118" t="str">
            <v>0,00</v>
          </cell>
          <cell r="F118" t="str">
            <v>0,00</v>
          </cell>
          <cell r="G118" t="str">
            <v>36.564,28</v>
          </cell>
          <cell r="H118" t="str">
            <v>1.550.978,57</v>
          </cell>
          <cell r="I118" t="str">
            <v>973.858,72</v>
          </cell>
          <cell r="J118" t="str">
            <v>22.643,80</v>
          </cell>
          <cell r="K118" t="str">
            <v>599.763,65</v>
          </cell>
          <cell r="L118" t="str">
            <v>38,67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OUT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349</v>
          </cell>
          <cell r="C2">
            <v>413584.18890000001</v>
          </cell>
          <cell r="D2">
            <v>28.73</v>
          </cell>
          <cell r="E2">
            <v>0</v>
          </cell>
          <cell r="F2">
            <v>0</v>
          </cell>
          <cell r="G2">
            <v>32650.7369</v>
          </cell>
          <cell r="H2">
            <v>380933.45199999999</v>
          </cell>
          <cell r="I2">
            <v>294369.28529999999</v>
          </cell>
          <cell r="J2">
            <v>25481.9483</v>
          </cell>
          <cell r="K2">
            <v>112046.11500000001</v>
          </cell>
          <cell r="L2">
            <v>28.87</v>
          </cell>
          <cell r="M2">
            <v>20.66</v>
          </cell>
        </row>
        <row r="3">
          <cell r="A3" t="str">
            <v>IQUINE</v>
          </cell>
          <cell r="B3">
            <v>126</v>
          </cell>
          <cell r="C3">
            <v>185886.81580000001</v>
          </cell>
          <cell r="D3">
            <v>38.99</v>
          </cell>
          <cell r="E3">
            <v>0</v>
          </cell>
          <cell r="F3">
            <v>0</v>
          </cell>
          <cell r="G3">
            <v>3854.7521000000002</v>
          </cell>
          <cell r="H3">
            <v>182032.0637</v>
          </cell>
          <cell r="I3">
            <v>112661.0714</v>
          </cell>
          <cell r="J3">
            <v>2330.8591999999999</v>
          </cell>
          <cell r="K3">
            <v>71701.851500000004</v>
          </cell>
          <cell r="L3">
            <v>39.06</v>
          </cell>
          <cell r="M3">
            <v>9.2899999999999991</v>
          </cell>
        </row>
        <row r="4">
          <cell r="A4" t="str">
            <v>DO MESTRE</v>
          </cell>
          <cell r="B4">
            <v>370</v>
          </cell>
          <cell r="C4">
            <v>164965.74</v>
          </cell>
          <cell r="D4">
            <v>23.5</v>
          </cell>
          <cell r="E4">
            <v>0</v>
          </cell>
          <cell r="F4">
            <v>0</v>
          </cell>
          <cell r="G4">
            <v>5060.4584000000004</v>
          </cell>
          <cell r="H4">
            <v>159905.28159999999</v>
          </cell>
          <cell r="I4">
            <v>95594.57</v>
          </cell>
          <cell r="J4">
            <v>2913.9</v>
          </cell>
          <cell r="K4">
            <v>67224.611600000004</v>
          </cell>
          <cell r="L4">
            <v>41.48</v>
          </cell>
          <cell r="M4">
            <v>8.24</v>
          </cell>
        </row>
        <row r="5">
          <cell r="A5" t="str">
            <v>MEGAÓ</v>
          </cell>
          <cell r="B5">
            <v>110</v>
          </cell>
          <cell r="C5">
            <v>132536.66</v>
          </cell>
          <cell r="D5">
            <v>60.03</v>
          </cell>
          <cell r="E5">
            <v>0</v>
          </cell>
          <cell r="F5">
            <v>0</v>
          </cell>
          <cell r="G5">
            <v>2379.1</v>
          </cell>
          <cell r="H5">
            <v>130157.56</v>
          </cell>
          <cell r="I5">
            <v>79564.02</v>
          </cell>
          <cell r="J5">
            <v>1483.03</v>
          </cell>
          <cell r="K5">
            <v>52076.57</v>
          </cell>
          <cell r="L5">
            <v>39.74</v>
          </cell>
          <cell r="M5">
            <v>6.62</v>
          </cell>
        </row>
        <row r="6">
          <cell r="A6" t="str">
            <v>POINTER</v>
          </cell>
          <cell r="B6">
            <v>155</v>
          </cell>
          <cell r="C6">
            <v>129852.299</v>
          </cell>
          <cell r="D6">
            <v>34.659999999999997</v>
          </cell>
          <cell r="E6">
            <v>0</v>
          </cell>
          <cell r="F6">
            <v>0</v>
          </cell>
          <cell r="G6">
            <v>6323.7867999999999</v>
          </cell>
          <cell r="H6">
            <v>123528.5122</v>
          </cell>
          <cell r="I6">
            <v>82901.165099999998</v>
          </cell>
          <cell r="J6">
            <v>4038.5506</v>
          </cell>
          <cell r="K6">
            <v>44665.897700000001</v>
          </cell>
          <cell r="L6">
            <v>35.5</v>
          </cell>
          <cell r="M6">
            <v>6.49</v>
          </cell>
        </row>
        <row r="7">
          <cell r="A7" t="str">
            <v>ARIELLE</v>
          </cell>
          <cell r="B7">
            <v>129</v>
          </cell>
          <cell r="C7">
            <v>108404.5981</v>
          </cell>
          <cell r="D7">
            <v>36.369999999999997</v>
          </cell>
          <cell r="E7">
            <v>0</v>
          </cell>
          <cell r="F7">
            <v>0</v>
          </cell>
          <cell r="G7">
            <v>2668.3526999999999</v>
          </cell>
          <cell r="H7">
            <v>105736.2454</v>
          </cell>
          <cell r="I7">
            <v>67195.126600000003</v>
          </cell>
          <cell r="J7">
            <v>1647.126</v>
          </cell>
          <cell r="K7">
            <v>40188.2448</v>
          </cell>
          <cell r="L7">
            <v>37.64</v>
          </cell>
          <cell r="M7">
            <v>5.42</v>
          </cell>
        </row>
        <row r="8">
          <cell r="A8" t="str">
            <v>ROCA</v>
          </cell>
          <cell r="B8">
            <v>74</v>
          </cell>
          <cell r="C8">
            <v>70217.61</v>
          </cell>
          <cell r="D8">
            <v>224.34</v>
          </cell>
          <cell r="E8">
            <v>0</v>
          </cell>
          <cell r="F8">
            <v>0</v>
          </cell>
          <cell r="G8">
            <v>2889.4</v>
          </cell>
          <cell r="H8">
            <v>67328.210000000006</v>
          </cell>
          <cell r="I8">
            <v>48055.73</v>
          </cell>
          <cell r="J8">
            <v>1918.81</v>
          </cell>
          <cell r="K8">
            <v>21191.29</v>
          </cell>
          <cell r="L8">
            <v>31.03</v>
          </cell>
          <cell r="M8">
            <v>3.51</v>
          </cell>
        </row>
        <row r="9">
          <cell r="A9" t="str">
            <v>WEBER QUARTZOLIT</v>
          </cell>
          <cell r="B9">
            <v>161</v>
          </cell>
          <cell r="C9">
            <v>64466.47</v>
          </cell>
          <cell r="D9">
            <v>31.82</v>
          </cell>
          <cell r="E9">
            <v>0</v>
          </cell>
          <cell r="F9">
            <v>0</v>
          </cell>
          <cell r="G9">
            <v>1043.2</v>
          </cell>
          <cell r="H9">
            <v>63423.27</v>
          </cell>
          <cell r="I9">
            <v>39480.980000000003</v>
          </cell>
          <cell r="J9">
            <v>660.83</v>
          </cell>
          <cell r="K9">
            <v>24603.119999999999</v>
          </cell>
          <cell r="L9">
            <v>38.56</v>
          </cell>
          <cell r="M9">
            <v>3.22</v>
          </cell>
        </row>
        <row r="10">
          <cell r="A10" t="str">
            <v>BRASILIT</v>
          </cell>
          <cell r="B10">
            <v>34</v>
          </cell>
          <cell r="C10">
            <v>54219.56</v>
          </cell>
          <cell r="D10">
            <v>73.87</v>
          </cell>
          <cell r="E10">
            <v>0</v>
          </cell>
          <cell r="F10">
            <v>0</v>
          </cell>
          <cell r="G10">
            <v>1844.98</v>
          </cell>
          <cell r="H10">
            <v>52374.58</v>
          </cell>
          <cell r="I10">
            <v>44741.97</v>
          </cell>
          <cell r="J10">
            <v>1406.23</v>
          </cell>
          <cell r="K10">
            <v>9038.84</v>
          </cell>
          <cell r="L10">
            <v>17.11</v>
          </cell>
          <cell r="M10">
            <v>2.71</v>
          </cell>
        </row>
        <row r="11">
          <cell r="A11" t="str">
            <v>QUALITY</v>
          </cell>
          <cell r="B11">
            <v>61</v>
          </cell>
          <cell r="C11">
            <v>46931.73</v>
          </cell>
          <cell r="D11">
            <v>253.69</v>
          </cell>
          <cell r="E11">
            <v>0</v>
          </cell>
          <cell r="F11">
            <v>0</v>
          </cell>
          <cell r="G11">
            <v>2182.8000000000002</v>
          </cell>
          <cell r="H11">
            <v>44748.93</v>
          </cell>
          <cell r="I11">
            <v>29797.4</v>
          </cell>
          <cell r="J11">
            <v>1510.59</v>
          </cell>
          <cell r="K11">
            <v>16462.12</v>
          </cell>
          <cell r="L11">
            <v>36.24</v>
          </cell>
          <cell r="M11">
            <v>2.34</v>
          </cell>
        </row>
        <row r="12">
          <cell r="A12" t="str">
            <v>TECNOGRES</v>
          </cell>
          <cell r="B12">
            <v>40</v>
          </cell>
          <cell r="C12">
            <v>45457.481800000001</v>
          </cell>
          <cell r="D12">
            <v>51</v>
          </cell>
          <cell r="E12">
            <v>0</v>
          </cell>
          <cell r="F12">
            <v>0</v>
          </cell>
          <cell r="G12">
            <v>269.60000000000002</v>
          </cell>
          <cell r="H12">
            <v>45187.881800000003</v>
          </cell>
          <cell r="I12">
            <v>26378.936900000001</v>
          </cell>
          <cell r="J12">
            <v>173.68</v>
          </cell>
          <cell r="K12">
            <v>18982.624899999999</v>
          </cell>
          <cell r="L12">
            <v>41.92</v>
          </cell>
          <cell r="M12">
            <v>2.27</v>
          </cell>
        </row>
        <row r="13">
          <cell r="A13" t="str">
            <v>ELIZABETH</v>
          </cell>
          <cell r="B13">
            <v>42</v>
          </cell>
          <cell r="C13">
            <v>36466.340100000001</v>
          </cell>
          <cell r="D13">
            <v>25.8</v>
          </cell>
          <cell r="E13">
            <v>0</v>
          </cell>
          <cell r="F13">
            <v>0</v>
          </cell>
          <cell r="G13">
            <v>412.1</v>
          </cell>
          <cell r="H13">
            <v>36054.240100000003</v>
          </cell>
          <cell r="I13">
            <v>22234.7392</v>
          </cell>
          <cell r="J13">
            <v>245.07239999999999</v>
          </cell>
          <cell r="K13">
            <v>14064.5733</v>
          </cell>
          <cell r="L13">
            <v>38.83</v>
          </cell>
          <cell r="M13">
            <v>1.82</v>
          </cell>
        </row>
        <row r="14">
          <cell r="A14" t="str">
            <v>NORCOLA</v>
          </cell>
          <cell r="B14">
            <v>17</v>
          </cell>
          <cell r="C14">
            <v>35679.81</v>
          </cell>
          <cell r="D14">
            <v>214.94</v>
          </cell>
          <cell r="E14">
            <v>0</v>
          </cell>
          <cell r="F14">
            <v>0</v>
          </cell>
          <cell r="G14">
            <v>518.88</v>
          </cell>
          <cell r="H14">
            <v>35160.93</v>
          </cell>
          <cell r="I14">
            <v>26120.74</v>
          </cell>
          <cell r="J14">
            <v>356.33</v>
          </cell>
          <cell r="K14">
            <v>9396.52</v>
          </cell>
          <cell r="L14">
            <v>26.6</v>
          </cell>
          <cell r="M14">
            <v>1.78</v>
          </cell>
        </row>
        <row r="15">
          <cell r="A15" t="str">
            <v>FORTLEV</v>
          </cell>
          <cell r="B15">
            <v>61</v>
          </cell>
          <cell r="C15">
            <v>33124.76</v>
          </cell>
          <cell r="D15">
            <v>8.92</v>
          </cell>
          <cell r="E15">
            <v>0</v>
          </cell>
          <cell r="F15">
            <v>0</v>
          </cell>
          <cell r="G15">
            <v>1738.5</v>
          </cell>
          <cell r="H15">
            <v>31386.26</v>
          </cell>
          <cell r="I15">
            <v>22965.72</v>
          </cell>
          <cell r="J15">
            <v>1208.6400000000001</v>
          </cell>
          <cell r="K15">
            <v>9629.18</v>
          </cell>
          <cell r="L15">
            <v>30.17</v>
          </cell>
          <cell r="M15">
            <v>1.65</v>
          </cell>
        </row>
        <row r="16">
          <cell r="A16" t="str">
            <v>ATLAS</v>
          </cell>
          <cell r="B16">
            <v>112</v>
          </cell>
          <cell r="C16">
            <v>30882.26</v>
          </cell>
          <cell r="D16">
            <v>15.71</v>
          </cell>
          <cell r="E16">
            <v>0</v>
          </cell>
          <cell r="F16">
            <v>0</v>
          </cell>
          <cell r="G16">
            <v>207.18</v>
          </cell>
          <cell r="H16">
            <v>30675.08</v>
          </cell>
          <cell r="I16">
            <v>16612.98</v>
          </cell>
          <cell r="J16">
            <v>113.97</v>
          </cell>
          <cell r="K16">
            <v>14176.07</v>
          </cell>
          <cell r="L16">
            <v>46.07</v>
          </cell>
          <cell r="M16">
            <v>1.54</v>
          </cell>
        </row>
        <row r="17">
          <cell r="A17" t="str">
            <v>LORENZETTI</v>
          </cell>
          <cell r="B17">
            <v>31</v>
          </cell>
          <cell r="C17">
            <v>27440.12</v>
          </cell>
          <cell r="D17">
            <v>128.22</v>
          </cell>
          <cell r="E17">
            <v>0</v>
          </cell>
          <cell r="F17">
            <v>0</v>
          </cell>
          <cell r="G17">
            <v>577.4</v>
          </cell>
          <cell r="H17">
            <v>26862.720000000001</v>
          </cell>
          <cell r="I17">
            <v>17339.88</v>
          </cell>
          <cell r="J17">
            <v>358.76</v>
          </cell>
          <cell r="K17">
            <v>9881.6</v>
          </cell>
          <cell r="L17">
            <v>36.49</v>
          </cell>
          <cell r="M17">
            <v>1.37</v>
          </cell>
        </row>
        <row r="18">
          <cell r="A18" t="str">
            <v>MEC-TRONIC</v>
          </cell>
          <cell r="B18">
            <v>48</v>
          </cell>
          <cell r="C18">
            <v>18430.939999999999</v>
          </cell>
          <cell r="D18">
            <v>10.199999999999999</v>
          </cell>
          <cell r="E18">
            <v>0</v>
          </cell>
          <cell r="F18">
            <v>0</v>
          </cell>
          <cell r="G18">
            <v>236.61</v>
          </cell>
          <cell r="H18">
            <v>18194.330000000002</v>
          </cell>
          <cell r="I18">
            <v>9909.9699999999993</v>
          </cell>
          <cell r="J18">
            <v>133.58000000000001</v>
          </cell>
          <cell r="K18">
            <v>8417.94</v>
          </cell>
          <cell r="L18">
            <v>46.01</v>
          </cell>
          <cell r="M18">
            <v>0.92</v>
          </cell>
        </row>
        <row r="19">
          <cell r="A19" t="str">
            <v>MADELAR</v>
          </cell>
          <cell r="B19">
            <v>37</v>
          </cell>
          <cell r="C19">
            <v>18343.53</v>
          </cell>
          <cell r="D19">
            <v>165.26</v>
          </cell>
          <cell r="E19">
            <v>0</v>
          </cell>
          <cell r="F19">
            <v>0</v>
          </cell>
          <cell r="G19">
            <v>618.83000000000004</v>
          </cell>
          <cell r="H19">
            <v>17724.7</v>
          </cell>
          <cell r="I19">
            <v>10604</v>
          </cell>
          <cell r="J19">
            <v>369</v>
          </cell>
          <cell r="K19">
            <v>7489.7</v>
          </cell>
          <cell r="L19">
            <v>41.67</v>
          </cell>
          <cell r="M19">
            <v>0.92</v>
          </cell>
        </row>
        <row r="20">
          <cell r="A20" t="str">
            <v>Perfilplast Industria e Comerc</v>
          </cell>
          <cell r="B20">
            <v>30</v>
          </cell>
          <cell r="C20">
            <v>16900.8</v>
          </cell>
          <cell r="D20">
            <v>57.41</v>
          </cell>
          <cell r="E20">
            <v>0</v>
          </cell>
          <cell r="F20">
            <v>0</v>
          </cell>
          <cell r="G20">
            <v>197.8</v>
          </cell>
          <cell r="H20">
            <v>16703</v>
          </cell>
          <cell r="I20">
            <v>10160.034</v>
          </cell>
          <cell r="J20">
            <v>116.65</v>
          </cell>
          <cell r="K20">
            <v>6659.616</v>
          </cell>
          <cell r="L20">
            <v>39.68</v>
          </cell>
          <cell r="M20">
            <v>0.84</v>
          </cell>
        </row>
        <row r="21">
          <cell r="A21" t="str">
            <v>GHEL'PLUS</v>
          </cell>
          <cell r="B21">
            <v>31</v>
          </cell>
          <cell r="C21">
            <v>15744.49</v>
          </cell>
          <cell r="D21">
            <v>117.5</v>
          </cell>
          <cell r="E21">
            <v>0</v>
          </cell>
          <cell r="F21">
            <v>0</v>
          </cell>
          <cell r="G21">
            <v>258.89999999999998</v>
          </cell>
          <cell r="H21">
            <v>15485.59</v>
          </cell>
          <cell r="I21">
            <v>9608.83</v>
          </cell>
          <cell r="J21">
            <v>158.41999999999999</v>
          </cell>
          <cell r="K21">
            <v>6035.18</v>
          </cell>
          <cell r="L21">
            <v>38.72</v>
          </cell>
          <cell r="M21">
            <v>0.79</v>
          </cell>
        </row>
        <row r="22">
          <cell r="A22" t="str">
            <v>LEDVANCE</v>
          </cell>
          <cell r="B22">
            <v>38</v>
          </cell>
          <cell r="C22">
            <v>15578.58</v>
          </cell>
          <cell r="D22">
            <v>10.58</v>
          </cell>
          <cell r="E22">
            <v>0</v>
          </cell>
          <cell r="F22">
            <v>0</v>
          </cell>
          <cell r="G22">
            <v>349.01</v>
          </cell>
          <cell r="H22">
            <v>15229.57</v>
          </cell>
          <cell r="I22">
            <v>9304.68</v>
          </cell>
          <cell r="J22">
            <v>189.66</v>
          </cell>
          <cell r="K22">
            <v>6114.55</v>
          </cell>
          <cell r="L22">
            <v>39.729999999999997</v>
          </cell>
          <cell r="M22">
            <v>0.78</v>
          </cell>
        </row>
        <row r="23">
          <cell r="A23" t="str">
            <v>METAIS LEAO</v>
          </cell>
          <cell r="B23">
            <v>26</v>
          </cell>
          <cell r="C23">
            <v>15443.19</v>
          </cell>
          <cell r="D23">
            <v>65.72</v>
          </cell>
          <cell r="E23">
            <v>0</v>
          </cell>
          <cell r="F23">
            <v>0</v>
          </cell>
          <cell r="G23">
            <v>468.5</v>
          </cell>
          <cell r="H23">
            <v>14974.69</v>
          </cell>
          <cell r="I23">
            <v>8956.8700000000008</v>
          </cell>
          <cell r="J23">
            <v>270.68</v>
          </cell>
          <cell r="K23">
            <v>6288.5</v>
          </cell>
          <cell r="L23">
            <v>41.45</v>
          </cell>
          <cell r="M23">
            <v>0.77</v>
          </cell>
        </row>
        <row r="24">
          <cell r="A24" t="str">
            <v>FERTAK COMERCIO E IMPORTAÇÃO</v>
          </cell>
          <cell r="B24">
            <v>39</v>
          </cell>
          <cell r="C24">
            <v>13744.43</v>
          </cell>
          <cell r="D24">
            <v>11.68</v>
          </cell>
          <cell r="E24">
            <v>0</v>
          </cell>
          <cell r="F24">
            <v>0</v>
          </cell>
          <cell r="G24">
            <v>494.59</v>
          </cell>
          <cell r="H24">
            <v>13249.84</v>
          </cell>
          <cell r="I24">
            <v>7582.07</v>
          </cell>
          <cell r="J24">
            <v>272.52999999999997</v>
          </cell>
          <cell r="K24">
            <v>5940.3</v>
          </cell>
          <cell r="L24">
            <v>44.09</v>
          </cell>
          <cell r="M24">
            <v>0.69</v>
          </cell>
        </row>
        <row r="25">
          <cell r="A25" t="str">
            <v>BLACK DECKER</v>
          </cell>
          <cell r="B25">
            <v>20</v>
          </cell>
          <cell r="C25">
            <v>13489.36</v>
          </cell>
          <cell r="D25">
            <v>62.16</v>
          </cell>
          <cell r="E25">
            <v>0</v>
          </cell>
          <cell r="F25">
            <v>0</v>
          </cell>
          <cell r="G25">
            <v>29.3</v>
          </cell>
          <cell r="H25">
            <v>13460.06</v>
          </cell>
          <cell r="I25">
            <v>8704.15</v>
          </cell>
          <cell r="J25">
            <v>16.03</v>
          </cell>
          <cell r="K25">
            <v>4771.9399999999996</v>
          </cell>
          <cell r="L25">
            <v>35.42</v>
          </cell>
          <cell r="M25">
            <v>0.67</v>
          </cell>
        </row>
        <row r="26">
          <cell r="A26" t="str">
            <v>INCESA</v>
          </cell>
          <cell r="B26">
            <v>9</v>
          </cell>
          <cell r="C26">
            <v>13436.52</v>
          </cell>
          <cell r="D26">
            <v>80.459999999999994</v>
          </cell>
          <cell r="E26">
            <v>0</v>
          </cell>
          <cell r="F26">
            <v>0</v>
          </cell>
          <cell r="G26">
            <v>0</v>
          </cell>
          <cell r="H26">
            <v>13436.52</v>
          </cell>
          <cell r="I26">
            <v>8755.1260000000002</v>
          </cell>
          <cell r="J26">
            <v>0</v>
          </cell>
          <cell r="K26">
            <v>4681.3940000000002</v>
          </cell>
          <cell r="L26">
            <v>34.840000000000003</v>
          </cell>
          <cell r="M26">
            <v>0.67</v>
          </cell>
        </row>
        <row r="27">
          <cell r="A27" t="str">
            <v>GRANPLAST</v>
          </cell>
          <cell r="B27">
            <v>39</v>
          </cell>
          <cell r="C27">
            <v>13266.89</v>
          </cell>
          <cell r="D27">
            <v>22.91</v>
          </cell>
          <cell r="E27">
            <v>0</v>
          </cell>
          <cell r="F27">
            <v>0</v>
          </cell>
          <cell r="G27">
            <v>70.8</v>
          </cell>
          <cell r="H27">
            <v>13196.09</v>
          </cell>
          <cell r="I27">
            <v>8097.91</v>
          </cell>
          <cell r="J27">
            <v>44.01</v>
          </cell>
          <cell r="K27">
            <v>5142.1899999999996</v>
          </cell>
          <cell r="L27">
            <v>38.89</v>
          </cell>
          <cell r="M27">
            <v>0.66</v>
          </cell>
        </row>
        <row r="28">
          <cell r="A28" t="str">
            <v>METALURGICA MOR S/A</v>
          </cell>
          <cell r="B28">
            <v>20</v>
          </cell>
          <cell r="C28">
            <v>11352.19</v>
          </cell>
          <cell r="D28">
            <v>114.67</v>
          </cell>
          <cell r="E28">
            <v>0</v>
          </cell>
          <cell r="F28">
            <v>0</v>
          </cell>
          <cell r="G28">
            <v>1002.8</v>
          </cell>
          <cell r="H28">
            <v>10349.39</v>
          </cell>
          <cell r="I28">
            <v>7036.44</v>
          </cell>
          <cell r="J28">
            <v>616.03</v>
          </cell>
          <cell r="K28">
            <v>3928.98</v>
          </cell>
          <cell r="L28">
            <v>36.6</v>
          </cell>
          <cell r="M28">
            <v>0.56999999999999995</v>
          </cell>
        </row>
        <row r="29">
          <cell r="A29" t="str">
            <v>PADO</v>
          </cell>
          <cell r="B29">
            <v>16</v>
          </cell>
          <cell r="C29">
            <v>10117.040000000001</v>
          </cell>
          <cell r="D29">
            <v>47.5</v>
          </cell>
          <cell r="E29">
            <v>0</v>
          </cell>
          <cell r="F29">
            <v>0</v>
          </cell>
          <cell r="G29">
            <v>382.3</v>
          </cell>
          <cell r="H29">
            <v>9734.74</v>
          </cell>
          <cell r="I29">
            <v>5697.45</v>
          </cell>
          <cell r="J29">
            <v>223.46</v>
          </cell>
          <cell r="K29">
            <v>4260.75</v>
          </cell>
          <cell r="L29">
            <v>43.07</v>
          </cell>
          <cell r="M29">
            <v>0.51</v>
          </cell>
        </row>
        <row r="30">
          <cell r="A30" t="str">
            <v>CARMELO FIOR</v>
          </cell>
          <cell r="B30">
            <v>8</v>
          </cell>
          <cell r="C30">
            <v>10108.460999999999</v>
          </cell>
          <cell r="D30">
            <v>65.41</v>
          </cell>
          <cell r="E30">
            <v>0</v>
          </cell>
          <cell r="F30">
            <v>0</v>
          </cell>
          <cell r="G30">
            <v>0</v>
          </cell>
          <cell r="H30">
            <v>10108.460999999999</v>
          </cell>
          <cell r="I30">
            <v>5859.2655000000004</v>
          </cell>
          <cell r="J30">
            <v>0</v>
          </cell>
          <cell r="K30">
            <v>4249.1954999999998</v>
          </cell>
          <cell r="L30">
            <v>42.04</v>
          </cell>
          <cell r="M30">
            <v>0.51</v>
          </cell>
        </row>
        <row r="31">
          <cell r="A31" t="str">
            <v>NITROLUX</v>
          </cell>
          <cell r="B31">
            <v>27</v>
          </cell>
          <cell r="C31">
            <v>10063.129999999999</v>
          </cell>
          <cell r="D31">
            <v>18.670000000000002</v>
          </cell>
          <cell r="E31">
            <v>0</v>
          </cell>
          <cell r="F31">
            <v>0</v>
          </cell>
          <cell r="G31">
            <v>87.6</v>
          </cell>
          <cell r="H31">
            <v>9975.5300000000007</v>
          </cell>
          <cell r="I31">
            <v>5468.39</v>
          </cell>
          <cell r="J31">
            <v>44.54</v>
          </cell>
          <cell r="K31">
            <v>4551.68</v>
          </cell>
          <cell r="L31">
            <v>45.43</v>
          </cell>
          <cell r="M31">
            <v>0.5</v>
          </cell>
        </row>
        <row r="32">
          <cell r="A32" t="str">
            <v>MULT MIX IMPORTADORA</v>
          </cell>
          <cell r="B32">
            <v>29</v>
          </cell>
          <cell r="C32">
            <v>9819.32</v>
          </cell>
          <cell r="D32">
            <v>18.46</v>
          </cell>
          <cell r="E32">
            <v>0</v>
          </cell>
          <cell r="F32">
            <v>0</v>
          </cell>
          <cell r="G32">
            <v>32.99</v>
          </cell>
          <cell r="H32">
            <v>9786.33</v>
          </cell>
          <cell r="I32">
            <v>5117.33</v>
          </cell>
          <cell r="J32">
            <v>18.420000000000002</v>
          </cell>
          <cell r="K32">
            <v>4687.42</v>
          </cell>
          <cell r="L32">
            <v>47.83</v>
          </cell>
          <cell r="M32">
            <v>0.49</v>
          </cell>
        </row>
        <row r="33">
          <cell r="A33" t="str">
            <v>BLUKIT</v>
          </cell>
          <cell r="B33">
            <v>42</v>
          </cell>
          <cell r="C33">
            <v>9641.6</v>
          </cell>
          <cell r="D33">
            <v>21.33</v>
          </cell>
          <cell r="E33">
            <v>0</v>
          </cell>
          <cell r="F33">
            <v>0</v>
          </cell>
          <cell r="G33">
            <v>111.4</v>
          </cell>
          <cell r="H33">
            <v>9530.2000000000007</v>
          </cell>
          <cell r="I33">
            <v>5420.3</v>
          </cell>
          <cell r="J33">
            <v>63.29</v>
          </cell>
          <cell r="K33">
            <v>4173.1899999999996</v>
          </cell>
          <cell r="L33">
            <v>43.57</v>
          </cell>
          <cell r="M33">
            <v>0.48</v>
          </cell>
        </row>
        <row r="34">
          <cell r="A34" t="str">
            <v>INTECH MACHINE</v>
          </cell>
          <cell r="B34">
            <v>13</v>
          </cell>
          <cell r="C34">
            <v>9639.15</v>
          </cell>
          <cell r="D34">
            <v>181.87</v>
          </cell>
          <cell r="E34">
            <v>0</v>
          </cell>
          <cell r="F34">
            <v>0</v>
          </cell>
          <cell r="G34">
            <v>183.33</v>
          </cell>
          <cell r="H34">
            <v>9455.82</v>
          </cell>
          <cell r="I34">
            <v>5755</v>
          </cell>
          <cell r="J34">
            <v>113.09</v>
          </cell>
          <cell r="K34">
            <v>3813.91</v>
          </cell>
          <cell r="L34">
            <v>40.04</v>
          </cell>
          <cell r="M34">
            <v>0.48</v>
          </cell>
        </row>
        <row r="35">
          <cell r="A35" t="str">
            <v>SILVANA</v>
          </cell>
          <cell r="B35">
            <v>28</v>
          </cell>
          <cell r="C35">
            <v>9368.2900000000009</v>
          </cell>
          <cell r="D35">
            <v>26.24</v>
          </cell>
          <cell r="E35">
            <v>0</v>
          </cell>
          <cell r="F35">
            <v>0</v>
          </cell>
          <cell r="G35">
            <v>459.8</v>
          </cell>
          <cell r="H35">
            <v>8908.49</v>
          </cell>
          <cell r="I35">
            <v>5508.26</v>
          </cell>
          <cell r="J35">
            <v>278.17</v>
          </cell>
          <cell r="K35">
            <v>3678.4</v>
          </cell>
          <cell r="L35">
            <v>40.47</v>
          </cell>
          <cell r="M35">
            <v>0.47</v>
          </cell>
        </row>
        <row r="36">
          <cell r="A36" t="str">
            <v>LEGRAND</v>
          </cell>
          <cell r="B36">
            <v>20</v>
          </cell>
          <cell r="C36">
            <v>9031.9699999999993</v>
          </cell>
          <cell r="D36">
            <v>16.13</v>
          </cell>
          <cell r="E36">
            <v>0</v>
          </cell>
          <cell r="F36">
            <v>0</v>
          </cell>
          <cell r="G36">
            <v>255.04</v>
          </cell>
          <cell r="H36">
            <v>8776.93</v>
          </cell>
          <cell r="I36">
            <v>5677.73</v>
          </cell>
          <cell r="J36">
            <v>164.39</v>
          </cell>
          <cell r="K36">
            <v>3263.59</v>
          </cell>
          <cell r="L36">
            <v>36.799999999999997</v>
          </cell>
          <cell r="M36">
            <v>0.45</v>
          </cell>
        </row>
        <row r="37">
          <cell r="A37" t="str">
            <v>VIQUA</v>
          </cell>
          <cell r="B37">
            <v>36</v>
          </cell>
          <cell r="C37">
            <v>8934.0400000000009</v>
          </cell>
          <cell r="D37">
            <v>39.18</v>
          </cell>
          <cell r="E37">
            <v>0</v>
          </cell>
          <cell r="F37">
            <v>0</v>
          </cell>
          <cell r="G37">
            <v>191.6</v>
          </cell>
          <cell r="H37">
            <v>8742.44</v>
          </cell>
          <cell r="I37">
            <v>5435.55</v>
          </cell>
          <cell r="J37">
            <v>115.79</v>
          </cell>
          <cell r="K37">
            <v>3422.68</v>
          </cell>
          <cell r="L37">
            <v>38.81</v>
          </cell>
          <cell r="M37">
            <v>0.45</v>
          </cell>
        </row>
        <row r="38">
          <cell r="A38" t="str">
            <v>ETERNIT</v>
          </cell>
          <cell r="B38">
            <v>9</v>
          </cell>
          <cell r="C38">
            <v>8330.9699999999993</v>
          </cell>
          <cell r="D38">
            <v>63.6</v>
          </cell>
          <cell r="E38">
            <v>0</v>
          </cell>
          <cell r="F38">
            <v>0</v>
          </cell>
          <cell r="G38">
            <v>133.86000000000001</v>
          </cell>
          <cell r="H38">
            <v>8197.11</v>
          </cell>
          <cell r="I38">
            <v>6332.02</v>
          </cell>
          <cell r="J38">
            <v>102.16</v>
          </cell>
          <cell r="K38">
            <v>1967.25</v>
          </cell>
          <cell r="L38">
            <v>23.91</v>
          </cell>
          <cell r="M38">
            <v>0.42</v>
          </cell>
        </row>
        <row r="39">
          <cell r="A39" t="str">
            <v>ANAUGER</v>
          </cell>
          <cell r="B39">
            <v>8</v>
          </cell>
          <cell r="C39">
            <v>7614.6</v>
          </cell>
          <cell r="D39">
            <v>292.87</v>
          </cell>
          <cell r="E39">
            <v>0</v>
          </cell>
          <cell r="F39">
            <v>0</v>
          </cell>
          <cell r="G39">
            <v>696.8</v>
          </cell>
          <cell r="H39">
            <v>6917.8</v>
          </cell>
          <cell r="I39">
            <v>5137.71</v>
          </cell>
          <cell r="J39">
            <v>456.19</v>
          </cell>
          <cell r="K39">
            <v>2236.2800000000002</v>
          </cell>
          <cell r="L39">
            <v>31.24</v>
          </cell>
          <cell r="M39">
            <v>0.38</v>
          </cell>
        </row>
        <row r="40">
          <cell r="A40" t="str">
            <v>LUZARTE</v>
          </cell>
          <cell r="B40">
            <v>13</v>
          </cell>
          <cell r="C40">
            <v>6851.12</v>
          </cell>
          <cell r="D40">
            <v>159.33000000000001</v>
          </cell>
          <cell r="E40">
            <v>0</v>
          </cell>
          <cell r="F40">
            <v>0</v>
          </cell>
          <cell r="G40">
            <v>410</v>
          </cell>
          <cell r="H40">
            <v>6441.12</v>
          </cell>
          <cell r="I40">
            <v>5247.76</v>
          </cell>
          <cell r="J40">
            <v>311.62</v>
          </cell>
          <cell r="K40">
            <v>1504.98</v>
          </cell>
          <cell r="L40">
            <v>23.01</v>
          </cell>
          <cell r="M40">
            <v>0.34</v>
          </cell>
        </row>
        <row r="41">
          <cell r="A41" t="str">
            <v>VEDACIT</v>
          </cell>
          <cell r="B41">
            <v>14</v>
          </cell>
          <cell r="C41">
            <v>6488.06</v>
          </cell>
          <cell r="D41">
            <v>78.17</v>
          </cell>
          <cell r="E41">
            <v>0</v>
          </cell>
          <cell r="F41">
            <v>0</v>
          </cell>
          <cell r="G41">
            <v>157.5</v>
          </cell>
          <cell r="H41">
            <v>6330.56</v>
          </cell>
          <cell r="I41">
            <v>3747.63</v>
          </cell>
          <cell r="J41">
            <v>87.95</v>
          </cell>
          <cell r="K41">
            <v>2670.88</v>
          </cell>
          <cell r="L41">
            <v>41.73</v>
          </cell>
          <cell r="M41">
            <v>0.32</v>
          </cell>
        </row>
        <row r="42">
          <cell r="A42" t="str">
            <v>LUCONI</v>
          </cell>
          <cell r="B42">
            <v>38</v>
          </cell>
          <cell r="C42">
            <v>6310.1</v>
          </cell>
          <cell r="D42">
            <v>11.49</v>
          </cell>
          <cell r="E42">
            <v>0</v>
          </cell>
          <cell r="F42">
            <v>0</v>
          </cell>
          <cell r="G42">
            <v>32.909999999999997</v>
          </cell>
          <cell r="H42">
            <v>6277.19</v>
          </cell>
          <cell r="I42">
            <v>3049.07</v>
          </cell>
          <cell r="J42">
            <v>15.57</v>
          </cell>
          <cell r="K42">
            <v>3243.69</v>
          </cell>
          <cell r="L42">
            <v>51.53</v>
          </cell>
          <cell r="M42">
            <v>0.32</v>
          </cell>
        </row>
        <row r="43">
          <cell r="A43" t="str">
            <v>PAMESA</v>
          </cell>
          <cell r="B43">
            <v>8</v>
          </cell>
          <cell r="C43">
            <v>6283.6207999999997</v>
          </cell>
          <cell r="D43">
            <v>29.45</v>
          </cell>
          <cell r="E43">
            <v>0</v>
          </cell>
          <cell r="F43">
            <v>0</v>
          </cell>
          <cell r="G43">
            <v>0</v>
          </cell>
          <cell r="H43">
            <v>6283.6207999999997</v>
          </cell>
          <cell r="I43">
            <v>4101.9048000000003</v>
          </cell>
          <cell r="J43">
            <v>0</v>
          </cell>
          <cell r="K43">
            <v>2181.7159999999999</v>
          </cell>
          <cell r="L43">
            <v>34.72</v>
          </cell>
          <cell r="M43">
            <v>0.31</v>
          </cell>
        </row>
        <row r="44">
          <cell r="A44" t="str">
            <v>MGM</v>
          </cell>
          <cell r="B44">
            <v>9</v>
          </cell>
          <cell r="C44">
            <v>5999.46</v>
          </cell>
          <cell r="D44">
            <v>399.96</v>
          </cell>
          <cell r="E44">
            <v>0</v>
          </cell>
          <cell r="F44">
            <v>0</v>
          </cell>
          <cell r="G44">
            <v>0</v>
          </cell>
          <cell r="H44">
            <v>5999.46</v>
          </cell>
          <cell r="I44">
            <v>3659.68</v>
          </cell>
          <cell r="J44">
            <v>0</v>
          </cell>
          <cell r="K44">
            <v>2339.7800000000002</v>
          </cell>
          <cell r="L44">
            <v>39</v>
          </cell>
          <cell r="M44">
            <v>0.3</v>
          </cell>
        </row>
        <row r="45">
          <cell r="A45" t="str">
            <v>ADERE</v>
          </cell>
          <cell r="B45">
            <v>36</v>
          </cell>
          <cell r="C45">
            <v>5976.27</v>
          </cell>
          <cell r="D45">
            <v>11.7</v>
          </cell>
          <cell r="E45">
            <v>0</v>
          </cell>
          <cell r="F45">
            <v>0</v>
          </cell>
          <cell r="G45">
            <v>69.7</v>
          </cell>
          <cell r="H45">
            <v>5906.57</v>
          </cell>
          <cell r="I45">
            <v>3381.41</v>
          </cell>
          <cell r="J45">
            <v>39.11</v>
          </cell>
          <cell r="K45">
            <v>2564.27</v>
          </cell>
          <cell r="L45">
            <v>43.19</v>
          </cell>
          <cell r="M45">
            <v>0.3</v>
          </cell>
        </row>
        <row r="46">
          <cell r="A46" t="str">
            <v>HERC</v>
          </cell>
          <cell r="B46">
            <v>22</v>
          </cell>
          <cell r="C46">
            <v>5974.39</v>
          </cell>
          <cell r="D46">
            <v>23.07</v>
          </cell>
          <cell r="E46">
            <v>0</v>
          </cell>
          <cell r="F46">
            <v>0</v>
          </cell>
          <cell r="G46">
            <v>57.7</v>
          </cell>
          <cell r="H46">
            <v>5916.69</v>
          </cell>
          <cell r="I46">
            <v>3473.38</v>
          </cell>
          <cell r="J46">
            <v>30.45</v>
          </cell>
          <cell r="K46">
            <v>2473.7600000000002</v>
          </cell>
          <cell r="L46">
            <v>41.62</v>
          </cell>
          <cell r="M46">
            <v>0.3</v>
          </cell>
        </row>
        <row r="47">
          <cell r="A47" t="str">
            <v>NORTON</v>
          </cell>
          <cell r="B47">
            <v>53</v>
          </cell>
          <cell r="C47">
            <v>5944.77</v>
          </cell>
          <cell r="D47">
            <v>3.08</v>
          </cell>
          <cell r="E47">
            <v>0</v>
          </cell>
          <cell r="F47">
            <v>0</v>
          </cell>
          <cell r="G47">
            <v>61.28</v>
          </cell>
          <cell r="H47">
            <v>5883.49</v>
          </cell>
          <cell r="I47">
            <v>2996.12</v>
          </cell>
          <cell r="J47">
            <v>33.25</v>
          </cell>
          <cell r="K47">
            <v>2920.62</v>
          </cell>
          <cell r="L47">
            <v>49.41</v>
          </cell>
          <cell r="M47">
            <v>0.3</v>
          </cell>
        </row>
        <row r="48">
          <cell r="A48" t="str">
            <v>CORTAG</v>
          </cell>
          <cell r="B48">
            <v>22</v>
          </cell>
          <cell r="C48">
            <v>5861.1</v>
          </cell>
          <cell r="D48">
            <v>22.37</v>
          </cell>
          <cell r="E48">
            <v>0</v>
          </cell>
          <cell r="F48">
            <v>0</v>
          </cell>
          <cell r="G48">
            <v>93.6</v>
          </cell>
          <cell r="H48">
            <v>5767.5</v>
          </cell>
          <cell r="I48">
            <v>3556.11</v>
          </cell>
          <cell r="J48">
            <v>53.23</v>
          </cell>
          <cell r="K48">
            <v>2264.62</v>
          </cell>
          <cell r="L48">
            <v>38.99</v>
          </cell>
          <cell r="M48">
            <v>0.28999999999999998</v>
          </cell>
        </row>
        <row r="49">
          <cell r="A49" t="str">
            <v>BELLA PIA</v>
          </cell>
          <cell r="B49">
            <v>17</v>
          </cell>
          <cell r="C49">
            <v>5680.54</v>
          </cell>
          <cell r="D49">
            <v>218.48</v>
          </cell>
          <cell r="E49">
            <v>0</v>
          </cell>
          <cell r="F49">
            <v>0</v>
          </cell>
          <cell r="G49">
            <v>266.89999999999998</v>
          </cell>
          <cell r="H49">
            <v>5413.64</v>
          </cell>
          <cell r="I49">
            <v>3102.79</v>
          </cell>
          <cell r="J49">
            <v>115.74</v>
          </cell>
          <cell r="K49">
            <v>2426.59</v>
          </cell>
          <cell r="L49">
            <v>43.61</v>
          </cell>
          <cell r="M49">
            <v>0.28000000000000003</v>
          </cell>
        </row>
        <row r="50">
          <cell r="A50" t="str">
            <v>AVANT</v>
          </cell>
          <cell r="B50">
            <v>13</v>
          </cell>
          <cell r="C50">
            <v>5301.83</v>
          </cell>
          <cell r="D50">
            <v>34.43</v>
          </cell>
          <cell r="E50">
            <v>0</v>
          </cell>
          <cell r="F50">
            <v>0</v>
          </cell>
          <cell r="G50">
            <v>135.69999999999999</v>
          </cell>
          <cell r="H50">
            <v>5166.13</v>
          </cell>
          <cell r="I50">
            <v>3115.11</v>
          </cell>
          <cell r="J50">
            <v>63.88</v>
          </cell>
          <cell r="K50">
            <v>2114.9</v>
          </cell>
          <cell r="L50">
            <v>40.380000000000003</v>
          </cell>
          <cell r="M50">
            <v>0.26</v>
          </cell>
        </row>
        <row r="51">
          <cell r="A51" t="str">
            <v>PLASTMAR IND E COM</v>
          </cell>
          <cell r="B51">
            <v>11</v>
          </cell>
          <cell r="C51">
            <v>4904.9799999999996</v>
          </cell>
          <cell r="D51">
            <v>48.56</v>
          </cell>
          <cell r="E51">
            <v>0</v>
          </cell>
          <cell r="F51">
            <v>0</v>
          </cell>
          <cell r="G51">
            <v>0</v>
          </cell>
          <cell r="H51">
            <v>4904.9799999999996</v>
          </cell>
          <cell r="I51">
            <v>2699.66</v>
          </cell>
          <cell r="J51">
            <v>0</v>
          </cell>
          <cell r="K51">
            <v>2205.3200000000002</v>
          </cell>
          <cell r="L51">
            <v>44.96</v>
          </cell>
          <cell r="M51">
            <v>0.25</v>
          </cell>
        </row>
        <row r="52">
          <cell r="A52" t="str">
            <v>DOCOL METAIS</v>
          </cell>
          <cell r="B52">
            <v>14</v>
          </cell>
          <cell r="C52">
            <v>4288.93</v>
          </cell>
          <cell r="D52">
            <v>77.98</v>
          </cell>
          <cell r="E52">
            <v>0</v>
          </cell>
          <cell r="F52">
            <v>0</v>
          </cell>
          <cell r="G52">
            <v>304.60000000000002</v>
          </cell>
          <cell r="H52">
            <v>3984.33</v>
          </cell>
          <cell r="I52">
            <v>2619.19</v>
          </cell>
          <cell r="J52">
            <v>191.18</v>
          </cell>
          <cell r="K52">
            <v>1556.32</v>
          </cell>
          <cell r="L52">
            <v>37.979999999999997</v>
          </cell>
          <cell r="M52">
            <v>0.21</v>
          </cell>
        </row>
        <row r="53">
          <cell r="A53" t="str">
            <v>COBRECOM</v>
          </cell>
          <cell r="B53">
            <v>6</v>
          </cell>
          <cell r="C53">
            <v>4171.76</v>
          </cell>
          <cell r="D53">
            <v>101.75</v>
          </cell>
          <cell r="E53">
            <v>0</v>
          </cell>
          <cell r="F53">
            <v>0</v>
          </cell>
          <cell r="G53">
            <v>0</v>
          </cell>
          <cell r="H53">
            <v>4171.76</v>
          </cell>
          <cell r="I53">
            <v>2745</v>
          </cell>
          <cell r="J53">
            <v>0</v>
          </cell>
          <cell r="K53">
            <v>1426.76</v>
          </cell>
          <cell r="L53">
            <v>34.200000000000003</v>
          </cell>
          <cell r="M53">
            <v>0.21</v>
          </cell>
        </row>
        <row r="54">
          <cell r="A54" t="str">
            <v>PRATEFIX</v>
          </cell>
          <cell r="B54">
            <v>14</v>
          </cell>
          <cell r="C54">
            <v>4087.09</v>
          </cell>
          <cell r="D54">
            <v>36.17</v>
          </cell>
          <cell r="E54">
            <v>0</v>
          </cell>
          <cell r="F54">
            <v>0</v>
          </cell>
          <cell r="G54">
            <v>0</v>
          </cell>
          <cell r="H54">
            <v>4087.09</v>
          </cell>
          <cell r="I54">
            <v>2260.2800000000002</v>
          </cell>
          <cell r="J54">
            <v>0</v>
          </cell>
          <cell r="K54">
            <v>1826.81</v>
          </cell>
          <cell r="L54">
            <v>44.7</v>
          </cell>
          <cell r="M54">
            <v>0.2</v>
          </cell>
        </row>
        <row r="55">
          <cell r="A55" t="str">
            <v>BRASFORMA</v>
          </cell>
          <cell r="B55">
            <v>5</v>
          </cell>
          <cell r="C55">
            <v>3907.05</v>
          </cell>
          <cell r="D55">
            <v>44.91</v>
          </cell>
          <cell r="E55">
            <v>0</v>
          </cell>
          <cell r="F55">
            <v>0</v>
          </cell>
          <cell r="G55">
            <v>0</v>
          </cell>
          <cell r="H55">
            <v>3907.05</v>
          </cell>
          <cell r="I55">
            <v>2503.09</v>
          </cell>
          <cell r="J55">
            <v>0</v>
          </cell>
          <cell r="K55">
            <v>1403.96</v>
          </cell>
          <cell r="L55">
            <v>35.93</v>
          </cell>
          <cell r="M55">
            <v>0.2</v>
          </cell>
        </row>
        <row r="56">
          <cell r="A56" t="str">
            <v>PRATIMIX</v>
          </cell>
          <cell r="B56">
            <v>28</v>
          </cell>
          <cell r="C56">
            <v>3743.87</v>
          </cell>
          <cell r="D56">
            <v>11.59</v>
          </cell>
          <cell r="E56">
            <v>0</v>
          </cell>
          <cell r="F56">
            <v>0</v>
          </cell>
          <cell r="G56">
            <v>85.64</v>
          </cell>
          <cell r="H56">
            <v>3658.23</v>
          </cell>
          <cell r="I56">
            <v>2016.39</v>
          </cell>
          <cell r="J56">
            <v>46.19</v>
          </cell>
          <cell r="K56">
            <v>1688.03</v>
          </cell>
          <cell r="L56">
            <v>45.65</v>
          </cell>
          <cell r="M56">
            <v>0.19</v>
          </cell>
        </row>
        <row r="57">
          <cell r="A57" t="str">
            <v>PULVITEC</v>
          </cell>
          <cell r="B57">
            <v>28</v>
          </cell>
          <cell r="C57">
            <v>3526.6</v>
          </cell>
          <cell r="D57">
            <v>7.21</v>
          </cell>
          <cell r="E57">
            <v>0</v>
          </cell>
          <cell r="F57">
            <v>0</v>
          </cell>
          <cell r="G57">
            <v>5.4</v>
          </cell>
          <cell r="H57">
            <v>3521.2</v>
          </cell>
          <cell r="I57">
            <v>1770.01</v>
          </cell>
          <cell r="J57">
            <v>2.34</v>
          </cell>
          <cell r="K57">
            <v>1753.53</v>
          </cell>
          <cell r="L57">
            <v>49.76</v>
          </cell>
          <cell r="M57">
            <v>0.18</v>
          </cell>
        </row>
        <row r="58">
          <cell r="A58" t="str">
            <v>PADRAO FORTE</v>
          </cell>
          <cell r="B58">
            <v>14</v>
          </cell>
          <cell r="C58">
            <v>3499.03</v>
          </cell>
          <cell r="D58">
            <v>15.69</v>
          </cell>
          <cell r="E58">
            <v>0</v>
          </cell>
          <cell r="F58">
            <v>0</v>
          </cell>
          <cell r="G58">
            <v>6.9</v>
          </cell>
          <cell r="H58">
            <v>3492.13</v>
          </cell>
          <cell r="I58">
            <v>1976.48</v>
          </cell>
          <cell r="J58">
            <v>3.75</v>
          </cell>
          <cell r="K58">
            <v>1519.4</v>
          </cell>
          <cell r="L58">
            <v>43.47</v>
          </cell>
          <cell r="M58">
            <v>0.17</v>
          </cell>
        </row>
        <row r="59">
          <cell r="A59" t="str">
            <v>REALLE</v>
          </cell>
          <cell r="B59">
            <v>7</v>
          </cell>
          <cell r="C59">
            <v>3395.6487999999999</v>
          </cell>
          <cell r="D59">
            <v>28.76</v>
          </cell>
          <cell r="E59">
            <v>0</v>
          </cell>
          <cell r="F59">
            <v>0</v>
          </cell>
          <cell r="G59">
            <v>175.39</v>
          </cell>
          <cell r="H59">
            <v>3220.2588000000001</v>
          </cell>
          <cell r="I59">
            <v>2075.3978000000002</v>
          </cell>
          <cell r="J59">
            <v>106.3412</v>
          </cell>
          <cell r="K59">
            <v>1251.2021999999999</v>
          </cell>
          <cell r="L59">
            <v>38.04</v>
          </cell>
          <cell r="M59">
            <v>0.17</v>
          </cell>
        </row>
        <row r="60">
          <cell r="A60" t="str">
            <v>BEMFIXA</v>
          </cell>
          <cell r="B60">
            <v>17</v>
          </cell>
          <cell r="C60">
            <v>3362.88</v>
          </cell>
          <cell r="D60">
            <v>12.64</v>
          </cell>
          <cell r="E60">
            <v>0</v>
          </cell>
          <cell r="F60">
            <v>0</v>
          </cell>
          <cell r="G60">
            <v>30.2</v>
          </cell>
          <cell r="H60">
            <v>3332.68</v>
          </cell>
          <cell r="I60">
            <v>1787.29</v>
          </cell>
          <cell r="J60">
            <v>15.47</v>
          </cell>
          <cell r="K60">
            <v>1560.86</v>
          </cell>
          <cell r="L60">
            <v>46.63</v>
          </cell>
          <cell r="M60">
            <v>0.17</v>
          </cell>
        </row>
        <row r="61">
          <cell r="A61" t="str">
            <v>METALOSA</v>
          </cell>
          <cell r="B61">
            <v>5</v>
          </cell>
          <cell r="C61">
            <v>3150.78</v>
          </cell>
          <cell r="D61">
            <v>210.05</v>
          </cell>
          <cell r="E61">
            <v>0</v>
          </cell>
          <cell r="F61">
            <v>0</v>
          </cell>
          <cell r="G61">
            <v>0</v>
          </cell>
          <cell r="H61">
            <v>3150.78</v>
          </cell>
          <cell r="I61">
            <v>1823.35</v>
          </cell>
          <cell r="J61">
            <v>0</v>
          </cell>
          <cell r="K61">
            <v>1327.43</v>
          </cell>
          <cell r="L61">
            <v>42.13</v>
          </cell>
          <cell r="M61">
            <v>0.16</v>
          </cell>
        </row>
        <row r="62">
          <cell r="A62" t="str">
            <v>CENSI</v>
          </cell>
          <cell r="B62">
            <v>24</v>
          </cell>
          <cell r="C62">
            <v>3045.99</v>
          </cell>
          <cell r="D62">
            <v>21.3</v>
          </cell>
          <cell r="E62">
            <v>0</v>
          </cell>
          <cell r="F62">
            <v>0</v>
          </cell>
          <cell r="G62">
            <v>86.7</v>
          </cell>
          <cell r="H62">
            <v>2959.29</v>
          </cell>
          <cell r="I62">
            <v>1714.58</v>
          </cell>
          <cell r="J62">
            <v>52.54</v>
          </cell>
          <cell r="K62">
            <v>1297.25</v>
          </cell>
          <cell r="L62">
            <v>43.34</v>
          </cell>
          <cell r="M62">
            <v>0.15</v>
          </cell>
        </row>
        <row r="63">
          <cell r="A63" t="str">
            <v>MARLUVAS</v>
          </cell>
          <cell r="B63">
            <v>8</v>
          </cell>
          <cell r="C63">
            <v>2864.81</v>
          </cell>
          <cell r="D63">
            <v>86.81</v>
          </cell>
          <cell r="E63">
            <v>0</v>
          </cell>
          <cell r="F63">
            <v>0</v>
          </cell>
          <cell r="G63">
            <v>96.9</v>
          </cell>
          <cell r="H63">
            <v>2767.91</v>
          </cell>
          <cell r="I63">
            <v>1632.93</v>
          </cell>
          <cell r="J63">
            <v>57.18</v>
          </cell>
          <cell r="K63">
            <v>1192.1600000000001</v>
          </cell>
          <cell r="L63">
            <v>42.46</v>
          </cell>
          <cell r="M63">
            <v>0.14000000000000001</v>
          </cell>
        </row>
        <row r="64">
          <cell r="A64" t="str">
            <v>CERBRAS</v>
          </cell>
          <cell r="B64">
            <v>3</v>
          </cell>
          <cell r="C64">
            <v>2827.0115000000001</v>
          </cell>
          <cell r="D64">
            <v>59.27</v>
          </cell>
          <cell r="E64">
            <v>0</v>
          </cell>
          <cell r="F64">
            <v>0</v>
          </cell>
          <cell r="G64">
            <v>0</v>
          </cell>
          <cell r="H64">
            <v>2827.0115000000001</v>
          </cell>
          <cell r="I64">
            <v>2047.8309999999999</v>
          </cell>
          <cell r="J64">
            <v>0</v>
          </cell>
          <cell r="K64">
            <v>779.18050000000005</v>
          </cell>
          <cell r="L64">
            <v>27.56</v>
          </cell>
          <cell r="M64">
            <v>0.14000000000000001</v>
          </cell>
        </row>
        <row r="65">
          <cell r="A65" t="str">
            <v>FRANKLIN</v>
          </cell>
          <cell r="B65">
            <v>4</v>
          </cell>
          <cell r="C65">
            <v>2594.13</v>
          </cell>
          <cell r="D65">
            <v>648.53</v>
          </cell>
          <cell r="E65">
            <v>0</v>
          </cell>
          <cell r="F65">
            <v>0</v>
          </cell>
          <cell r="G65">
            <v>0</v>
          </cell>
          <cell r="H65">
            <v>2594.13</v>
          </cell>
          <cell r="I65">
            <v>1614</v>
          </cell>
          <cell r="J65">
            <v>0</v>
          </cell>
          <cell r="K65">
            <v>980.13</v>
          </cell>
          <cell r="L65">
            <v>37.78</v>
          </cell>
          <cell r="M65">
            <v>0.13</v>
          </cell>
        </row>
        <row r="66">
          <cell r="A66" t="str">
            <v>BOGNAR</v>
          </cell>
          <cell r="B66">
            <v>14</v>
          </cell>
          <cell r="C66">
            <v>2556.5</v>
          </cell>
          <cell r="D66">
            <v>60.87</v>
          </cell>
          <cell r="E66">
            <v>0</v>
          </cell>
          <cell r="F66">
            <v>0</v>
          </cell>
          <cell r="G66">
            <v>0</v>
          </cell>
          <cell r="H66">
            <v>2556.5</v>
          </cell>
          <cell r="I66">
            <v>1498.49</v>
          </cell>
          <cell r="J66">
            <v>0</v>
          </cell>
          <cell r="K66">
            <v>1058.01</v>
          </cell>
          <cell r="L66">
            <v>41.39</v>
          </cell>
          <cell r="M66">
            <v>0.13</v>
          </cell>
        </row>
        <row r="67">
          <cell r="A67" t="str">
            <v>Momfort</v>
          </cell>
          <cell r="B67">
            <v>6</v>
          </cell>
          <cell r="C67">
            <v>2413.4899999999998</v>
          </cell>
          <cell r="D67">
            <v>33.99</v>
          </cell>
          <cell r="E67">
            <v>0</v>
          </cell>
          <cell r="F67">
            <v>0</v>
          </cell>
          <cell r="G67">
            <v>0</v>
          </cell>
          <cell r="H67">
            <v>2413.4899999999998</v>
          </cell>
          <cell r="I67">
            <v>1493.66</v>
          </cell>
          <cell r="J67">
            <v>0</v>
          </cell>
          <cell r="K67">
            <v>919.83</v>
          </cell>
          <cell r="L67">
            <v>38.11</v>
          </cell>
          <cell r="M67">
            <v>0.12</v>
          </cell>
        </row>
        <row r="68">
          <cell r="A68" t="str">
            <v>MYPA</v>
          </cell>
          <cell r="B68">
            <v>15</v>
          </cell>
          <cell r="C68">
            <v>2125.0700000000002</v>
          </cell>
          <cell r="D68">
            <v>14.36</v>
          </cell>
          <cell r="E68">
            <v>0</v>
          </cell>
          <cell r="F68">
            <v>0</v>
          </cell>
          <cell r="G68">
            <v>6.9</v>
          </cell>
          <cell r="H68">
            <v>2118.17</v>
          </cell>
          <cell r="I68">
            <v>1166.5999999999999</v>
          </cell>
          <cell r="J68">
            <v>4.08</v>
          </cell>
          <cell r="K68">
            <v>955.65</v>
          </cell>
          <cell r="L68">
            <v>45.06</v>
          </cell>
          <cell r="M68">
            <v>0.11</v>
          </cell>
        </row>
        <row r="69">
          <cell r="A69" t="str">
            <v>ALIANÇA</v>
          </cell>
          <cell r="B69">
            <v>5</v>
          </cell>
          <cell r="C69">
            <v>1967.22</v>
          </cell>
          <cell r="D69">
            <v>67.84</v>
          </cell>
          <cell r="E69">
            <v>0</v>
          </cell>
          <cell r="F69">
            <v>0</v>
          </cell>
          <cell r="G69">
            <v>0</v>
          </cell>
          <cell r="H69">
            <v>1967.22</v>
          </cell>
          <cell r="I69">
            <v>1168.49</v>
          </cell>
          <cell r="J69">
            <v>0</v>
          </cell>
          <cell r="K69">
            <v>798.73</v>
          </cell>
          <cell r="L69">
            <v>40.6</v>
          </cell>
          <cell r="M69">
            <v>0.1</v>
          </cell>
        </row>
        <row r="70">
          <cell r="A70" t="str">
            <v>TAF</v>
          </cell>
          <cell r="B70">
            <v>14</v>
          </cell>
          <cell r="C70">
            <v>1899.53</v>
          </cell>
          <cell r="D70">
            <v>17.59</v>
          </cell>
          <cell r="E70">
            <v>0</v>
          </cell>
          <cell r="F70">
            <v>0</v>
          </cell>
          <cell r="G70">
            <v>37.200000000000003</v>
          </cell>
          <cell r="H70">
            <v>1862.33</v>
          </cell>
          <cell r="I70">
            <v>1051.8900000000001</v>
          </cell>
          <cell r="J70">
            <v>21.48</v>
          </cell>
          <cell r="K70">
            <v>831.92</v>
          </cell>
          <cell r="L70">
            <v>44.3</v>
          </cell>
          <cell r="M70">
            <v>0.09</v>
          </cell>
        </row>
        <row r="71">
          <cell r="A71" t="str">
            <v>EXATRON</v>
          </cell>
          <cell r="B71">
            <v>6</v>
          </cell>
          <cell r="C71">
            <v>1835.22</v>
          </cell>
          <cell r="D71">
            <v>52.43</v>
          </cell>
          <cell r="E71">
            <v>0</v>
          </cell>
          <cell r="F71">
            <v>0</v>
          </cell>
          <cell r="G71">
            <v>34.9</v>
          </cell>
          <cell r="H71">
            <v>1800.32</v>
          </cell>
          <cell r="I71">
            <v>1011.76</v>
          </cell>
          <cell r="J71">
            <v>19.77</v>
          </cell>
          <cell r="K71">
            <v>808.33</v>
          </cell>
          <cell r="L71">
            <v>44.53</v>
          </cell>
          <cell r="M71">
            <v>0.09</v>
          </cell>
        </row>
        <row r="72">
          <cell r="A72" t="str">
            <v>TOP MIX</v>
          </cell>
          <cell r="B72">
            <v>3</v>
          </cell>
          <cell r="C72">
            <v>1660.29</v>
          </cell>
          <cell r="D72">
            <v>332.06</v>
          </cell>
          <cell r="E72">
            <v>0</v>
          </cell>
          <cell r="F72">
            <v>0</v>
          </cell>
          <cell r="G72">
            <v>0</v>
          </cell>
          <cell r="H72">
            <v>1660.29</v>
          </cell>
          <cell r="I72">
            <v>921.71</v>
          </cell>
          <cell r="J72">
            <v>0</v>
          </cell>
          <cell r="K72">
            <v>738.58</v>
          </cell>
          <cell r="L72">
            <v>44.48</v>
          </cell>
          <cell r="M72">
            <v>0.08</v>
          </cell>
        </row>
        <row r="73">
          <cell r="A73" t="str">
            <v>BOTAFOGO</v>
          </cell>
          <cell r="B73">
            <v>2</v>
          </cell>
          <cell r="C73">
            <v>1578.9</v>
          </cell>
          <cell r="D73">
            <v>789.45</v>
          </cell>
          <cell r="E73">
            <v>0</v>
          </cell>
          <cell r="F73">
            <v>0</v>
          </cell>
          <cell r="G73">
            <v>0</v>
          </cell>
          <cell r="H73">
            <v>1578.9</v>
          </cell>
          <cell r="I73">
            <v>976.45</v>
          </cell>
          <cell r="J73">
            <v>0</v>
          </cell>
          <cell r="K73">
            <v>602.45000000000005</v>
          </cell>
          <cell r="L73">
            <v>38.159999999999997</v>
          </cell>
          <cell r="M73">
            <v>0.08</v>
          </cell>
        </row>
        <row r="74">
          <cell r="A74" t="str">
            <v>KRONA</v>
          </cell>
          <cell r="B74">
            <v>8</v>
          </cell>
          <cell r="C74">
            <v>1538.01</v>
          </cell>
          <cell r="D74">
            <v>11.15</v>
          </cell>
          <cell r="E74">
            <v>0</v>
          </cell>
          <cell r="F74">
            <v>0</v>
          </cell>
          <cell r="G74">
            <v>17.899999999999999</v>
          </cell>
          <cell r="H74">
            <v>1520.11</v>
          </cell>
          <cell r="I74">
            <v>906.57</v>
          </cell>
          <cell r="J74">
            <v>9.57</v>
          </cell>
          <cell r="K74">
            <v>623.11</v>
          </cell>
          <cell r="L74">
            <v>40.770000000000003</v>
          </cell>
          <cell r="M74">
            <v>0.08</v>
          </cell>
        </row>
        <row r="75">
          <cell r="A75" t="str">
            <v>SECALUX</v>
          </cell>
          <cell r="B75">
            <v>7</v>
          </cell>
          <cell r="C75">
            <v>1466.9</v>
          </cell>
          <cell r="D75">
            <v>86.29</v>
          </cell>
          <cell r="E75">
            <v>0</v>
          </cell>
          <cell r="F75">
            <v>0</v>
          </cell>
          <cell r="G75">
            <v>164.8</v>
          </cell>
          <cell r="H75">
            <v>1302.0999999999999</v>
          </cell>
          <cell r="I75">
            <v>910.73</v>
          </cell>
          <cell r="J75">
            <v>102.93</v>
          </cell>
          <cell r="K75">
            <v>494.3</v>
          </cell>
          <cell r="L75">
            <v>36.24</v>
          </cell>
          <cell r="M75">
            <v>7.0000000000000007E-2</v>
          </cell>
        </row>
        <row r="76">
          <cell r="A76" t="str">
            <v>HIDRACOR</v>
          </cell>
          <cell r="B76">
            <v>16</v>
          </cell>
          <cell r="C76">
            <v>1349.78</v>
          </cell>
          <cell r="D76">
            <v>3.89</v>
          </cell>
          <cell r="E76">
            <v>0</v>
          </cell>
          <cell r="F76">
            <v>0</v>
          </cell>
          <cell r="G76">
            <v>0</v>
          </cell>
          <cell r="H76">
            <v>1349.78</v>
          </cell>
          <cell r="I76">
            <v>626.03</v>
          </cell>
          <cell r="J76">
            <v>0</v>
          </cell>
          <cell r="K76">
            <v>723.75</v>
          </cell>
          <cell r="L76">
            <v>53.62</v>
          </cell>
          <cell r="M76">
            <v>7.0000000000000007E-2</v>
          </cell>
        </row>
        <row r="77">
          <cell r="A77" t="str">
            <v>ULTRACLEAN</v>
          </cell>
          <cell r="B77">
            <v>7</v>
          </cell>
          <cell r="C77">
            <v>1111.0999999999999</v>
          </cell>
          <cell r="D77">
            <v>22.68</v>
          </cell>
          <cell r="E77">
            <v>0</v>
          </cell>
          <cell r="F77">
            <v>0</v>
          </cell>
          <cell r="G77">
            <v>0</v>
          </cell>
          <cell r="H77">
            <v>1111.0999999999999</v>
          </cell>
          <cell r="I77">
            <v>648.27</v>
          </cell>
          <cell r="J77">
            <v>0</v>
          </cell>
          <cell r="K77">
            <v>462.83</v>
          </cell>
          <cell r="L77">
            <v>41.66</v>
          </cell>
          <cell r="M77">
            <v>0.06</v>
          </cell>
        </row>
        <row r="78">
          <cell r="A78" t="str">
            <v>ORBI QUIMICA LTDA</v>
          </cell>
          <cell r="B78">
            <v>8</v>
          </cell>
          <cell r="C78">
            <v>1089.6500000000001</v>
          </cell>
          <cell r="D78">
            <v>14.34</v>
          </cell>
          <cell r="E78">
            <v>0</v>
          </cell>
          <cell r="F78">
            <v>0</v>
          </cell>
          <cell r="G78">
            <v>0</v>
          </cell>
          <cell r="H78">
            <v>1089.6500000000001</v>
          </cell>
          <cell r="I78">
            <v>597.13</v>
          </cell>
          <cell r="J78">
            <v>0</v>
          </cell>
          <cell r="K78">
            <v>492.52</v>
          </cell>
          <cell r="L78">
            <v>45.2</v>
          </cell>
          <cell r="M78">
            <v>0.05</v>
          </cell>
        </row>
        <row r="79">
          <cell r="A79" t="str">
            <v>ULTRA CLEAN</v>
          </cell>
          <cell r="B79">
            <v>7</v>
          </cell>
          <cell r="C79">
            <v>1078.5</v>
          </cell>
          <cell r="D79">
            <v>23.97</v>
          </cell>
          <cell r="E79">
            <v>0</v>
          </cell>
          <cell r="F79">
            <v>0</v>
          </cell>
          <cell r="G79">
            <v>0</v>
          </cell>
          <cell r="H79">
            <v>1078.5</v>
          </cell>
          <cell r="I79">
            <v>683.74</v>
          </cell>
          <cell r="J79">
            <v>0</v>
          </cell>
          <cell r="K79">
            <v>394.76</v>
          </cell>
          <cell r="L79">
            <v>36.6</v>
          </cell>
          <cell r="M79">
            <v>0.05</v>
          </cell>
        </row>
        <row r="80">
          <cell r="A80" t="str">
            <v>COZIMAX</v>
          </cell>
          <cell r="B80">
            <v>5</v>
          </cell>
          <cell r="C80">
            <v>945.26</v>
          </cell>
          <cell r="D80">
            <v>135.04</v>
          </cell>
          <cell r="E80">
            <v>0</v>
          </cell>
          <cell r="F80">
            <v>0</v>
          </cell>
          <cell r="G80">
            <v>0</v>
          </cell>
          <cell r="H80">
            <v>945.26</v>
          </cell>
          <cell r="I80">
            <v>539.04</v>
          </cell>
          <cell r="J80">
            <v>0</v>
          </cell>
          <cell r="K80">
            <v>406.22</v>
          </cell>
          <cell r="L80">
            <v>42.97</v>
          </cell>
          <cell r="M80">
            <v>0.05</v>
          </cell>
        </row>
        <row r="81">
          <cell r="A81" t="str">
            <v>KALIPSO</v>
          </cell>
          <cell r="B81">
            <v>9</v>
          </cell>
          <cell r="C81">
            <v>866.29</v>
          </cell>
          <cell r="D81">
            <v>7.6</v>
          </cell>
          <cell r="E81">
            <v>0</v>
          </cell>
          <cell r="F81">
            <v>0</v>
          </cell>
          <cell r="G81">
            <v>0</v>
          </cell>
          <cell r="H81">
            <v>866.29</v>
          </cell>
          <cell r="I81">
            <v>426.14</v>
          </cell>
          <cell r="J81">
            <v>0</v>
          </cell>
          <cell r="K81">
            <v>440.15</v>
          </cell>
          <cell r="L81">
            <v>50.81</v>
          </cell>
          <cell r="M81">
            <v>0.04</v>
          </cell>
        </row>
        <row r="82">
          <cell r="A82" t="str">
            <v>TRAMONTINA</v>
          </cell>
          <cell r="B82">
            <v>3</v>
          </cell>
          <cell r="C82">
            <v>860.72</v>
          </cell>
          <cell r="D82">
            <v>107.59</v>
          </cell>
          <cell r="E82">
            <v>0</v>
          </cell>
          <cell r="F82">
            <v>0</v>
          </cell>
          <cell r="G82">
            <v>0</v>
          </cell>
          <cell r="H82">
            <v>860.72</v>
          </cell>
          <cell r="I82">
            <v>538.08000000000004</v>
          </cell>
          <cell r="J82">
            <v>0</v>
          </cell>
          <cell r="K82">
            <v>322.64</v>
          </cell>
          <cell r="L82">
            <v>37.479999999999997</v>
          </cell>
          <cell r="M82">
            <v>0.04</v>
          </cell>
        </row>
        <row r="83">
          <cell r="A83" t="str">
            <v>ASTRA</v>
          </cell>
          <cell r="B83">
            <v>10</v>
          </cell>
          <cell r="C83">
            <v>712.54</v>
          </cell>
          <cell r="D83">
            <v>11.68</v>
          </cell>
          <cell r="E83">
            <v>0</v>
          </cell>
          <cell r="F83">
            <v>0</v>
          </cell>
          <cell r="G83">
            <v>6.3</v>
          </cell>
          <cell r="H83">
            <v>706.24</v>
          </cell>
          <cell r="I83">
            <v>401.82</v>
          </cell>
          <cell r="J83">
            <v>3.93</v>
          </cell>
          <cell r="K83">
            <v>308.35000000000002</v>
          </cell>
          <cell r="L83">
            <v>43.51</v>
          </cell>
          <cell r="M83">
            <v>0.04</v>
          </cell>
        </row>
        <row r="84">
          <cell r="A84" t="str">
            <v>ARCELORMITTAL</v>
          </cell>
          <cell r="B84">
            <v>3</v>
          </cell>
          <cell r="C84">
            <v>642.75</v>
          </cell>
          <cell r="D84">
            <v>30.61</v>
          </cell>
          <cell r="E84">
            <v>0</v>
          </cell>
          <cell r="F84">
            <v>0</v>
          </cell>
          <cell r="G84">
            <v>0</v>
          </cell>
          <cell r="H84">
            <v>642.75</v>
          </cell>
          <cell r="I84">
            <v>381.19</v>
          </cell>
          <cell r="J84">
            <v>0</v>
          </cell>
          <cell r="K84">
            <v>261.56</v>
          </cell>
          <cell r="L84">
            <v>40.69</v>
          </cell>
          <cell r="M84">
            <v>0.03</v>
          </cell>
        </row>
        <row r="85">
          <cell r="A85" t="str">
            <v>ELIZABETH PORC.</v>
          </cell>
          <cell r="B85">
            <v>2</v>
          </cell>
          <cell r="C85">
            <v>587.98400000000004</v>
          </cell>
          <cell r="D85">
            <v>41.76</v>
          </cell>
          <cell r="E85">
            <v>0</v>
          </cell>
          <cell r="F85">
            <v>0</v>
          </cell>
          <cell r="G85">
            <v>0</v>
          </cell>
          <cell r="H85">
            <v>587.98400000000004</v>
          </cell>
          <cell r="I85">
            <v>330.88400000000001</v>
          </cell>
          <cell r="J85">
            <v>0</v>
          </cell>
          <cell r="K85">
            <v>257.10000000000002</v>
          </cell>
          <cell r="L85">
            <v>43.73</v>
          </cell>
          <cell r="M85">
            <v>0.03</v>
          </cell>
        </row>
        <row r="86">
          <cell r="A86" t="str">
            <v>GERDAU</v>
          </cell>
          <cell r="B86">
            <v>4</v>
          </cell>
          <cell r="C86">
            <v>574.79999999999995</v>
          </cell>
          <cell r="D86">
            <v>26.13</v>
          </cell>
          <cell r="E86">
            <v>0</v>
          </cell>
          <cell r="F86">
            <v>0</v>
          </cell>
          <cell r="G86">
            <v>0</v>
          </cell>
          <cell r="H86">
            <v>574.79999999999995</v>
          </cell>
          <cell r="I86">
            <v>311.22000000000003</v>
          </cell>
          <cell r="J86">
            <v>0</v>
          </cell>
          <cell r="K86">
            <v>263.58</v>
          </cell>
          <cell r="L86">
            <v>45.86</v>
          </cell>
          <cell r="M86">
            <v>0.03</v>
          </cell>
        </row>
        <row r="87">
          <cell r="A87" t="str">
            <v>STARRETT INDUSTRIA E COMERCIO</v>
          </cell>
          <cell r="B87">
            <v>3</v>
          </cell>
          <cell r="C87">
            <v>504.94</v>
          </cell>
          <cell r="D87">
            <v>17.41</v>
          </cell>
          <cell r="E87">
            <v>0</v>
          </cell>
          <cell r="F87">
            <v>0</v>
          </cell>
          <cell r="G87">
            <v>0</v>
          </cell>
          <cell r="H87">
            <v>504.94</v>
          </cell>
          <cell r="I87">
            <v>292.52</v>
          </cell>
          <cell r="J87">
            <v>0</v>
          </cell>
          <cell r="K87">
            <v>212.42</v>
          </cell>
          <cell r="L87">
            <v>42.07</v>
          </cell>
          <cell r="M87">
            <v>0.03</v>
          </cell>
        </row>
        <row r="88">
          <cell r="A88" t="str">
            <v>FRANKE</v>
          </cell>
          <cell r="B88">
            <v>1</v>
          </cell>
          <cell r="C88">
            <v>279.89999999999998</v>
          </cell>
          <cell r="D88">
            <v>279.89999999999998</v>
          </cell>
          <cell r="E88">
            <v>0</v>
          </cell>
          <cell r="F88">
            <v>0</v>
          </cell>
          <cell r="G88">
            <v>0</v>
          </cell>
          <cell r="H88">
            <v>279.89999999999998</v>
          </cell>
          <cell r="I88">
            <v>175.19</v>
          </cell>
          <cell r="J88">
            <v>0</v>
          </cell>
          <cell r="K88">
            <v>104.71</v>
          </cell>
          <cell r="L88">
            <v>37.409999999999997</v>
          </cell>
          <cell r="M88">
            <v>0.01</v>
          </cell>
        </row>
        <row r="89">
          <cell r="A89" t="str">
            <v>BRASFORT</v>
          </cell>
          <cell r="B89">
            <v>3</v>
          </cell>
          <cell r="C89">
            <v>271.54000000000002</v>
          </cell>
          <cell r="D89">
            <v>19.399999999999999</v>
          </cell>
          <cell r="E89">
            <v>0</v>
          </cell>
          <cell r="F89">
            <v>0</v>
          </cell>
          <cell r="G89">
            <v>0</v>
          </cell>
          <cell r="H89">
            <v>271.54000000000002</v>
          </cell>
          <cell r="I89">
            <v>162.16</v>
          </cell>
          <cell r="J89">
            <v>0</v>
          </cell>
          <cell r="K89">
            <v>109.38</v>
          </cell>
          <cell r="L89">
            <v>40.28</v>
          </cell>
          <cell r="M89">
            <v>0.01</v>
          </cell>
        </row>
        <row r="90">
          <cell r="A90" t="str">
            <v>Max-Giro</v>
          </cell>
          <cell r="B90">
            <v>5</v>
          </cell>
          <cell r="C90">
            <v>258.68</v>
          </cell>
          <cell r="D90">
            <v>12.32</v>
          </cell>
          <cell r="E90">
            <v>0</v>
          </cell>
          <cell r="F90">
            <v>0</v>
          </cell>
          <cell r="G90">
            <v>0</v>
          </cell>
          <cell r="H90">
            <v>258.68</v>
          </cell>
          <cell r="I90">
            <v>143.78</v>
          </cell>
          <cell r="J90">
            <v>0</v>
          </cell>
          <cell r="K90">
            <v>114.9</v>
          </cell>
          <cell r="L90">
            <v>44.42</v>
          </cell>
          <cell r="M90">
            <v>0.01</v>
          </cell>
        </row>
        <row r="91">
          <cell r="A91" t="str">
            <v>VONDER</v>
          </cell>
          <cell r="B91">
            <v>3</v>
          </cell>
          <cell r="C91">
            <v>253.04</v>
          </cell>
          <cell r="D91">
            <v>25.3</v>
          </cell>
          <cell r="E91">
            <v>0</v>
          </cell>
          <cell r="F91">
            <v>0</v>
          </cell>
          <cell r="G91">
            <v>0</v>
          </cell>
          <cell r="H91">
            <v>253.04</v>
          </cell>
          <cell r="I91">
            <v>138.38999999999999</v>
          </cell>
          <cell r="J91">
            <v>0</v>
          </cell>
          <cell r="K91">
            <v>114.65</v>
          </cell>
          <cell r="L91">
            <v>45.31</v>
          </cell>
          <cell r="M91">
            <v>0.01</v>
          </cell>
        </row>
        <row r="92">
          <cell r="A92" t="str">
            <v>BOSCH</v>
          </cell>
          <cell r="B92">
            <v>3</v>
          </cell>
          <cell r="C92">
            <v>250.5</v>
          </cell>
          <cell r="D92">
            <v>50.1</v>
          </cell>
          <cell r="E92">
            <v>0</v>
          </cell>
          <cell r="F92">
            <v>0</v>
          </cell>
          <cell r="G92">
            <v>0</v>
          </cell>
          <cell r="H92">
            <v>250.5</v>
          </cell>
          <cell r="I92">
            <v>153.78</v>
          </cell>
          <cell r="J92">
            <v>0</v>
          </cell>
          <cell r="K92">
            <v>96.72</v>
          </cell>
          <cell r="L92">
            <v>38.61</v>
          </cell>
          <cell r="M92">
            <v>0.01</v>
          </cell>
        </row>
        <row r="93">
          <cell r="A93" t="str">
            <v>KDK PORTAS</v>
          </cell>
          <cell r="B93">
            <v>1</v>
          </cell>
          <cell r="C93">
            <v>206.57</v>
          </cell>
          <cell r="D93">
            <v>103.29</v>
          </cell>
          <cell r="E93">
            <v>0</v>
          </cell>
          <cell r="F93">
            <v>0</v>
          </cell>
          <cell r="G93">
            <v>0</v>
          </cell>
          <cell r="H93">
            <v>206.57</v>
          </cell>
          <cell r="I93">
            <v>182.42</v>
          </cell>
          <cell r="J93">
            <v>0</v>
          </cell>
          <cell r="K93">
            <v>24.15</v>
          </cell>
          <cell r="L93">
            <v>11.69</v>
          </cell>
          <cell r="M93">
            <v>0.01</v>
          </cell>
        </row>
        <row r="94">
          <cell r="A94" t="str">
            <v>ARAFORROS</v>
          </cell>
          <cell r="B94">
            <v>1</v>
          </cell>
          <cell r="C94">
            <v>199.9</v>
          </cell>
          <cell r="D94">
            <v>199.9</v>
          </cell>
          <cell r="E94">
            <v>0</v>
          </cell>
          <cell r="F94">
            <v>0</v>
          </cell>
          <cell r="G94">
            <v>0</v>
          </cell>
          <cell r="H94">
            <v>199.9</v>
          </cell>
          <cell r="I94">
            <v>123.39</v>
          </cell>
          <cell r="J94">
            <v>0</v>
          </cell>
          <cell r="K94">
            <v>76.510000000000005</v>
          </cell>
          <cell r="L94">
            <v>38.270000000000003</v>
          </cell>
          <cell r="M94">
            <v>0.01</v>
          </cell>
        </row>
        <row r="95">
          <cell r="A95" t="str">
            <v>ROCA SANITARIOS BRASIL LTDA</v>
          </cell>
          <cell r="B95">
            <v>1</v>
          </cell>
          <cell r="C95">
            <v>199.9</v>
          </cell>
          <cell r="D95">
            <v>199.9</v>
          </cell>
          <cell r="E95">
            <v>0</v>
          </cell>
          <cell r="F95">
            <v>0</v>
          </cell>
          <cell r="G95">
            <v>0</v>
          </cell>
          <cell r="H95">
            <v>199.9</v>
          </cell>
          <cell r="I95">
            <v>128.56</v>
          </cell>
          <cell r="J95">
            <v>0</v>
          </cell>
          <cell r="K95">
            <v>71.34</v>
          </cell>
          <cell r="L95">
            <v>35.69</v>
          </cell>
          <cell r="M95">
            <v>0.01</v>
          </cell>
        </row>
        <row r="96">
          <cell r="A96" t="str">
            <v>COMFORT DOOR</v>
          </cell>
          <cell r="B96">
            <v>2</v>
          </cell>
          <cell r="C96">
            <v>192.5</v>
          </cell>
          <cell r="D96">
            <v>24.06</v>
          </cell>
          <cell r="E96">
            <v>0</v>
          </cell>
          <cell r="F96">
            <v>0</v>
          </cell>
          <cell r="G96">
            <v>0</v>
          </cell>
          <cell r="H96">
            <v>192.5</v>
          </cell>
          <cell r="I96">
            <v>102.5</v>
          </cell>
          <cell r="J96">
            <v>0</v>
          </cell>
          <cell r="K96">
            <v>90</v>
          </cell>
          <cell r="L96">
            <v>46.75</v>
          </cell>
          <cell r="M96">
            <v>0.01</v>
          </cell>
        </row>
        <row r="97">
          <cell r="A97" t="str">
            <v>LGMAIS</v>
          </cell>
          <cell r="B97">
            <v>1</v>
          </cell>
          <cell r="C97">
            <v>171.9</v>
          </cell>
          <cell r="D97">
            <v>171.9</v>
          </cell>
          <cell r="E97">
            <v>0</v>
          </cell>
          <cell r="F97">
            <v>0</v>
          </cell>
          <cell r="G97">
            <v>0</v>
          </cell>
          <cell r="H97">
            <v>171.9</v>
          </cell>
          <cell r="I97">
            <v>106.72</v>
          </cell>
          <cell r="J97">
            <v>0</v>
          </cell>
          <cell r="K97">
            <v>65.180000000000007</v>
          </cell>
          <cell r="L97">
            <v>37.92</v>
          </cell>
          <cell r="M97">
            <v>0.01</v>
          </cell>
        </row>
        <row r="98">
          <cell r="A98" t="str">
            <v>ILUMI</v>
          </cell>
          <cell r="B98">
            <v>3</v>
          </cell>
          <cell r="C98">
            <v>168.74</v>
          </cell>
          <cell r="D98">
            <v>12.05</v>
          </cell>
          <cell r="E98">
            <v>0</v>
          </cell>
          <cell r="F98">
            <v>0</v>
          </cell>
          <cell r="G98">
            <v>0</v>
          </cell>
          <cell r="H98">
            <v>168.74</v>
          </cell>
          <cell r="I98">
            <v>96.27</v>
          </cell>
          <cell r="J98">
            <v>0</v>
          </cell>
          <cell r="K98">
            <v>72.47</v>
          </cell>
          <cell r="L98">
            <v>42.95</v>
          </cell>
          <cell r="M98">
            <v>0.01</v>
          </cell>
        </row>
        <row r="99">
          <cell r="A99" t="str">
            <v>LEDAN</v>
          </cell>
          <cell r="B99">
            <v>3</v>
          </cell>
          <cell r="C99">
            <v>143.56</v>
          </cell>
          <cell r="D99">
            <v>14.36</v>
          </cell>
          <cell r="E99">
            <v>0</v>
          </cell>
          <cell r="F99">
            <v>0</v>
          </cell>
          <cell r="G99">
            <v>0</v>
          </cell>
          <cell r="H99">
            <v>143.56</v>
          </cell>
          <cell r="I99">
            <v>87.43</v>
          </cell>
          <cell r="J99">
            <v>0</v>
          </cell>
          <cell r="K99">
            <v>56.13</v>
          </cell>
          <cell r="L99">
            <v>39.1</v>
          </cell>
          <cell r="M99">
            <v>0.01</v>
          </cell>
        </row>
        <row r="100">
          <cell r="A100" t="str">
            <v>PRECON</v>
          </cell>
          <cell r="B100">
            <v>1</v>
          </cell>
          <cell r="C100">
            <v>129.9</v>
          </cell>
          <cell r="D100">
            <v>129.9</v>
          </cell>
          <cell r="E100">
            <v>0</v>
          </cell>
          <cell r="F100">
            <v>0</v>
          </cell>
          <cell r="G100">
            <v>0</v>
          </cell>
          <cell r="H100">
            <v>129.9</v>
          </cell>
          <cell r="I100">
            <v>83.57</v>
          </cell>
          <cell r="J100">
            <v>0</v>
          </cell>
          <cell r="K100">
            <v>46.33</v>
          </cell>
          <cell r="L100">
            <v>35.67</v>
          </cell>
          <cell r="M100">
            <v>0.01</v>
          </cell>
        </row>
        <row r="101">
          <cell r="A101" t="str">
            <v>TRAMONTINA ELETRIK S.A.</v>
          </cell>
          <cell r="B101">
            <v>3</v>
          </cell>
          <cell r="C101">
            <v>120.77</v>
          </cell>
          <cell r="D101">
            <v>20.13</v>
          </cell>
          <cell r="E101">
            <v>0</v>
          </cell>
          <cell r="F101">
            <v>0</v>
          </cell>
          <cell r="G101">
            <v>0</v>
          </cell>
          <cell r="H101">
            <v>120.77</v>
          </cell>
          <cell r="I101">
            <v>70.81</v>
          </cell>
          <cell r="J101">
            <v>0</v>
          </cell>
          <cell r="K101">
            <v>49.96</v>
          </cell>
          <cell r="L101">
            <v>41.37</v>
          </cell>
          <cell r="M101">
            <v>0.01</v>
          </cell>
        </row>
        <row r="102">
          <cell r="A102" t="str">
            <v xml:space="preserve"> RESISWAL</v>
          </cell>
          <cell r="B102">
            <v>3</v>
          </cell>
          <cell r="C102">
            <v>116.7</v>
          </cell>
          <cell r="D102">
            <v>38.9</v>
          </cell>
          <cell r="E102">
            <v>0</v>
          </cell>
          <cell r="F102">
            <v>0</v>
          </cell>
          <cell r="G102">
            <v>0</v>
          </cell>
          <cell r="H102">
            <v>116.7</v>
          </cell>
          <cell r="I102">
            <v>64.62</v>
          </cell>
          <cell r="J102">
            <v>0</v>
          </cell>
          <cell r="K102">
            <v>52.08</v>
          </cell>
          <cell r="L102">
            <v>44.63</v>
          </cell>
          <cell r="M102">
            <v>0.01</v>
          </cell>
        </row>
        <row r="103">
          <cell r="A103" t="str">
            <v>KAPAZI</v>
          </cell>
          <cell r="B103">
            <v>1</v>
          </cell>
          <cell r="C103">
            <v>115.8</v>
          </cell>
          <cell r="D103">
            <v>57.9</v>
          </cell>
          <cell r="E103">
            <v>0</v>
          </cell>
          <cell r="F103">
            <v>0</v>
          </cell>
          <cell r="G103">
            <v>0</v>
          </cell>
          <cell r="H103">
            <v>115.8</v>
          </cell>
          <cell r="I103">
            <v>72.16</v>
          </cell>
          <cell r="J103">
            <v>0</v>
          </cell>
          <cell r="K103">
            <v>43.64</v>
          </cell>
          <cell r="L103">
            <v>37.69</v>
          </cell>
          <cell r="M103">
            <v>0.01</v>
          </cell>
        </row>
        <row r="104">
          <cell r="A104" t="str">
            <v>PHILIPS ILUMINACAO LA</v>
          </cell>
          <cell r="B104">
            <v>1</v>
          </cell>
          <cell r="C104">
            <v>99</v>
          </cell>
          <cell r="D104">
            <v>9.9</v>
          </cell>
          <cell r="E104">
            <v>0</v>
          </cell>
          <cell r="F104">
            <v>0</v>
          </cell>
          <cell r="G104">
            <v>0</v>
          </cell>
          <cell r="H104">
            <v>99</v>
          </cell>
          <cell r="I104">
            <v>59.3</v>
          </cell>
          <cell r="J104">
            <v>0</v>
          </cell>
          <cell r="K104">
            <v>39.700000000000003</v>
          </cell>
          <cell r="L104">
            <v>40.1</v>
          </cell>
          <cell r="M104">
            <v>0</v>
          </cell>
        </row>
        <row r="105">
          <cell r="A105" t="str">
            <v>RHPE</v>
          </cell>
          <cell r="B105">
            <v>1</v>
          </cell>
          <cell r="C105">
            <v>85.9</v>
          </cell>
          <cell r="D105">
            <v>85.9</v>
          </cell>
          <cell r="E105">
            <v>0</v>
          </cell>
          <cell r="F105">
            <v>0</v>
          </cell>
          <cell r="G105">
            <v>0</v>
          </cell>
          <cell r="H105">
            <v>85.9</v>
          </cell>
          <cell r="I105">
            <v>53.34</v>
          </cell>
          <cell r="J105">
            <v>0</v>
          </cell>
          <cell r="K105">
            <v>32.56</v>
          </cell>
          <cell r="L105">
            <v>37.9</v>
          </cell>
          <cell r="M105">
            <v>0</v>
          </cell>
        </row>
        <row r="106">
          <cell r="A106" t="str">
            <v>J LOBATO</v>
          </cell>
          <cell r="B106">
            <v>2</v>
          </cell>
          <cell r="C106">
            <v>74.7</v>
          </cell>
          <cell r="D106">
            <v>24.9</v>
          </cell>
          <cell r="E106">
            <v>0</v>
          </cell>
          <cell r="F106">
            <v>0</v>
          </cell>
          <cell r="G106">
            <v>0</v>
          </cell>
          <cell r="H106">
            <v>74.7</v>
          </cell>
          <cell r="I106">
            <v>33.92</v>
          </cell>
          <cell r="J106">
            <v>0</v>
          </cell>
          <cell r="K106">
            <v>40.78</v>
          </cell>
          <cell r="L106">
            <v>54.59</v>
          </cell>
          <cell r="M106">
            <v>0</v>
          </cell>
        </row>
        <row r="107">
          <cell r="A107" t="str">
            <v>DUDA</v>
          </cell>
          <cell r="B107">
            <v>1</v>
          </cell>
          <cell r="C107">
            <v>71.760000000000005</v>
          </cell>
          <cell r="D107">
            <v>29.9</v>
          </cell>
          <cell r="E107">
            <v>0</v>
          </cell>
          <cell r="F107">
            <v>0</v>
          </cell>
          <cell r="G107">
            <v>0</v>
          </cell>
          <cell r="H107">
            <v>71.760000000000005</v>
          </cell>
          <cell r="I107">
            <v>46.103999999999999</v>
          </cell>
          <cell r="J107">
            <v>0</v>
          </cell>
          <cell r="K107">
            <v>25.655999999999999</v>
          </cell>
          <cell r="L107">
            <v>35.75</v>
          </cell>
          <cell r="M107">
            <v>0</v>
          </cell>
        </row>
        <row r="108">
          <cell r="A108" t="str">
            <v>EMPLAC</v>
          </cell>
          <cell r="B108">
            <v>2</v>
          </cell>
          <cell r="C108">
            <v>53.9</v>
          </cell>
          <cell r="D108">
            <v>7.7</v>
          </cell>
          <cell r="E108">
            <v>0</v>
          </cell>
          <cell r="F108">
            <v>0</v>
          </cell>
          <cell r="G108">
            <v>0</v>
          </cell>
          <cell r="H108">
            <v>53.9</v>
          </cell>
          <cell r="I108">
            <v>25.05</v>
          </cell>
          <cell r="J108">
            <v>0</v>
          </cell>
          <cell r="K108">
            <v>28.85</v>
          </cell>
          <cell r="L108">
            <v>53.53</v>
          </cell>
          <cell r="M108">
            <v>0</v>
          </cell>
        </row>
        <row r="109">
          <cell r="A109" t="str">
            <v>BLACK ELEPHANT</v>
          </cell>
          <cell r="B109">
            <v>2</v>
          </cell>
          <cell r="C109">
            <v>47.8</v>
          </cell>
          <cell r="D109">
            <v>23.9</v>
          </cell>
          <cell r="E109">
            <v>0</v>
          </cell>
          <cell r="F109">
            <v>0</v>
          </cell>
          <cell r="G109">
            <v>0</v>
          </cell>
          <cell r="H109">
            <v>47.8</v>
          </cell>
          <cell r="I109">
            <v>29.48</v>
          </cell>
          <cell r="J109">
            <v>0</v>
          </cell>
          <cell r="K109">
            <v>18.32</v>
          </cell>
          <cell r="L109">
            <v>38.33</v>
          </cell>
          <cell r="M109">
            <v>0</v>
          </cell>
        </row>
        <row r="110">
          <cell r="A110" t="str">
            <v>EXTRALUZ</v>
          </cell>
          <cell r="B110">
            <v>1</v>
          </cell>
          <cell r="C110">
            <v>29.9</v>
          </cell>
          <cell r="D110">
            <v>29.9</v>
          </cell>
          <cell r="E110">
            <v>0</v>
          </cell>
          <cell r="F110">
            <v>0</v>
          </cell>
          <cell r="G110">
            <v>0</v>
          </cell>
          <cell r="H110">
            <v>29.9</v>
          </cell>
          <cell r="I110">
            <v>17.510000000000002</v>
          </cell>
          <cell r="J110">
            <v>0</v>
          </cell>
          <cell r="K110">
            <v>12.39</v>
          </cell>
          <cell r="L110">
            <v>41.44</v>
          </cell>
          <cell r="M110">
            <v>0</v>
          </cell>
        </row>
        <row r="111">
          <cell r="A111" t="str">
            <v>EXTRALUX</v>
          </cell>
          <cell r="B111">
            <v>1</v>
          </cell>
          <cell r="C111">
            <v>27.9</v>
          </cell>
          <cell r="D111">
            <v>27.9</v>
          </cell>
          <cell r="E111">
            <v>0</v>
          </cell>
          <cell r="F111">
            <v>0</v>
          </cell>
          <cell r="G111">
            <v>0</v>
          </cell>
          <cell r="H111">
            <v>27.9</v>
          </cell>
          <cell r="I111">
            <v>16.600000000000001</v>
          </cell>
          <cell r="J111">
            <v>0</v>
          </cell>
          <cell r="K111">
            <v>11.3</v>
          </cell>
          <cell r="L111">
            <v>40.5</v>
          </cell>
          <cell r="M111">
            <v>0</v>
          </cell>
        </row>
        <row r="112">
          <cell r="A112" t="str">
            <v>TRAMONTINA NORDESTE</v>
          </cell>
          <cell r="B112">
            <v>2</v>
          </cell>
          <cell r="C112">
            <v>25.6</v>
          </cell>
          <cell r="D112">
            <v>12.8</v>
          </cell>
          <cell r="E112">
            <v>0</v>
          </cell>
          <cell r="F112">
            <v>0</v>
          </cell>
          <cell r="G112">
            <v>0</v>
          </cell>
          <cell r="H112">
            <v>25.6</v>
          </cell>
          <cell r="I112">
            <v>14.46</v>
          </cell>
          <cell r="J112">
            <v>0</v>
          </cell>
          <cell r="K112">
            <v>11.14</v>
          </cell>
          <cell r="L112">
            <v>43.52</v>
          </cell>
          <cell r="M112">
            <v>0</v>
          </cell>
        </row>
        <row r="113">
          <cell r="A113" t="str">
            <v>OVERTIME</v>
          </cell>
          <cell r="B113">
            <v>3</v>
          </cell>
          <cell r="C113">
            <v>23.9</v>
          </cell>
          <cell r="D113">
            <v>3.98</v>
          </cell>
          <cell r="E113">
            <v>0</v>
          </cell>
          <cell r="F113">
            <v>0</v>
          </cell>
          <cell r="G113">
            <v>0</v>
          </cell>
          <cell r="H113">
            <v>23.9</v>
          </cell>
          <cell r="I113">
            <v>13.72</v>
          </cell>
          <cell r="J113">
            <v>0</v>
          </cell>
          <cell r="K113">
            <v>10.18</v>
          </cell>
          <cell r="L113">
            <v>42.59</v>
          </cell>
          <cell r="M113">
            <v>0</v>
          </cell>
        </row>
        <row r="114">
          <cell r="A114" t="str">
            <v>PADOVA</v>
          </cell>
          <cell r="B114">
            <v>1</v>
          </cell>
          <cell r="C114">
            <v>23.9</v>
          </cell>
          <cell r="D114">
            <v>23.9</v>
          </cell>
          <cell r="E114">
            <v>0</v>
          </cell>
          <cell r="F114">
            <v>0</v>
          </cell>
          <cell r="G114">
            <v>0</v>
          </cell>
          <cell r="H114">
            <v>23.9</v>
          </cell>
          <cell r="I114">
            <v>14.66</v>
          </cell>
          <cell r="J114">
            <v>0</v>
          </cell>
          <cell r="K114">
            <v>9.24</v>
          </cell>
          <cell r="L114">
            <v>38.659999999999997</v>
          </cell>
          <cell r="M114">
            <v>0</v>
          </cell>
        </row>
        <row r="115">
          <cell r="A115" t="str">
            <v>STAM</v>
          </cell>
          <cell r="B115">
            <v>1</v>
          </cell>
          <cell r="C115">
            <v>20.9</v>
          </cell>
          <cell r="D115">
            <v>20.9</v>
          </cell>
          <cell r="E115">
            <v>0</v>
          </cell>
          <cell r="F115">
            <v>0</v>
          </cell>
          <cell r="G115">
            <v>0</v>
          </cell>
          <cell r="H115">
            <v>20.9</v>
          </cell>
          <cell r="I115">
            <v>11.86</v>
          </cell>
          <cell r="J115">
            <v>0</v>
          </cell>
          <cell r="K115">
            <v>9.0399999999999991</v>
          </cell>
          <cell r="L115">
            <v>43.25</v>
          </cell>
          <cell r="M115">
            <v>0</v>
          </cell>
        </row>
        <row r="116">
          <cell r="A116" t="str">
            <v>INCA</v>
          </cell>
          <cell r="B116">
            <v>1</v>
          </cell>
          <cell r="C116">
            <v>12</v>
          </cell>
          <cell r="D116">
            <v>1.33</v>
          </cell>
          <cell r="E116">
            <v>0</v>
          </cell>
          <cell r="F116">
            <v>0</v>
          </cell>
          <cell r="G116">
            <v>0</v>
          </cell>
          <cell r="H116">
            <v>12</v>
          </cell>
          <cell r="I116">
            <v>5.32</v>
          </cell>
          <cell r="J116">
            <v>0</v>
          </cell>
          <cell r="K116">
            <v>6.68</v>
          </cell>
          <cell r="L116">
            <v>55.67</v>
          </cell>
          <cell r="M116">
            <v>0</v>
          </cell>
        </row>
        <row r="117">
          <cell r="A117" t="str">
            <v>NOVA FIXACAO</v>
          </cell>
          <cell r="B117">
            <v>1</v>
          </cell>
          <cell r="C117">
            <v>11.94</v>
          </cell>
          <cell r="D117">
            <v>1.99</v>
          </cell>
          <cell r="E117">
            <v>0</v>
          </cell>
          <cell r="F117">
            <v>0</v>
          </cell>
          <cell r="G117">
            <v>0</v>
          </cell>
          <cell r="H117">
            <v>11.94</v>
          </cell>
          <cell r="I117">
            <v>6.96</v>
          </cell>
          <cell r="J117">
            <v>0</v>
          </cell>
          <cell r="K117">
            <v>4.9800000000000004</v>
          </cell>
          <cell r="L117">
            <v>41.71</v>
          </cell>
          <cell r="M117">
            <v>0</v>
          </cell>
        </row>
        <row r="118">
          <cell r="A118" t="str">
            <v>outros</v>
          </cell>
          <cell r="B118">
            <v>0</v>
          </cell>
          <cell r="C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NOV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ELIZABETH</v>
          </cell>
          <cell r="B2">
            <v>302</v>
          </cell>
          <cell r="C2">
            <v>337546.0417</v>
          </cell>
          <cell r="D2">
            <v>23.93</v>
          </cell>
          <cell r="E2">
            <v>0</v>
          </cell>
          <cell r="F2">
            <v>0</v>
          </cell>
          <cell r="G2">
            <v>9424.2474000000002</v>
          </cell>
          <cell r="H2">
            <v>328121.79430000001</v>
          </cell>
          <cell r="I2">
            <v>215581.7585</v>
          </cell>
          <cell r="J2">
            <v>6189.5609000000004</v>
          </cell>
          <cell r="K2">
            <v>118729.59669999999</v>
          </cell>
          <cell r="L2">
            <v>35.83</v>
          </cell>
          <cell r="M2">
            <v>13.46</v>
          </cell>
        </row>
        <row r="3">
          <cell r="A3" t="str">
            <v>INCENOR</v>
          </cell>
          <cell r="B3">
            <v>290</v>
          </cell>
          <cell r="C3">
            <v>322905.51459999999</v>
          </cell>
          <cell r="D3">
            <v>31.82</v>
          </cell>
          <cell r="E3">
            <v>0</v>
          </cell>
          <cell r="F3">
            <v>0</v>
          </cell>
          <cell r="G3">
            <v>12527.9413</v>
          </cell>
          <cell r="H3">
            <v>310377.57329999999</v>
          </cell>
          <cell r="I3">
            <v>210496.83309999999</v>
          </cell>
          <cell r="J3">
            <v>8370.7813999999998</v>
          </cell>
          <cell r="K3">
            <v>108251.52159999999</v>
          </cell>
          <cell r="L3">
            <v>34.42</v>
          </cell>
          <cell r="M3">
            <v>12.87</v>
          </cell>
        </row>
        <row r="4">
          <cell r="A4" t="str">
            <v>IQUINE</v>
          </cell>
          <cell r="B4">
            <v>165</v>
          </cell>
          <cell r="C4">
            <v>276591.47749999998</v>
          </cell>
          <cell r="D4">
            <v>20.65</v>
          </cell>
          <cell r="E4">
            <v>0</v>
          </cell>
          <cell r="F4">
            <v>0</v>
          </cell>
          <cell r="G4">
            <v>3889.3</v>
          </cell>
          <cell r="H4">
            <v>272702.17749999999</v>
          </cell>
          <cell r="I4">
            <v>167922.76379999999</v>
          </cell>
          <cell r="J4">
            <v>2361.0500000000002</v>
          </cell>
          <cell r="K4">
            <v>107140.46369999999</v>
          </cell>
          <cell r="L4">
            <v>39.07</v>
          </cell>
          <cell r="M4">
            <v>11.03</v>
          </cell>
        </row>
        <row r="5">
          <cell r="A5" t="str">
            <v>MEGAÓ</v>
          </cell>
          <cell r="B5">
            <v>118</v>
          </cell>
          <cell r="C5">
            <v>221132.68</v>
          </cell>
          <cell r="D5">
            <v>64.34</v>
          </cell>
          <cell r="E5">
            <v>0</v>
          </cell>
          <cell r="F5">
            <v>0</v>
          </cell>
          <cell r="G5">
            <v>4773.68</v>
          </cell>
          <cell r="H5">
            <v>216359</v>
          </cell>
          <cell r="I5">
            <v>128998.41</v>
          </cell>
          <cell r="J5">
            <v>2841.64</v>
          </cell>
          <cell r="K5">
            <v>90202.23</v>
          </cell>
          <cell r="L5">
            <v>41.32</v>
          </cell>
          <cell r="M5">
            <v>8.82</v>
          </cell>
        </row>
        <row r="6">
          <cell r="A6" t="str">
            <v>DO MESTRE</v>
          </cell>
          <cell r="B6">
            <v>442</v>
          </cell>
          <cell r="C6">
            <v>202851.66</v>
          </cell>
          <cell r="D6">
            <v>23.02</v>
          </cell>
          <cell r="E6">
            <v>0</v>
          </cell>
          <cell r="F6">
            <v>0</v>
          </cell>
          <cell r="G6">
            <v>6423.1575000000003</v>
          </cell>
          <cell r="H6">
            <v>196428.5025</v>
          </cell>
          <cell r="I6">
            <v>119699.97</v>
          </cell>
          <cell r="J6">
            <v>4014.2</v>
          </cell>
          <cell r="K6">
            <v>80742.732499999998</v>
          </cell>
          <cell r="L6">
            <v>40.61</v>
          </cell>
          <cell r="M6">
            <v>8.09</v>
          </cell>
        </row>
        <row r="7">
          <cell r="A7" t="str">
            <v>REALLE</v>
          </cell>
          <cell r="B7">
            <v>93</v>
          </cell>
          <cell r="C7">
            <v>107244.5168</v>
          </cell>
          <cell r="D7">
            <v>26.15</v>
          </cell>
          <cell r="E7">
            <v>0</v>
          </cell>
          <cell r="F7">
            <v>0</v>
          </cell>
          <cell r="G7">
            <v>219.84989999999999</v>
          </cell>
          <cell r="H7">
            <v>107024.6669</v>
          </cell>
          <cell r="I7">
            <v>72282.960999999996</v>
          </cell>
          <cell r="J7">
            <v>131.9992</v>
          </cell>
          <cell r="K7">
            <v>34873.705099999999</v>
          </cell>
          <cell r="L7">
            <v>32.56</v>
          </cell>
          <cell r="M7">
            <v>4.28</v>
          </cell>
        </row>
        <row r="8">
          <cell r="A8" t="str">
            <v>TECNOGRES</v>
          </cell>
          <cell r="B8">
            <v>52</v>
          </cell>
          <cell r="C8">
            <v>94214.079199999993</v>
          </cell>
          <cell r="D8">
            <v>44.92</v>
          </cell>
          <cell r="E8">
            <v>0</v>
          </cell>
          <cell r="F8">
            <v>0</v>
          </cell>
          <cell r="G8">
            <v>7631.8249999999998</v>
          </cell>
          <cell r="H8">
            <v>86582.254199999996</v>
          </cell>
          <cell r="I8">
            <v>55106.885199999997</v>
          </cell>
          <cell r="J8">
            <v>4801.1108999999997</v>
          </cell>
          <cell r="K8">
            <v>36276.479899999998</v>
          </cell>
          <cell r="L8">
            <v>40.57</v>
          </cell>
          <cell r="M8">
            <v>3.76</v>
          </cell>
        </row>
        <row r="9">
          <cell r="A9" t="str">
            <v>WEBER QUARTZOLIT</v>
          </cell>
          <cell r="B9">
            <v>232</v>
          </cell>
          <cell r="C9">
            <v>92155.12</v>
          </cell>
          <cell r="D9">
            <v>24.81</v>
          </cell>
          <cell r="E9">
            <v>0</v>
          </cell>
          <cell r="F9">
            <v>0</v>
          </cell>
          <cell r="G9">
            <v>2786.25</v>
          </cell>
          <cell r="H9">
            <v>89368.87</v>
          </cell>
          <cell r="I9">
            <v>57233.63</v>
          </cell>
          <cell r="J9">
            <v>1756.17</v>
          </cell>
          <cell r="K9">
            <v>33891.410000000003</v>
          </cell>
          <cell r="L9">
            <v>37.49</v>
          </cell>
          <cell r="M9">
            <v>3.67</v>
          </cell>
        </row>
        <row r="10">
          <cell r="A10" t="str">
            <v>POINTER</v>
          </cell>
          <cell r="B10">
            <v>78</v>
          </cell>
          <cell r="C10">
            <v>72230.635999999999</v>
          </cell>
          <cell r="D10">
            <v>40.53</v>
          </cell>
          <cell r="E10">
            <v>0</v>
          </cell>
          <cell r="F10">
            <v>0</v>
          </cell>
          <cell r="G10">
            <v>2497.8784999999998</v>
          </cell>
          <cell r="H10">
            <v>69732.757500000007</v>
          </cell>
          <cell r="I10">
            <v>44100.161</v>
          </cell>
          <cell r="J10">
            <v>1574.1098</v>
          </cell>
          <cell r="K10">
            <v>27206.706300000002</v>
          </cell>
          <cell r="L10">
            <v>38.51</v>
          </cell>
          <cell r="M10">
            <v>2.88</v>
          </cell>
        </row>
        <row r="11">
          <cell r="A11" t="str">
            <v>ARIELLE</v>
          </cell>
          <cell r="B11">
            <v>84</v>
          </cell>
          <cell r="C11">
            <v>68446.866999999998</v>
          </cell>
          <cell r="D11">
            <v>36.35</v>
          </cell>
          <cell r="E11">
            <v>0</v>
          </cell>
          <cell r="F11">
            <v>0</v>
          </cell>
          <cell r="G11">
            <v>5590.5853999999999</v>
          </cell>
          <cell r="H11">
            <v>62856.281600000002</v>
          </cell>
          <cell r="I11">
            <v>41925.318700000003</v>
          </cell>
          <cell r="J11">
            <v>3424.2440999999999</v>
          </cell>
          <cell r="K11">
            <v>24355.206999999999</v>
          </cell>
          <cell r="L11">
            <v>37.46</v>
          </cell>
          <cell r="M11">
            <v>2.73</v>
          </cell>
        </row>
        <row r="12">
          <cell r="A12" t="str">
            <v>ATLAS</v>
          </cell>
          <cell r="B12">
            <v>106</v>
          </cell>
          <cell r="C12">
            <v>54033.599999999999</v>
          </cell>
          <cell r="D12">
            <v>16.61</v>
          </cell>
          <cell r="E12">
            <v>0</v>
          </cell>
          <cell r="F12">
            <v>0</v>
          </cell>
          <cell r="G12">
            <v>344.59</v>
          </cell>
          <cell r="H12">
            <v>53689.01</v>
          </cell>
          <cell r="I12">
            <v>30949.13</v>
          </cell>
          <cell r="J12">
            <v>211.66</v>
          </cell>
          <cell r="K12">
            <v>22951.54</v>
          </cell>
          <cell r="L12">
            <v>42.64</v>
          </cell>
          <cell r="M12">
            <v>2.15</v>
          </cell>
        </row>
        <row r="13">
          <cell r="A13" t="str">
            <v>ROCA</v>
          </cell>
          <cell r="B13">
            <v>71</v>
          </cell>
          <cell r="C13">
            <v>51637.9</v>
          </cell>
          <cell r="D13">
            <v>178.06</v>
          </cell>
          <cell r="E13">
            <v>0</v>
          </cell>
          <cell r="F13">
            <v>0</v>
          </cell>
          <cell r="G13">
            <v>2586.94</v>
          </cell>
          <cell r="H13">
            <v>49050.96</v>
          </cell>
          <cell r="I13">
            <v>35194.870000000003</v>
          </cell>
          <cell r="J13">
            <v>1725.12</v>
          </cell>
          <cell r="K13">
            <v>15581.21</v>
          </cell>
          <cell r="L13">
            <v>31.22</v>
          </cell>
          <cell r="M13">
            <v>2.06</v>
          </cell>
        </row>
        <row r="14">
          <cell r="A14" t="str">
            <v>FORTLEV</v>
          </cell>
          <cell r="B14">
            <v>69</v>
          </cell>
          <cell r="C14">
            <v>43450.75</v>
          </cell>
          <cell r="D14">
            <v>9.77</v>
          </cell>
          <cell r="E14">
            <v>0</v>
          </cell>
          <cell r="F14">
            <v>0</v>
          </cell>
          <cell r="G14">
            <v>1893.88</v>
          </cell>
          <cell r="H14">
            <v>41556.870000000003</v>
          </cell>
          <cell r="I14">
            <v>30655.8</v>
          </cell>
          <cell r="J14">
            <v>1308.23</v>
          </cell>
          <cell r="K14">
            <v>12209.3</v>
          </cell>
          <cell r="L14">
            <v>28.97</v>
          </cell>
          <cell r="M14">
            <v>1.73</v>
          </cell>
        </row>
        <row r="15">
          <cell r="A15" t="str">
            <v>QUALITY</v>
          </cell>
          <cell r="B15">
            <v>54</v>
          </cell>
          <cell r="C15">
            <v>41623.61</v>
          </cell>
          <cell r="D15">
            <v>265.12</v>
          </cell>
          <cell r="E15">
            <v>0</v>
          </cell>
          <cell r="F15">
            <v>0</v>
          </cell>
          <cell r="G15">
            <v>1807.76</v>
          </cell>
          <cell r="H15">
            <v>39815.85</v>
          </cell>
          <cell r="I15">
            <v>25372.99</v>
          </cell>
          <cell r="J15">
            <v>1161.4100000000001</v>
          </cell>
          <cell r="K15">
            <v>15604.27</v>
          </cell>
          <cell r="L15">
            <v>38.57</v>
          </cell>
          <cell r="M15">
            <v>1.66</v>
          </cell>
        </row>
        <row r="16">
          <cell r="A16" t="str">
            <v>NORCOLA</v>
          </cell>
          <cell r="B16">
            <v>19</v>
          </cell>
          <cell r="C16">
            <v>32482.19</v>
          </cell>
          <cell r="D16">
            <v>218</v>
          </cell>
          <cell r="E16">
            <v>0</v>
          </cell>
          <cell r="F16">
            <v>0</v>
          </cell>
          <cell r="G16">
            <v>0</v>
          </cell>
          <cell r="H16">
            <v>32482.19</v>
          </cell>
          <cell r="I16">
            <v>23465.95</v>
          </cell>
          <cell r="J16">
            <v>0</v>
          </cell>
          <cell r="K16">
            <v>9016.24</v>
          </cell>
          <cell r="L16">
            <v>27.76</v>
          </cell>
          <cell r="M16">
            <v>1.29</v>
          </cell>
        </row>
        <row r="17">
          <cell r="A17" t="str">
            <v>BRASILIT</v>
          </cell>
          <cell r="B17">
            <v>22</v>
          </cell>
          <cell r="C17">
            <v>30925.17</v>
          </cell>
          <cell r="D17">
            <v>70.28</v>
          </cell>
          <cell r="E17">
            <v>0</v>
          </cell>
          <cell r="F17">
            <v>0</v>
          </cell>
          <cell r="G17">
            <v>73.900000000000006</v>
          </cell>
          <cell r="H17">
            <v>30851.27</v>
          </cell>
          <cell r="I17">
            <v>24552.9</v>
          </cell>
          <cell r="J17">
            <v>62</v>
          </cell>
          <cell r="K17">
            <v>6360.37</v>
          </cell>
          <cell r="L17">
            <v>20.61</v>
          </cell>
          <cell r="M17">
            <v>1.23</v>
          </cell>
        </row>
        <row r="18">
          <cell r="A18" t="str">
            <v>INCESA</v>
          </cell>
          <cell r="B18">
            <v>12</v>
          </cell>
          <cell r="C18">
            <v>27841.14</v>
          </cell>
          <cell r="D18">
            <v>87.33</v>
          </cell>
          <cell r="E18">
            <v>0</v>
          </cell>
          <cell r="F18">
            <v>0</v>
          </cell>
          <cell r="G18">
            <v>0</v>
          </cell>
          <cell r="H18">
            <v>27841.14</v>
          </cell>
          <cell r="I18">
            <v>17587.052</v>
          </cell>
          <cell r="J18">
            <v>0</v>
          </cell>
          <cell r="K18">
            <v>10254.088</v>
          </cell>
          <cell r="L18">
            <v>36.83</v>
          </cell>
          <cell r="M18">
            <v>1.1100000000000001</v>
          </cell>
        </row>
        <row r="19">
          <cell r="A19" t="str">
            <v>CARMELO FIOR</v>
          </cell>
          <cell r="B19">
            <v>10</v>
          </cell>
          <cell r="C19">
            <v>27795.735000000001</v>
          </cell>
          <cell r="D19">
            <v>65.89</v>
          </cell>
          <cell r="E19">
            <v>0</v>
          </cell>
          <cell r="F19">
            <v>0</v>
          </cell>
          <cell r="G19">
            <v>2240.6999999999998</v>
          </cell>
          <cell r="H19">
            <v>25555.035</v>
          </cell>
          <cell r="I19">
            <v>14510.8205</v>
          </cell>
          <cell r="J19">
            <v>1392.93</v>
          </cell>
          <cell r="K19">
            <v>12437.1445</v>
          </cell>
          <cell r="L19">
            <v>47.11</v>
          </cell>
          <cell r="M19">
            <v>1.1100000000000001</v>
          </cell>
        </row>
        <row r="20">
          <cell r="A20" t="str">
            <v>MEC-TRONIC</v>
          </cell>
          <cell r="B20">
            <v>52</v>
          </cell>
          <cell r="C20">
            <v>20390.2</v>
          </cell>
          <cell r="D20">
            <v>10.11</v>
          </cell>
          <cell r="E20">
            <v>0</v>
          </cell>
          <cell r="F20">
            <v>0</v>
          </cell>
          <cell r="G20">
            <v>207.68</v>
          </cell>
          <cell r="H20">
            <v>20182.52</v>
          </cell>
          <cell r="I20">
            <v>10964.82</v>
          </cell>
          <cell r="J20">
            <v>112.62</v>
          </cell>
          <cell r="K20">
            <v>9330.32</v>
          </cell>
          <cell r="L20">
            <v>46.01</v>
          </cell>
          <cell r="M20">
            <v>0.81</v>
          </cell>
        </row>
        <row r="21">
          <cell r="A21" t="str">
            <v>NITROLUX</v>
          </cell>
          <cell r="B21">
            <v>38</v>
          </cell>
          <cell r="C21">
            <v>18492.22</v>
          </cell>
          <cell r="D21">
            <v>11.47</v>
          </cell>
          <cell r="E21">
            <v>0</v>
          </cell>
          <cell r="F21">
            <v>0</v>
          </cell>
          <cell r="G21">
            <v>268.22000000000003</v>
          </cell>
          <cell r="H21">
            <v>18224</v>
          </cell>
          <cell r="I21">
            <v>10445.69</v>
          </cell>
          <cell r="J21">
            <v>162.16</v>
          </cell>
          <cell r="K21">
            <v>7940.47</v>
          </cell>
          <cell r="L21">
            <v>43.32</v>
          </cell>
          <cell r="M21">
            <v>0.74</v>
          </cell>
        </row>
        <row r="22">
          <cell r="A22" t="str">
            <v>LORENZETTI</v>
          </cell>
          <cell r="B22">
            <v>22</v>
          </cell>
          <cell r="C22">
            <v>17187.71</v>
          </cell>
          <cell r="D22">
            <v>108.1</v>
          </cell>
          <cell r="E22">
            <v>0</v>
          </cell>
          <cell r="F22">
            <v>0</v>
          </cell>
          <cell r="G22">
            <v>491.3</v>
          </cell>
          <cell r="H22">
            <v>16696.41</v>
          </cell>
          <cell r="I22">
            <v>10852.13</v>
          </cell>
          <cell r="J22">
            <v>304.11</v>
          </cell>
          <cell r="K22">
            <v>6148.39</v>
          </cell>
          <cell r="L22">
            <v>36.42</v>
          </cell>
          <cell r="M22">
            <v>0.69</v>
          </cell>
        </row>
        <row r="23">
          <cell r="A23" t="str">
            <v>INTECH MACHINE</v>
          </cell>
          <cell r="B23">
            <v>21</v>
          </cell>
          <cell r="C23">
            <v>15827.36</v>
          </cell>
          <cell r="D23">
            <v>175.86</v>
          </cell>
          <cell r="E23">
            <v>0</v>
          </cell>
          <cell r="F23">
            <v>0</v>
          </cell>
          <cell r="G23">
            <v>0</v>
          </cell>
          <cell r="H23">
            <v>15827.36</v>
          </cell>
          <cell r="I23">
            <v>11105.97</v>
          </cell>
          <cell r="J23">
            <v>0</v>
          </cell>
          <cell r="K23">
            <v>4721.3900000000003</v>
          </cell>
          <cell r="L23">
            <v>29.83</v>
          </cell>
          <cell r="M23">
            <v>0.63</v>
          </cell>
        </row>
        <row r="24">
          <cell r="A24" t="str">
            <v>LUZARTE</v>
          </cell>
          <cell r="B24">
            <v>24</v>
          </cell>
          <cell r="C24">
            <v>15594.18</v>
          </cell>
          <cell r="D24">
            <v>159.12</v>
          </cell>
          <cell r="E24">
            <v>0</v>
          </cell>
          <cell r="F24">
            <v>0</v>
          </cell>
          <cell r="G24">
            <v>155.9</v>
          </cell>
          <cell r="H24">
            <v>15438.28</v>
          </cell>
          <cell r="I24">
            <v>12206.92</v>
          </cell>
          <cell r="J24">
            <v>122.27</v>
          </cell>
          <cell r="K24">
            <v>3353.63</v>
          </cell>
          <cell r="L24">
            <v>21.68</v>
          </cell>
          <cell r="M24">
            <v>0.62</v>
          </cell>
        </row>
        <row r="25">
          <cell r="A25" t="str">
            <v>Perfilplast Industria e Comerc</v>
          </cell>
          <cell r="B25">
            <v>34</v>
          </cell>
          <cell r="C25">
            <v>15398.37</v>
          </cell>
          <cell r="D25">
            <v>80.12</v>
          </cell>
          <cell r="E25">
            <v>0</v>
          </cell>
          <cell r="F25">
            <v>0</v>
          </cell>
          <cell r="G25">
            <v>743.5</v>
          </cell>
          <cell r="H25">
            <v>14654.87</v>
          </cell>
          <cell r="I25">
            <v>9167.5079999999998</v>
          </cell>
          <cell r="J25">
            <v>430.55</v>
          </cell>
          <cell r="K25">
            <v>5917.9120000000003</v>
          </cell>
          <cell r="L25">
            <v>39.54</v>
          </cell>
          <cell r="M25">
            <v>0.61</v>
          </cell>
        </row>
        <row r="26">
          <cell r="A26" t="str">
            <v>GRANPLAST</v>
          </cell>
          <cell r="B26">
            <v>44</v>
          </cell>
          <cell r="C26">
            <v>15191.31</v>
          </cell>
          <cell r="D26">
            <v>23.37</v>
          </cell>
          <cell r="E26">
            <v>0</v>
          </cell>
          <cell r="F26">
            <v>0</v>
          </cell>
          <cell r="G26">
            <v>328.5</v>
          </cell>
          <cell r="H26">
            <v>14862.81</v>
          </cell>
          <cell r="I26">
            <v>9204.2199999999993</v>
          </cell>
          <cell r="J26">
            <v>201.34</v>
          </cell>
          <cell r="K26">
            <v>5859.93</v>
          </cell>
          <cell r="L26">
            <v>39.090000000000003</v>
          </cell>
          <cell r="M26">
            <v>0.61</v>
          </cell>
        </row>
        <row r="27">
          <cell r="A27" t="str">
            <v>MADELAR</v>
          </cell>
          <cell r="B27">
            <v>28</v>
          </cell>
          <cell r="C27">
            <v>13877.72</v>
          </cell>
          <cell r="D27">
            <v>169.24</v>
          </cell>
          <cell r="E27">
            <v>0</v>
          </cell>
          <cell r="F27">
            <v>0</v>
          </cell>
          <cell r="G27">
            <v>1003.4</v>
          </cell>
          <cell r="H27">
            <v>12874.32</v>
          </cell>
          <cell r="I27">
            <v>7835</v>
          </cell>
          <cell r="J27">
            <v>561</v>
          </cell>
          <cell r="K27">
            <v>5600.32</v>
          </cell>
          <cell r="L27">
            <v>42.05</v>
          </cell>
          <cell r="M27">
            <v>0.55000000000000004</v>
          </cell>
        </row>
        <row r="28">
          <cell r="A28" t="str">
            <v>METAIS LEAO</v>
          </cell>
          <cell r="B28">
            <v>36</v>
          </cell>
          <cell r="C28">
            <v>13536.61</v>
          </cell>
          <cell r="D28">
            <v>78.7</v>
          </cell>
          <cell r="E28">
            <v>0</v>
          </cell>
          <cell r="F28">
            <v>0</v>
          </cell>
          <cell r="G28">
            <v>296.10000000000002</v>
          </cell>
          <cell r="H28">
            <v>13240.51</v>
          </cell>
          <cell r="I28">
            <v>7931.17</v>
          </cell>
          <cell r="J28">
            <v>168.65</v>
          </cell>
          <cell r="K28">
            <v>5477.99</v>
          </cell>
          <cell r="L28">
            <v>40.98</v>
          </cell>
          <cell r="M28">
            <v>0.54</v>
          </cell>
        </row>
        <row r="29">
          <cell r="A29" t="str">
            <v>GHEL'PLUS</v>
          </cell>
          <cell r="B29">
            <v>20</v>
          </cell>
          <cell r="C29">
            <v>12943.94</v>
          </cell>
          <cell r="D29">
            <v>128.16</v>
          </cell>
          <cell r="E29">
            <v>0</v>
          </cell>
          <cell r="F29">
            <v>0</v>
          </cell>
          <cell r="G29">
            <v>262.89999999999998</v>
          </cell>
          <cell r="H29">
            <v>12681.04</v>
          </cell>
          <cell r="I29">
            <v>7886.81</v>
          </cell>
          <cell r="J29">
            <v>161</v>
          </cell>
          <cell r="K29">
            <v>4955.2299999999996</v>
          </cell>
          <cell r="L29">
            <v>38.76</v>
          </cell>
          <cell r="M29">
            <v>0.52</v>
          </cell>
        </row>
        <row r="30">
          <cell r="A30" t="str">
            <v>BLACK DECKER</v>
          </cell>
          <cell r="B30">
            <v>19</v>
          </cell>
          <cell r="C30">
            <v>12587.86</v>
          </cell>
          <cell r="D30">
            <v>65.22</v>
          </cell>
          <cell r="E30">
            <v>0</v>
          </cell>
          <cell r="F30">
            <v>0</v>
          </cell>
          <cell r="G30">
            <v>5.7</v>
          </cell>
          <cell r="H30">
            <v>12582.16</v>
          </cell>
          <cell r="I30">
            <v>8100.4</v>
          </cell>
          <cell r="J30">
            <v>3.16</v>
          </cell>
          <cell r="K30">
            <v>4484.92</v>
          </cell>
          <cell r="L30">
            <v>35.64</v>
          </cell>
          <cell r="M30">
            <v>0.5</v>
          </cell>
        </row>
        <row r="31">
          <cell r="A31" t="str">
            <v>FERTAK COMERCIO E IMPORTAÇÃO</v>
          </cell>
          <cell r="B31">
            <v>38</v>
          </cell>
          <cell r="C31">
            <v>10948.23</v>
          </cell>
          <cell r="D31">
            <v>10.72</v>
          </cell>
          <cell r="E31">
            <v>0</v>
          </cell>
          <cell r="F31">
            <v>0</v>
          </cell>
          <cell r="G31">
            <v>30.9</v>
          </cell>
          <cell r="H31">
            <v>10917.33</v>
          </cell>
          <cell r="I31">
            <v>6189.42</v>
          </cell>
          <cell r="J31">
            <v>17.04</v>
          </cell>
          <cell r="K31">
            <v>4744.95</v>
          </cell>
          <cell r="L31">
            <v>43.41</v>
          </cell>
          <cell r="M31">
            <v>0.44</v>
          </cell>
        </row>
        <row r="32">
          <cell r="A32" t="str">
            <v>PADO</v>
          </cell>
          <cell r="B32">
            <v>16</v>
          </cell>
          <cell r="C32">
            <v>10492.24</v>
          </cell>
          <cell r="D32">
            <v>42.83</v>
          </cell>
          <cell r="E32">
            <v>0</v>
          </cell>
          <cell r="F32">
            <v>0</v>
          </cell>
          <cell r="G32">
            <v>175.61</v>
          </cell>
          <cell r="H32">
            <v>10316.629999999999</v>
          </cell>
          <cell r="I32">
            <v>5860.6</v>
          </cell>
          <cell r="J32">
            <v>102.74</v>
          </cell>
          <cell r="K32">
            <v>4558.7700000000004</v>
          </cell>
          <cell r="L32">
            <v>43.88</v>
          </cell>
          <cell r="M32">
            <v>0.42</v>
          </cell>
        </row>
        <row r="33">
          <cell r="A33" t="str">
            <v>SILVANA</v>
          </cell>
          <cell r="B33">
            <v>23</v>
          </cell>
          <cell r="C33">
            <v>10343.41</v>
          </cell>
          <cell r="D33">
            <v>27.51</v>
          </cell>
          <cell r="E33">
            <v>0</v>
          </cell>
          <cell r="F33">
            <v>0</v>
          </cell>
          <cell r="G33">
            <v>402.08</v>
          </cell>
          <cell r="H33">
            <v>9941.33</v>
          </cell>
          <cell r="I33">
            <v>6057.4</v>
          </cell>
          <cell r="J33">
            <v>239.39</v>
          </cell>
          <cell r="K33">
            <v>4123.32</v>
          </cell>
          <cell r="L33">
            <v>40.81</v>
          </cell>
          <cell r="M33">
            <v>0.41</v>
          </cell>
        </row>
        <row r="34">
          <cell r="A34" t="str">
            <v>MULT MIX IMPORTADORA</v>
          </cell>
          <cell r="B34">
            <v>41</v>
          </cell>
          <cell r="C34">
            <v>9161.86</v>
          </cell>
          <cell r="D34">
            <v>17.59</v>
          </cell>
          <cell r="E34">
            <v>0</v>
          </cell>
          <cell r="F34">
            <v>0</v>
          </cell>
          <cell r="G34">
            <v>126.79</v>
          </cell>
          <cell r="H34">
            <v>9035.07</v>
          </cell>
          <cell r="I34">
            <v>4805.4799999999996</v>
          </cell>
          <cell r="J34">
            <v>68.400000000000006</v>
          </cell>
          <cell r="K34">
            <v>4297.99</v>
          </cell>
          <cell r="L34">
            <v>47.26</v>
          </cell>
          <cell r="M34">
            <v>0.37</v>
          </cell>
        </row>
        <row r="35">
          <cell r="A35" t="str">
            <v>LEDVANCE</v>
          </cell>
          <cell r="B35">
            <v>22</v>
          </cell>
          <cell r="C35">
            <v>8943.57</v>
          </cell>
          <cell r="D35">
            <v>14.96</v>
          </cell>
          <cell r="E35">
            <v>0</v>
          </cell>
          <cell r="F35">
            <v>0</v>
          </cell>
          <cell r="G35">
            <v>146.5</v>
          </cell>
          <cell r="H35">
            <v>8797.07</v>
          </cell>
          <cell r="I35">
            <v>5201.5</v>
          </cell>
          <cell r="J35">
            <v>74.63</v>
          </cell>
          <cell r="K35">
            <v>3670.2</v>
          </cell>
          <cell r="L35">
            <v>41.38</v>
          </cell>
          <cell r="M35">
            <v>0.36</v>
          </cell>
        </row>
        <row r="36">
          <cell r="A36" t="str">
            <v>BLUKIT</v>
          </cell>
          <cell r="B36">
            <v>44</v>
          </cell>
          <cell r="C36">
            <v>8615.93</v>
          </cell>
          <cell r="D36">
            <v>20.04</v>
          </cell>
          <cell r="E36">
            <v>0</v>
          </cell>
          <cell r="F36">
            <v>0</v>
          </cell>
          <cell r="G36">
            <v>257.60000000000002</v>
          </cell>
          <cell r="H36">
            <v>8358.33</v>
          </cell>
          <cell r="I36">
            <v>4785.83</v>
          </cell>
          <cell r="J36">
            <v>129.78</v>
          </cell>
          <cell r="K36">
            <v>3702.28</v>
          </cell>
          <cell r="L36">
            <v>43.63</v>
          </cell>
          <cell r="M36">
            <v>0.34</v>
          </cell>
        </row>
        <row r="37">
          <cell r="A37" t="str">
            <v>VIQUA</v>
          </cell>
          <cell r="B37">
            <v>21</v>
          </cell>
          <cell r="C37">
            <v>8423.27</v>
          </cell>
          <cell r="D37">
            <v>36</v>
          </cell>
          <cell r="E37">
            <v>0</v>
          </cell>
          <cell r="F37">
            <v>0</v>
          </cell>
          <cell r="G37">
            <v>198</v>
          </cell>
          <cell r="H37">
            <v>8225.27</v>
          </cell>
          <cell r="I37">
            <v>5158.66</v>
          </cell>
          <cell r="J37">
            <v>117.23</v>
          </cell>
          <cell r="K37">
            <v>3183.84</v>
          </cell>
          <cell r="L37">
            <v>38.33</v>
          </cell>
          <cell r="M37">
            <v>0.34</v>
          </cell>
        </row>
        <row r="38">
          <cell r="A38" t="str">
            <v>LEGRAND</v>
          </cell>
          <cell r="B38">
            <v>16</v>
          </cell>
          <cell r="C38">
            <v>8130.91</v>
          </cell>
          <cell r="D38">
            <v>18.27</v>
          </cell>
          <cell r="E38">
            <v>0</v>
          </cell>
          <cell r="F38">
            <v>0</v>
          </cell>
          <cell r="G38">
            <v>42.79</v>
          </cell>
          <cell r="H38">
            <v>8088.12</v>
          </cell>
          <cell r="I38">
            <v>5022.6400000000003</v>
          </cell>
          <cell r="J38">
            <v>26.58</v>
          </cell>
          <cell r="K38">
            <v>3092.06</v>
          </cell>
          <cell r="L38">
            <v>38.15</v>
          </cell>
          <cell r="M38">
            <v>0.32</v>
          </cell>
        </row>
        <row r="39">
          <cell r="A39" t="str">
            <v>MGM</v>
          </cell>
          <cell r="B39">
            <v>12</v>
          </cell>
          <cell r="C39">
            <v>8108.65</v>
          </cell>
          <cell r="D39">
            <v>386.13</v>
          </cell>
          <cell r="E39">
            <v>0</v>
          </cell>
          <cell r="F39">
            <v>0</v>
          </cell>
          <cell r="G39">
            <v>0</v>
          </cell>
          <cell r="H39">
            <v>8108.65</v>
          </cell>
          <cell r="I39">
            <v>4935.07</v>
          </cell>
          <cell r="J39">
            <v>0</v>
          </cell>
          <cell r="K39">
            <v>3173.58</v>
          </cell>
          <cell r="L39">
            <v>39.14</v>
          </cell>
          <cell r="M39">
            <v>0.32</v>
          </cell>
        </row>
        <row r="40">
          <cell r="A40" t="str">
            <v>METALURGICA MOR S/A</v>
          </cell>
          <cell r="B40">
            <v>15</v>
          </cell>
          <cell r="C40">
            <v>8079.37</v>
          </cell>
          <cell r="D40">
            <v>79.989999999999995</v>
          </cell>
          <cell r="E40">
            <v>0</v>
          </cell>
          <cell r="F40">
            <v>0</v>
          </cell>
          <cell r="G40">
            <v>0</v>
          </cell>
          <cell r="H40">
            <v>8079.37</v>
          </cell>
          <cell r="I40">
            <v>4935.68</v>
          </cell>
          <cell r="J40">
            <v>0</v>
          </cell>
          <cell r="K40">
            <v>3143.69</v>
          </cell>
          <cell r="L40">
            <v>38.909999999999997</v>
          </cell>
          <cell r="M40">
            <v>0.32</v>
          </cell>
        </row>
        <row r="41">
          <cell r="A41" t="str">
            <v>ANAUGER</v>
          </cell>
          <cell r="B41">
            <v>9</v>
          </cell>
          <cell r="C41">
            <v>7769.96</v>
          </cell>
          <cell r="D41">
            <v>323.75</v>
          </cell>
          <cell r="E41">
            <v>0</v>
          </cell>
          <cell r="F41">
            <v>0</v>
          </cell>
          <cell r="G41">
            <v>1031.5999999999999</v>
          </cell>
          <cell r="H41">
            <v>6738.36</v>
          </cell>
          <cell r="I41">
            <v>5400.22</v>
          </cell>
          <cell r="J41">
            <v>712.63</v>
          </cell>
          <cell r="K41">
            <v>2050.77</v>
          </cell>
          <cell r="L41">
            <v>29.06</v>
          </cell>
          <cell r="M41">
            <v>0.31</v>
          </cell>
        </row>
        <row r="42">
          <cell r="A42" t="str">
            <v>NORTON</v>
          </cell>
          <cell r="B42">
            <v>47</v>
          </cell>
          <cell r="C42">
            <v>7687.34</v>
          </cell>
          <cell r="D42">
            <v>3.45</v>
          </cell>
          <cell r="E42">
            <v>0</v>
          </cell>
          <cell r="F42">
            <v>0</v>
          </cell>
          <cell r="G42">
            <v>54.45</v>
          </cell>
          <cell r="H42">
            <v>7632.89</v>
          </cell>
          <cell r="I42">
            <v>3847.49</v>
          </cell>
          <cell r="J42">
            <v>26.95</v>
          </cell>
          <cell r="K42">
            <v>3812.35</v>
          </cell>
          <cell r="L42">
            <v>49.77</v>
          </cell>
          <cell r="M42">
            <v>0.31</v>
          </cell>
        </row>
        <row r="43">
          <cell r="A43" t="str">
            <v>VEDACIT</v>
          </cell>
          <cell r="B43">
            <v>13</v>
          </cell>
          <cell r="C43">
            <v>7530.63</v>
          </cell>
          <cell r="D43">
            <v>76.069999999999993</v>
          </cell>
          <cell r="E43">
            <v>0</v>
          </cell>
          <cell r="F43">
            <v>0</v>
          </cell>
          <cell r="G43">
            <v>264.8</v>
          </cell>
          <cell r="H43">
            <v>7265.83</v>
          </cell>
          <cell r="I43">
            <v>4359.49</v>
          </cell>
          <cell r="J43">
            <v>130.07</v>
          </cell>
          <cell r="K43">
            <v>3036.41</v>
          </cell>
          <cell r="L43">
            <v>41.03</v>
          </cell>
          <cell r="M43">
            <v>0.3</v>
          </cell>
        </row>
        <row r="44">
          <cell r="A44" t="str">
            <v>ADERE</v>
          </cell>
          <cell r="B44">
            <v>27</v>
          </cell>
          <cell r="C44">
            <v>6908</v>
          </cell>
          <cell r="D44">
            <v>11.61</v>
          </cell>
          <cell r="E44">
            <v>0</v>
          </cell>
          <cell r="F44">
            <v>0</v>
          </cell>
          <cell r="G44">
            <v>51.6</v>
          </cell>
          <cell r="H44">
            <v>6856.4</v>
          </cell>
          <cell r="I44">
            <v>3961.22</v>
          </cell>
          <cell r="J44">
            <v>31.05</v>
          </cell>
          <cell r="K44">
            <v>2926.23</v>
          </cell>
          <cell r="L44">
            <v>42.55</v>
          </cell>
          <cell r="M44">
            <v>0.28000000000000003</v>
          </cell>
        </row>
        <row r="45">
          <cell r="A45" t="str">
            <v>LUCONI</v>
          </cell>
          <cell r="B45">
            <v>42</v>
          </cell>
          <cell r="C45">
            <v>6396.73</v>
          </cell>
          <cell r="D45">
            <v>10.64</v>
          </cell>
          <cell r="E45">
            <v>0</v>
          </cell>
          <cell r="F45">
            <v>0</v>
          </cell>
          <cell r="G45">
            <v>92.5</v>
          </cell>
          <cell r="H45">
            <v>6304.23</v>
          </cell>
          <cell r="I45">
            <v>3035.43</v>
          </cell>
          <cell r="J45">
            <v>47.76</v>
          </cell>
          <cell r="K45">
            <v>3316.56</v>
          </cell>
          <cell r="L45">
            <v>52.24</v>
          </cell>
          <cell r="M45">
            <v>0.26</v>
          </cell>
        </row>
        <row r="46">
          <cell r="A46" t="str">
            <v>HERC</v>
          </cell>
          <cell r="B46">
            <v>24</v>
          </cell>
          <cell r="C46">
            <v>6104.9</v>
          </cell>
          <cell r="D46">
            <v>22.44</v>
          </cell>
          <cell r="E46">
            <v>0</v>
          </cell>
          <cell r="F46">
            <v>0</v>
          </cell>
          <cell r="G46">
            <v>3.99</v>
          </cell>
          <cell r="H46">
            <v>6100.91</v>
          </cell>
          <cell r="I46">
            <v>3577.23</v>
          </cell>
          <cell r="J46">
            <v>2.0299999999999998</v>
          </cell>
          <cell r="K46">
            <v>2525.71</v>
          </cell>
          <cell r="L46">
            <v>41.39</v>
          </cell>
          <cell r="M46">
            <v>0.24</v>
          </cell>
        </row>
        <row r="47">
          <cell r="A47" t="str">
            <v>PRATEFIX</v>
          </cell>
          <cell r="B47">
            <v>13</v>
          </cell>
          <cell r="C47">
            <v>5818.81</v>
          </cell>
          <cell r="D47">
            <v>35.479999999999997</v>
          </cell>
          <cell r="E47">
            <v>0</v>
          </cell>
          <cell r="F47">
            <v>0</v>
          </cell>
          <cell r="G47">
            <v>35.9</v>
          </cell>
          <cell r="H47">
            <v>5782.91</v>
          </cell>
          <cell r="I47">
            <v>3291.68</v>
          </cell>
          <cell r="J47">
            <v>21.65</v>
          </cell>
          <cell r="K47">
            <v>2512.88</v>
          </cell>
          <cell r="L47">
            <v>43.35</v>
          </cell>
          <cell r="M47">
            <v>0.23</v>
          </cell>
        </row>
        <row r="48">
          <cell r="A48" t="str">
            <v>PLASTMAR IND E COM</v>
          </cell>
          <cell r="B48">
            <v>11</v>
          </cell>
          <cell r="C48">
            <v>5344.97</v>
          </cell>
          <cell r="D48">
            <v>49.95</v>
          </cell>
          <cell r="E48">
            <v>0</v>
          </cell>
          <cell r="F48">
            <v>0</v>
          </cell>
          <cell r="G48">
            <v>0</v>
          </cell>
          <cell r="H48">
            <v>5344.97</v>
          </cell>
          <cell r="I48">
            <v>2960.57</v>
          </cell>
          <cell r="J48">
            <v>0</v>
          </cell>
          <cell r="K48">
            <v>2384.4</v>
          </cell>
          <cell r="L48">
            <v>44.61</v>
          </cell>
          <cell r="M48">
            <v>0.21</v>
          </cell>
        </row>
        <row r="49">
          <cell r="A49" t="str">
            <v>AVANT</v>
          </cell>
          <cell r="B49">
            <v>13</v>
          </cell>
          <cell r="C49">
            <v>4872.6499999999996</v>
          </cell>
          <cell r="D49">
            <v>29.53</v>
          </cell>
          <cell r="E49">
            <v>0</v>
          </cell>
          <cell r="F49">
            <v>0</v>
          </cell>
          <cell r="G49">
            <v>81.7</v>
          </cell>
          <cell r="H49">
            <v>4790.95</v>
          </cell>
          <cell r="I49">
            <v>2939.65</v>
          </cell>
          <cell r="J49">
            <v>44.62</v>
          </cell>
          <cell r="K49">
            <v>1895.92</v>
          </cell>
          <cell r="L49">
            <v>39.270000000000003</v>
          </cell>
          <cell r="M49">
            <v>0.19</v>
          </cell>
        </row>
        <row r="50">
          <cell r="A50" t="str">
            <v>DOCOL METAIS</v>
          </cell>
          <cell r="B50">
            <v>9</v>
          </cell>
          <cell r="C50">
            <v>4709.7</v>
          </cell>
          <cell r="D50">
            <v>94.19</v>
          </cell>
          <cell r="E50">
            <v>0</v>
          </cell>
          <cell r="F50">
            <v>0</v>
          </cell>
          <cell r="G50">
            <v>441.7</v>
          </cell>
          <cell r="H50">
            <v>4268</v>
          </cell>
          <cell r="I50">
            <v>2736.27</v>
          </cell>
          <cell r="J50">
            <v>237.63</v>
          </cell>
          <cell r="K50">
            <v>1769.36</v>
          </cell>
          <cell r="L50">
            <v>39.56</v>
          </cell>
          <cell r="M50">
            <v>0.19</v>
          </cell>
        </row>
        <row r="51">
          <cell r="A51" t="str">
            <v>COBRECOM</v>
          </cell>
          <cell r="B51">
            <v>9</v>
          </cell>
          <cell r="C51">
            <v>4486.6499999999996</v>
          </cell>
          <cell r="D51">
            <v>109.43</v>
          </cell>
          <cell r="E51">
            <v>0</v>
          </cell>
          <cell r="F51">
            <v>0</v>
          </cell>
          <cell r="G51">
            <v>0</v>
          </cell>
          <cell r="H51">
            <v>4486.6499999999996</v>
          </cell>
          <cell r="I51">
            <v>2644.12</v>
          </cell>
          <cell r="J51">
            <v>0</v>
          </cell>
          <cell r="K51">
            <v>1842.53</v>
          </cell>
          <cell r="L51">
            <v>41.07</v>
          </cell>
          <cell r="M51">
            <v>0.18</v>
          </cell>
        </row>
        <row r="52">
          <cell r="A52" t="str">
            <v>BELLA PIA</v>
          </cell>
          <cell r="B52">
            <v>13</v>
          </cell>
          <cell r="C52">
            <v>4457.18</v>
          </cell>
          <cell r="D52">
            <v>202.6</v>
          </cell>
          <cell r="E52">
            <v>0</v>
          </cell>
          <cell r="F52">
            <v>0</v>
          </cell>
          <cell r="G52">
            <v>177.9</v>
          </cell>
          <cell r="H52">
            <v>4279.28</v>
          </cell>
          <cell r="I52">
            <v>2570.33</v>
          </cell>
          <cell r="J52">
            <v>102.83</v>
          </cell>
          <cell r="K52">
            <v>1811.78</v>
          </cell>
          <cell r="L52">
            <v>41.61</v>
          </cell>
          <cell r="M52">
            <v>0.18</v>
          </cell>
        </row>
        <row r="53">
          <cell r="A53" t="str">
            <v>CORTAG</v>
          </cell>
          <cell r="B53">
            <v>30</v>
          </cell>
          <cell r="C53">
            <v>4190.17</v>
          </cell>
          <cell r="D53">
            <v>13.43</v>
          </cell>
          <cell r="E53">
            <v>0</v>
          </cell>
          <cell r="F53">
            <v>0</v>
          </cell>
          <cell r="G53">
            <v>29.8</v>
          </cell>
          <cell r="H53">
            <v>4160.37</v>
          </cell>
          <cell r="I53">
            <v>2214.84</v>
          </cell>
          <cell r="J53">
            <v>13.92</v>
          </cell>
          <cell r="K53">
            <v>1959.45</v>
          </cell>
          <cell r="L53">
            <v>46.92</v>
          </cell>
          <cell r="M53">
            <v>0.17</v>
          </cell>
        </row>
        <row r="54">
          <cell r="A54" t="str">
            <v>PRATIMIX</v>
          </cell>
          <cell r="B54">
            <v>33</v>
          </cell>
          <cell r="C54">
            <v>3980.56</v>
          </cell>
          <cell r="D54">
            <v>12.14</v>
          </cell>
          <cell r="E54">
            <v>0</v>
          </cell>
          <cell r="F54">
            <v>0</v>
          </cell>
          <cell r="G54">
            <v>117.28</v>
          </cell>
          <cell r="H54">
            <v>3863.28</v>
          </cell>
          <cell r="I54">
            <v>2138.4699999999998</v>
          </cell>
          <cell r="J54">
            <v>65.260000000000005</v>
          </cell>
          <cell r="K54">
            <v>1790.07</v>
          </cell>
          <cell r="L54">
            <v>45.72</v>
          </cell>
          <cell r="M54">
            <v>0.16</v>
          </cell>
        </row>
        <row r="55">
          <cell r="A55" t="str">
            <v>BRASFORMA</v>
          </cell>
          <cell r="B55">
            <v>5</v>
          </cell>
          <cell r="C55">
            <v>3843.8</v>
          </cell>
          <cell r="D55">
            <v>45.22</v>
          </cell>
          <cell r="E55">
            <v>0</v>
          </cell>
          <cell r="F55">
            <v>0</v>
          </cell>
          <cell r="G55">
            <v>77.8</v>
          </cell>
          <cell r="H55">
            <v>3766</v>
          </cell>
          <cell r="I55">
            <v>2506.23</v>
          </cell>
          <cell r="J55">
            <v>50.04</v>
          </cell>
          <cell r="K55">
            <v>1309.81</v>
          </cell>
          <cell r="L55">
            <v>34.53</v>
          </cell>
          <cell r="M55">
            <v>0.15</v>
          </cell>
        </row>
        <row r="56">
          <cell r="A56" t="str">
            <v>METALOSA</v>
          </cell>
          <cell r="B56">
            <v>6</v>
          </cell>
          <cell r="C56">
            <v>3620.99</v>
          </cell>
          <cell r="D56">
            <v>201.17</v>
          </cell>
          <cell r="E56">
            <v>0</v>
          </cell>
          <cell r="F56">
            <v>0</v>
          </cell>
          <cell r="G56">
            <v>319.89999999999998</v>
          </cell>
          <cell r="H56">
            <v>3301.09</v>
          </cell>
          <cell r="I56">
            <v>2033.97</v>
          </cell>
          <cell r="J56">
            <v>184.36</v>
          </cell>
          <cell r="K56">
            <v>1451.48</v>
          </cell>
          <cell r="L56">
            <v>42.24</v>
          </cell>
          <cell r="M56">
            <v>0.14000000000000001</v>
          </cell>
        </row>
        <row r="57">
          <cell r="A57" t="str">
            <v>PADRAO FORTE</v>
          </cell>
          <cell r="B57">
            <v>10</v>
          </cell>
          <cell r="C57">
            <v>3464.61</v>
          </cell>
          <cell r="D57">
            <v>15.68</v>
          </cell>
          <cell r="E57">
            <v>0</v>
          </cell>
          <cell r="F57">
            <v>0</v>
          </cell>
          <cell r="G57">
            <v>0</v>
          </cell>
          <cell r="H57">
            <v>3464.61</v>
          </cell>
          <cell r="I57">
            <v>1947.5</v>
          </cell>
          <cell r="J57">
            <v>0</v>
          </cell>
          <cell r="K57">
            <v>1517.11</v>
          </cell>
          <cell r="L57">
            <v>43.79</v>
          </cell>
          <cell r="M57">
            <v>0.14000000000000001</v>
          </cell>
        </row>
        <row r="58">
          <cell r="A58" t="str">
            <v>BEMFIXA</v>
          </cell>
          <cell r="B58">
            <v>9</v>
          </cell>
          <cell r="C58">
            <v>3260.82</v>
          </cell>
          <cell r="D58">
            <v>12.74</v>
          </cell>
          <cell r="E58">
            <v>0</v>
          </cell>
          <cell r="F58">
            <v>0</v>
          </cell>
          <cell r="G58">
            <v>0</v>
          </cell>
          <cell r="H58">
            <v>3260.82</v>
          </cell>
          <cell r="I58">
            <v>1775.56</v>
          </cell>
          <cell r="J58">
            <v>0</v>
          </cell>
          <cell r="K58">
            <v>1485.26</v>
          </cell>
          <cell r="L58">
            <v>45.55</v>
          </cell>
          <cell r="M58">
            <v>0.13</v>
          </cell>
        </row>
        <row r="59">
          <cell r="A59" t="str">
            <v>MYPA</v>
          </cell>
          <cell r="B59">
            <v>15</v>
          </cell>
          <cell r="C59">
            <v>3073.52</v>
          </cell>
          <cell r="D59">
            <v>14.23</v>
          </cell>
          <cell r="E59">
            <v>0</v>
          </cell>
          <cell r="F59">
            <v>0</v>
          </cell>
          <cell r="G59">
            <v>0</v>
          </cell>
          <cell r="H59">
            <v>3073.52</v>
          </cell>
          <cell r="I59">
            <v>1697.19</v>
          </cell>
          <cell r="J59">
            <v>0</v>
          </cell>
          <cell r="K59">
            <v>1376.33</v>
          </cell>
          <cell r="L59">
            <v>44.78</v>
          </cell>
          <cell r="M59">
            <v>0.12</v>
          </cell>
        </row>
        <row r="60">
          <cell r="A60" t="str">
            <v>HIDRACOR</v>
          </cell>
          <cell r="B60">
            <v>17</v>
          </cell>
          <cell r="C60">
            <v>3038.16</v>
          </cell>
          <cell r="D60">
            <v>3.9</v>
          </cell>
          <cell r="E60">
            <v>0</v>
          </cell>
          <cell r="F60">
            <v>0</v>
          </cell>
          <cell r="G60">
            <v>11.7</v>
          </cell>
          <cell r="H60">
            <v>3026.46</v>
          </cell>
          <cell r="I60">
            <v>1411.78</v>
          </cell>
          <cell r="J60">
            <v>5.1100000000000003</v>
          </cell>
          <cell r="K60">
            <v>1619.79</v>
          </cell>
          <cell r="L60">
            <v>53.4</v>
          </cell>
          <cell r="M60">
            <v>0.12</v>
          </cell>
        </row>
        <row r="61">
          <cell r="A61" t="str">
            <v>Momfort</v>
          </cell>
          <cell r="B61">
            <v>9</v>
          </cell>
          <cell r="C61">
            <v>3001.04</v>
          </cell>
          <cell r="D61">
            <v>34.1</v>
          </cell>
          <cell r="E61">
            <v>0</v>
          </cell>
          <cell r="F61">
            <v>0</v>
          </cell>
          <cell r="G61">
            <v>0</v>
          </cell>
          <cell r="H61">
            <v>3001.04</v>
          </cell>
          <cell r="I61">
            <v>1855.21</v>
          </cell>
          <cell r="J61">
            <v>0</v>
          </cell>
          <cell r="K61">
            <v>1145.83</v>
          </cell>
          <cell r="L61">
            <v>38.18</v>
          </cell>
          <cell r="M61">
            <v>0.12</v>
          </cell>
        </row>
        <row r="62">
          <cell r="A62" t="str">
            <v>ALIANÇA</v>
          </cell>
          <cell r="B62">
            <v>5</v>
          </cell>
          <cell r="C62">
            <v>2974.87</v>
          </cell>
          <cell r="D62">
            <v>67.61</v>
          </cell>
          <cell r="E62">
            <v>0</v>
          </cell>
          <cell r="F62">
            <v>0</v>
          </cell>
          <cell r="G62">
            <v>56.9</v>
          </cell>
          <cell r="H62">
            <v>2917.97</v>
          </cell>
          <cell r="I62">
            <v>1774.17</v>
          </cell>
          <cell r="J62">
            <v>32.630000000000003</v>
          </cell>
          <cell r="K62">
            <v>1176.43</v>
          </cell>
          <cell r="L62">
            <v>39.979999999999997</v>
          </cell>
          <cell r="M62">
            <v>0.12</v>
          </cell>
        </row>
        <row r="63">
          <cell r="A63" t="str">
            <v>PULVITEC</v>
          </cell>
          <cell r="B63">
            <v>30</v>
          </cell>
          <cell r="C63">
            <v>2972.51</v>
          </cell>
          <cell r="D63">
            <v>7.97</v>
          </cell>
          <cell r="E63">
            <v>0</v>
          </cell>
          <cell r="F63">
            <v>0</v>
          </cell>
          <cell r="G63">
            <v>0</v>
          </cell>
          <cell r="H63">
            <v>2972.51</v>
          </cell>
          <cell r="I63">
            <v>1508.47</v>
          </cell>
          <cell r="J63">
            <v>0</v>
          </cell>
          <cell r="K63">
            <v>1464.04</v>
          </cell>
          <cell r="L63">
            <v>49.25</v>
          </cell>
          <cell r="M63">
            <v>0.12</v>
          </cell>
        </row>
        <row r="64">
          <cell r="A64" t="str">
            <v>EXATRON</v>
          </cell>
          <cell r="B64">
            <v>9</v>
          </cell>
          <cell r="C64">
            <v>2741.91</v>
          </cell>
          <cell r="D64">
            <v>52.73</v>
          </cell>
          <cell r="E64">
            <v>0</v>
          </cell>
          <cell r="F64">
            <v>0</v>
          </cell>
          <cell r="G64">
            <v>0</v>
          </cell>
          <cell r="H64">
            <v>2741.91</v>
          </cell>
          <cell r="I64">
            <v>1490.57</v>
          </cell>
          <cell r="J64">
            <v>0</v>
          </cell>
          <cell r="K64">
            <v>1251.3399999999999</v>
          </cell>
          <cell r="L64">
            <v>45.64</v>
          </cell>
          <cell r="M64">
            <v>0.11</v>
          </cell>
        </row>
        <row r="65">
          <cell r="A65" t="str">
            <v>CENSI</v>
          </cell>
          <cell r="B65">
            <v>22</v>
          </cell>
          <cell r="C65">
            <v>2664.85</v>
          </cell>
          <cell r="D65">
            <v>20.04</v>
          </cell>
          <cell r="E65">
            <v>0</v>
          </cell>
          <cell r="F65">
            <v>0</v>
          </cell>
          <cell r="G65">
            <v>46.1</v>
          </cell>
          <cell r="H65">
            <v>2618.75</v>
          </cell>
          <cell r="I65">
            <v>1525</v>
          </cell>
          <cell r="J65">
            <v>27.97</v>
          </cell>
          <cell r="K65">
            <v>1121.72</v>
          </cell>
          <cell r="L65">
            <v>42.54</v>
          </cell>
          <cell r="M65">
            <v>0.11</v>
          </cell>
        </row>
        <row r="66">
          <cell r="A66" t="str">
            <v>MARLUVAS</v>
          </cell>
          <cell r="B66">
            <v>5</v>
          </cell>
          <cell r="C66">
            <v>2313.6</v>
          </cell>
          <cell r="D66">
            <v>88.98</v>
          </cell>
          <cell r="E66">
            <v>0</v>
          </cell>
          <cell r="F66">
            <v>0</v>
          </cell>
          <cell r="G66">
            <v>0</v>
          </cell>
          <cell r="H66">
            <v>2313.6</v>
          </cell>
          <cell r="I66">
            <v>1325.97</v>
          </cell>
          <cell r="J66">
            <v>0</v>
          </cell>
          <cell r="K66">
            <v>987.63</v>
          </cell>
          <cell r="L66">
            <v>42.69</v>
          </cell>
          <cell r="M66">
            <v>0.09</v>
          </cell>
        </row>
        <row r="67">
          <cell r="A67" t="str">
            <v>TAF</v>
          </cell>
          <cell r="B67">
            <v>11</v>
          </cell>
          <cell r="C67">
            <v>1699.71</v>
          </cell>
          <cell r="D67">
            <v>20</v>
          </cell>
          <cell r="E67">
            <v>0</v>
          </cell>
          <cell r="F67">
            <v>0</v>
          </cell>
          <cell r="G67">
            <v>20.9</v>
          </cell>
          <cell r="H67">
            <v>1678.81</v>
          </cell>
          <cell r="I67">
            <v>908.02</v>
          </cell>
          <cell r="J67">
            <v>11.22</v>
          </cell>
          <cell r="K67">
            <v>782.01</v>
          </cell>
          <cell r="L67">
            <v>46.31</v>
          </cell>
          <cell r="M67">
            <v>7.0000000000000007E-2</v>
          </cell>
        </row>
        <row r="68">
          <cell r="A68" t="str">
            <v>BOGNAR</v>
          </cell>
          <cell r="B68">
            <v>7</v>
          </cell>
          <cell r="C68">
            <v>1696.28</v>
          </cell>
          <cell r="D68">
            <v>62.83</v>
          </cell>
          <cell r="E68">
            <v>0</v>
          </cell>
          <cell r="F68">
            <v>0</v>
          </cell>
          <cell r="G68">
            <v>0</v>
          </cell>
          <cell r="H68">
            <v>1696.28</v>
          </cell>
          <cell r="I68">
            <v>1001.39</v>
          </cell>
          <cell r="J68">
            <v>0</v>
          </cell>
          <cell r="K68">
            <v>694.89</v>
          </cell>
          <cell r="L68">
            <v>40.97</v>
          </cell>
          <cell r="M68">
            <v>7.0000000000000007E-2</v>
          </cell>
        </row>
        <row r="69">
          <cell r="A69" t="str">
            <v>KRONA</v>
          </cell>
          <cell r="B69">
            <v>14</v>
          </cell>
          <cell r="C69">
            <v>1649</v>
          </cell>
          <cell r="D69">
            <v>9.6999999999999993</v>
          </cell>
          <cell r="E69">
            <v>0</v>
          </cell>
          <cell r="F69">
            <v>0</v>
          </cell>
          <cell r="G69">
            <v>48.7</v>
          </cell>
          <cell r="H69">
            <v>1600.3</v>
          </cell>
          <cell r="I69">
            <v>899.66</v>
          </cell>
          <cell r="J69">
            <v>29.47</v>
          </cell>
          <cell r="K69">
            <v>730.11</v>
          </cell>
          <cell r="L69">
            <v>45.08</v>
          </cell>
          <cell r="M69">
            <v>7.0000000000000007E-2</v>
          </cell>
        </row>
        <row r="70">
          <cell r="A70" t="str">
            <v>PAMESA</v>
          </cell>
          <cell r="B70">
            <v>5</v>
          </cell>
          <cell r="C70">
            <v>1549.1512</v>
          </cell>
          <cell r="D70">
            <v>29.84</v>
          </cell>
          <cell r="E70">
            <v>0</v>
          </cell>
          <cell r="F70">
            <v>0</v>
          </cell>
          <cell r="G70">
            <v>565.49990000000003</v>
          </cell>
          <cell r="H70">
            <v>983.65129999999999</v>
          </cell>
          <cell r="I70">
            <v>962.59680000000003</v>
          </cell>
          <cell r="J70">
            <v>350.03519999999997</v>
          </cell>
          <cell r="K70">
            <v>371.08969999999999</v>
          </cell>
          <cell r="L70">
            <v>30.95</v>
          </cell>
          <cell r="M70">
            <v>0.06</v>
          </cell>
        </row>
        <row r="71">
          <cell r="A71" t="str">
            <v>ULTRACLEAN</v>
          </cell>
          <cell r="B71">
            <v>5</v>
          </cell>
          <cell r="C71">
            <v>1269.4000000000001</v>
          </cell>
          <cell r="D71">
            <v>22.67</v>
          </cell>
          <cell r="E71">
            <v>0</v>
          </cell>
          <cell r="F71">
            <v>0</v>
          </cell>
          <cell r="G71">
            <v>16.899999999999999</v>
          </cell>
          <cell r="H71">
            <v>1252.5</v>
          </cell>
          <cell r="I71">
            <v>746.98</v>
          </cell>
          <cell r="J71">
            <v>10.41</v>
          </cell>
          <cell r="K71">
            <v>515.92999999999995</v>
          </cell>
          <cell r="L71">
            <v>40.98</v>
          </cell>
          <cell r="M71">
            <v>0.05</v>
          </cell>
        </row>
        <row r="72">
          <cell r="A72" t="str">
            <v>ONDULINE</v>
          </cell>
          <cell r="B72">
            <v>3</v>
          </cell>
          <cell r="C72">
            <v>1256.3</v>
          </cell>
          <cell r="D72">
            <v>89.74</v>
          </cell>
          <cell r="E72">
            <v>0</v>
          </cell>
          <cell r="F72">
            <v>0</v>
          </cell>
          <cell r="G72">
            <v>0</v>
          </cell>
          <cell r="H72">
            <v>1256.3</v>
          </cell>
          <cell r="I72">
            <v>840.38</v>
          </cell>
          <cell r="J72">
            <v>0</v>
          </cell>
          <cell r="K72">
            <v>415.92</v>
          </cell>
          <cell r="L72">
            <v>33.11</v>
          </cell>
          <cell r="M72">
            <v>0.05</v>
          </cell>
        </row>
        <row r="73">
          <cell r="A73" t="str">
            <v>BOTAFOGO</v>
          </cell>
          <cell r="B73">
            <v>1</v>
          </cell>
          <cell r="C73">
            <v>1028.0999999999999</v>
          </cell>
          <cell r="D73">
            <v>1028.0999999999999</v>
          </cell>
          <cell r="E73">
            <v>0</v>
          </cell>
          <cell r="F73">
            <v>0</v>
          </cell>
          <cell r="G73">
            <v>0</v>
          </cell>
          <cell r="H73">
            <v>1028.0999999999999</v>
          </cell>
          <cell r="I73">
            <v>660.92</v>
          </cell>
          <cell r="J73">
            <v>0</v>
          </cell>
          <cell r="K73">
            <v>367.18</v>
          </cell>
          <cell r="L73">
            <v>35.71</v>
          </cell>
          <cell r="M73">
            <v>0.04</v>
          </cell>
        </row>
        <row r="74">
          <cell r="A74" t="str">
            <v>FRANKLIN</v>
          </cell>
          <cell r="B74">
            <v>1</v>
          </cell>
          <cell r="C74">
            <v>919</v>
          </cell>
          <cell r="D74">
            <v>919</v>
          </cell>
          <cell r="E74">
            <v>0</v>
          </cell>
          <cell r="F74">
            <v>0</v>
          </cell>
          <cell r="G74">
            <v>0</v>
          </cell>
          <cell r="H74">
            <v>919</v>
          </cell>
          <cell r="I74">
            <v>581.04</v>
          </cell>
          <cell r="J74">
            <v>0</v>
          </cell>
          <cell r="K74">
            <v>337.96</v>
          </cell>
          <cell r="L74">
            <v>36.770000000000003</v>
          </cell>
          <cell r="M74">
            <v>0.04</v>
          </cell>
        </row>
        <row r="75">
          <cell r="A75" t="str">
            <v>ASTRA</v>
          </cell>
          <cell r="B75">
            <v>9</v>
          </cell>
          <cell r="C75">
            <v>882.68</v>
          </cell>
          <cell r="D75">
            <v>16.05</v>
          </cell>
          <cell r="E75">
            <v>0</v>
          </cell>
          <cell r="F75">
            <v>0</v>
          </cell>
          <cell r="G75">
            <v>79.900000000000006</v>
          </cell>
          <cell r="H75">
            <v>802.78</v>
          </cell>
          <cell r="I75">
            <v>507.34</v>
          </cell>
          <cell r="J75">
            <v>47.49</v>
          </cell>
          <cell r="K75">
            <v>342.93</v>
          </cell>
          <cell r="L75">
            <v>41.06</v>
          </cell>
          <cell r="M75">
            <v>0.04</v>
          </cell>
        </row>
        <row r="76">
          <cell r="A76" t="str">
            <v>KALIPSO</v>
          </cell>
          <cell r="B76">
            <v>8</v>
          </cell>
          <cell r="C76">
            <v>852.58</v>
          </cell>
          <cell r="D76">
            <v>7.61</v>
          </cell>
          <cell r="E76">
            <v>0</v>
          </cell>
          <cell r="F76">
            <v>0</v>
          </cell>
          <cell r="G76">
            <v>0</v>
          </cell>
          <cell r="H76">
            <v>852.58</v>
          </cell>
          <cell r="I76">
            <v>411.69</v>
          </cell>
          <cell r="J76">
            <v>0</v>
          </cell>
          <cell r="K76">
            <v>440.89</v>
          </cell>
          <cell r="L76">
            <v>51.71</v>
          </cell>
          <cell r="M76">
            <v>0.03</v>
          </cell>
        </row>
        <row r="77">
          <cell r="A77" t="str">
            <v>COZIMAX</v>
          </cell>
          <cell r="B77">
            <v>3</v>
          </cell>
          <cell r="C77">
            <v>830.9</v>
          </cell>
          <cell r="D77">
            <v>138.47999999999999</v>
          </cell>
          <cell r="E77">
            <v>0</v>
          </cell>
          <cell r="F77">
            <v>0</v>
          </cell>
          <cell r="G77">
            <v>0</v>
          </cell>
          <cell r="H77">
            <v>830.9</v>
          </cell>
          <cell r="I77">
            <v>484.14</v>
          </cell>
          <cell r="J77">
            <v>0</v>
          </cell>
          <cell r="K77">
            <v>346.76</v>
          </cell>
          <cell r="L77">
            <v>41.73</v>
          </cell>
          <cell r="M77">
            <v>0.03</v>
          </cell>
        </row>
        <row r="78">
          <cell r="A78" t="str">
            <v>ORBI QUIMICA LTDA</v>
          </cell>
          <cell r="B78">
            <v>7</v>
          </cell>
          <cell r="C78">
            <v>779.73</v>
          </cell>
          <cell r="D78">
            <v>15.29</v>
          </cell>
          <cell r="E78">
            <v>0</v>
          </cell>
          <cell r="F78">
            <v>0</v>
          </cell>
          <cell r="G78">
            <v>0</v>
          </cell>
          <cell r="H78">
            <v>779.73</v>
          </cell>
          <cell r="I78">
            <v>415.14</v>
          </cell>
          <cell r="J78">
            <v>0</v>
          </cell>
          <cell r="K78">
            <v>364.59</v>
          </cell>
          <cell r="L78">
            <v>46.76</v>
          </cell>
          <cell r="M78">
            <v>0.03</v>
          </cell>
        </row>
        <row r="79">
          <cell r="A79" t="str">
            <v>SECALUX</v>
          </cell>
          <cell r="B79">
            <v>5</v>
          </cell>
          <cell r="C79">
            <v>739.1</v>
          </cell>
          <cell r="D79">
            <v>49.27</v>
          </cell>
          <cell r="E79">
            <v>0</v>
          </cell>
          <cell r="F79">
            <v>0</v>
          </cell>
          <cell r="G79">
            <v>27.5</v>
          </cell>
          <cell r="H79">
            <v>711.6</v>
          </cell>
          <cell r="I79">
            <v>458.69</v>
          </cell>
          <cell r="J79">
            <v>16.559999999999999</v>
          </cell>
          <cell r="K79">
            <v>269.47000000000003</v>
          </cell>
          <cell r="L79">
            <v>37.29</v>
          </cell>
          <cell r="M79">
            <v>0.03</v>
          </cell>
        </row>
        <row r="80">
          <cell r="A80" t="str">
            <v>ARCELORMITTAL</v>
          </cell>
          <cell r="B80">
            <v>3</v>
          </cell>
          <cell r="C80">
            <v>674.5</v>
          </cell>
          <cell r="D80">
            <v>61.32</v>
          </cell>
          <cell r="E80">
            <v>0</v>
          </cell>
          <cell r="F80">
            <v>0</v>
          </cell>
          <cell r="G80">
            <v>0</v>
          </cell>
          <cell r="H80">
            <v>674.5</v>
          </cell>
          <cell r="I80">
            <v>394.37</v>
          </cell>
          <cell r="J80">
            <v>0</v>
          </cell>
          <cell r="K80">
            <v>280.13</v>
          </cell>
          <cell r="L80">
            <v>41.53</v>
          </cell>
          <cell r="M80">
            <v>0.03</v>
          </cell>
        </row>
        <row r="81">
          <cell r="A81" t="str">
            <v>ULTRA CLEAN</v>
          </cell>
          <cell r="B81">
            <v>6</v>
          </cell>
          <cell r="C81">
            <v>662.2</v>
          </cell>
          <cell r="D81">
            <v>23.65</v>
          </cell>
          <cell r="E81">
            <v>0</v>
          </cell>
          <cell r="F81">
            <v>0</v>
          </cell>
          <cell r="G81">
            <v>0</v>
          </cell>
          <cell r="H81">
            <v>662.2</v>
          </cell>
          <cell r="I81">
            <v>421.62</v>
          </cell>
          <cell r="J81">
            <v>0</v>
          </cell>
          <cell r="K81">
            <v>240.58</v>
          </cell>
          <cell r="L81">
            <v>36.33</v>
          </cell>
          <cell r="M81">
            <v>0.03</v>
          </cell>
        </row>
        <row r="82">
          <cell r="A82" t="str">
            <v>PINTSILK</v>
          </cell>
          <cell r="B82">
            <v>4</v>
          </cell>
          <cell r="C82">
            <v>621.70000000000005</v>
          </cell>
          <cell r="D82">
            <v>124.34</v>
          </cell>
          <cell r="E82">
            <v>0</v>
          </cell>
          <cell r="F82">
            <v>0</v>
          </cell>
          <cell r="G82">
            <v>0</v>
          </cell>
          <cell r="H82">
            <v>621.70000000000005</v>
          </cell>
          <cell r="I82">
            <v>343.28</v>
          </cell>
          <cell r="J82">
            <v>0</v>
          </cell>
          <cell r="K82">
            <v>278.42</v>
          </cell>
          <cell r="L82">
            <v>44.78</v>
          </cell>
          <cell r="M82">
            <v>0.02</v>
          </cell>
        </row>
        <row r="83">
          <cell r="A83" t="str">
            <v>LGMAIS</v>
          </cell>
          <cell r="B83">
            <v>4</v>
          </cell>
          <cell r="C83">
            <v>588.6</v>
          </cell>
          <cell r="D83">
            <v>147.15</v>
          </cell>
          <cell r="E83">
            <v>0</v>
          </cell>
          <cell r="F83">
            <v>0</v>
          </cell>
          <cell r="G83">
            <v>0</v>
          </cell>
          <cell r="H83">
            <v>588.6</v>
          </cell>
          <cell r="I83">
            <v>353.75</v>
          </cell>
          <cell r="J83">
            <v>0</v>
          </cell>
          <cell r="K83">
            <v>234.85</v>
          </cell>
          <cell r="L83">
            <v>39.9</v>
          </cell>
          <cell r="M83">
            <v>0.02</v>
          </cell>
        </row>
        <row r="84">
          <cell r="A84" t="str">
            <v>CERBRAS</v>
          </cell>
          <cell r="B84">
            <v>2</v>
          </cell>
          <cell r="C84">
            <v>503.875</v>
          </cell>
          <cell r="D84">
            <v>69.5</v>
          </cell>
          <cell r="E84">
            <v>0</v>
          </cell>
          <cell r="F84">
            <v>0</v>
          </cell>
          <cell r="G84">
            <v>0</v>
          </cell>
          <cell r="H84">
            <v>503.875</v>
          </cell>
          <cell r="I84">
            <v>323.24849999999998</v>
          </cell>
          <cell r="J84">
            <v>0</v>
          </cell>
          <cell r="K84">
            <v>180.62649999999999</v>
          </cell>
          <cell r="L84">
            <v>35.85</v>
          </cell>
          <cell r="M84">
            <v>0.02</v>
          </cell>
        </row>
        <row r="85">
          <cell r="A85" t="str">
            <v>STAM</v>
          </cell>
          <cell r="B85">
            <v>2</v>
          </cell>
          <cell r="C85">
            <v>502.4</v>
          </cell>
          <cell r="D85">
            <v>83.73</v>
          </cell>
          <cell r="E85">
            <v>0</v>
          </cell>
          <cell r="F85">
            <v>0</v>
          </cell>
          <cell r="G85">
            <v>139.9</v>
          </cell>
          <cell r="H85">
            <v>362.5</v>
          </cell>
          <cell r="I85">
            <v>274.26</v>
          </cell>
          <cell r="J85">
            <v>77.58</v>
          </cell>
          <cell r="K85">
            <v>165.82</v>
          </cell>
          <cell r="L85">
            <v>39.03</v>
          </cell>
          <cell r="M85">
            <v>0.02</v>
          </cell>
        </row>
        <row r="86">
          <cell r="A86" t="str">
            <v>TRAMONTINA</v>
          </cell>
          <cell r="B86">
            <v>3</v>
          </cell>
          <cell r="C86">
            <v>474.73</v>
          </cell>
          <cell r="D86">
            <v>39.56</v>
          </cell>
          <cell r="E86">
            <v>0</v>
          </cell>
          <cell r="F86">
            <v>0</v>
          </cell>
          <cell r="G86">
            <v>0</v>
          </cell>
          <cell r="H86">
            <v>474.73</v>
          </cell>
          <cell r="I86">
            <v>258.69</v>
          </cell>
          <cell r="J86">
            <v>0</v>
          </cell>
          <cell r="K86">
            <v>216.04</v>
          </cell>
          <cell r="L86">
            <v>45.51</v>
          </cell>
          <cell r="M86">
            <v>0.02</v>
          </cell>
        </row>
        <row r="87">
          <cell r="A87" t="str">
            <v>BRASFORT</v>
          </cell>
          <cell r="B87">
            <v>8</v>
          </cell>
          <cell r="C87">
            <v>425.6</v>
          </cell>
          <cell r="D87">
            <v>21.28</v>
          </cell>
          <cell r="E87">
            <v>0</v>
          </cell>
          <cell r="F87">
            <v>0</v>
          </cell>
          <cell r="G87">
            <v>8.6999999999999993</v>
          </cell>
          <cell r="H87">
            <v>416.9</v>
          </cell>
          <cell r="I87">
            <v>251.98</v>
          </cell>
          <cell r="J87">
            <v>5.14</v>
          </cell>
          <cell r="K87">
            <v>170.06</v>
          </cell>
          <cell r="L87">
            <v>40.450000000000003</v>
          </cell>
          <cell r="M87">
            <v>0.02</v>
          </cell>
        </row>
        <row r="88">
          <cell r="A88" t="str">
            <v>STARRETT INDUSTRIA E COMERCIO</v>
          </cell>
          <cell r="B88">
            <v>6</v>
          </cell>
          <cell r="C88">
            <v>394.36</v>
          </cell>
          <cell r="D88">
            <v>13.6</v>
          </cell>
          <cell r="E88">
            <v>0</v>
          </cell>
          <cell r="F88">
            <v>0</v>
          </cell>
          <cell r="G88">
            <v>0</v>
          </cell>
          <cell r="H88">
            <v>394.36</v>
          </cell>
          <cell r="I88">
            <v>226.39</v>
          </cell>
          <cell r="J88">
            <v>0</v>
          </cell>
          <cell r="K88">
            <v>167.97</v>
          </cell>
          <cell r="L88">
            <v>42.59</v>
          </cell>
          <cell r="M88">
            <v>0.02</v>
          </cell>
        </row>
        <row r="89">
          <cell r="A89" t="str">
            <v>ILUMI</v>
          </cell>
          <cell r="B89">
            <v>3</v>
          </cell>
          <cell r="C89">
            <v>393.39</v>
          </cell>
          <cell r="D89">
            <v>17.100000000000001</v>
          </cell>
          <cell r="E89">
            <v>0</v>
          </cell>
          <cell r="F89">
            <v>0</v>
          </cell>
          <cell r="G89">
            <v>0</v>
          </cell>
          <cell r="H89">
            <v>393.39</v>
          </cell>
          <cell r="I89">
            <v>212.29</v>
          </cell>
          <cell r="J89">
            <v>0</v>
          </cell>
          <cell r="K89">
            <v>181.1</v>
          </cell>
          <cell r="L89">
            <v>46.04</v>
          </cell>
          <cell r="M89">
            <v>0.02</v>
          </cell>
        </row>
        <row r="90">
          <cell r="A90" t="str">
            <v>FRANKE</v>
          </cell>
          <cell r="B90">
            <v>1</v>
          </cell>
          <cell r="C90">
            <v>358.8</v>
          </cell>
          <cell r="D90">
            <v>358.8</v>
          </cell>
          <cell r="E90">
            <v>0</v>
          </cell>
          <cell r="F90">
            <v>0</v>
          </cell>
          <cell r="G90">
            <v>358.8</v>
          </cell>
          <cell r="H90">
            <v>0</v>
          </cell>
          <cell r="I90">
            <v>211.55</v>
          </cell>
          <cell r="J90">
            <v>211.55</v>
          </cell>
          <cell r="K90">
            <v>0</v>
          </cell>
          <cell r="L90">
            <v>0</v>
          </cell>
          <cell r="M90">
            <v>0.01</v>
          </cell>
        </row>
        <row r="91">
          <cell r="A91" t="str">
            <v>GERDAU</v>
          </cell>
          <cell r="B91">
            <v>4</v>
          </cell>
          <cell r="C91">
            <v>344.66</v>
          </cell>
          <cell r="D91">
            <v>28.72</v>
          </cell>
          <cell r="E91">
            <v>0</v>
          </cell>
          <cell r="F91">
            <v>0</v>
          </cell>
          <cell r="G91">
            <v>0</v>
          </cell>
          <cell r="H91">
            <v>344.66</v>
          </cell>
          <cell r="I91">
            <v>179.68</v>
          </cell>
          <cell r="J91">
            <v>0</v>
          </cell>
          <cell r="K91">
            <v>164.98</v>
          </cell>
          <cell r="L91">
            <v>47.87</v>
          </cell>
          <cell r="M91">
            <v>0.01</v>
          </cell>
        </row>
        <row r="92">
          <cell r="A92" t="str">
            <v>J LOBATO</v>
          </cell>
          <cell r="B92">
            <v>1</v>
          </cell>
          <cell r="C92">
            <v>293.2</v>
          </cell>
          <cell r="D92">
            <v>58.64</v>
          </cell>
          <cell r="E92">
            <v>0</v>
          </cell>
          <cell r="F92">
            <v>0</v>
          </cell>
          <cell r="G92">
            <v>0</v>
          </cell>
          <cell r="H92">
            <v>293.2</v>
          </cell>
          <cell r="I92">
            <v>132.34</v>
          </cell>
          <cell r="J92">
            <v>0</v>
          </cell>
          <cell r="K92">
            <v>160.86000000000001</v>
          </cell>
          <cell r="L92">
            <v>54.86</v>
          </cell>
          <cell r="M92">
            <v>0.01</v>
          </cell>
        </row>
        <row r="93">
          <cell r="A93" t="str">
            <v>RHPE</v>
          </cell>
          <cell r="B93">
            <v>2</v>
          </cell>
          <cell r="C93">
            <v>257.7</v>
          </cell>
          <cell r="D93">
            <v>85.9</v>
          </cell>
          <cell r="E93">
            <v>0</v>
          </cell>
          <cell r="F93">
            <v>0</v>
          </cell>
          <cell r="G93">
            <v>0</v>
          </cell>
          <cell r="H93">
            <v>257.7</v>
          </cell>
          <cell r="I93">
            <v>160.02000000000001</v>
          </cell>
          <cell r="J93">
            <v>0</v>
          </cell>
          <cell r="K93">
            <v>97.68</v>
          </cell>
          <cell r="L93">
            <v>37.9</v>
          </cell>
          <cell r="M93">
            <v>0.01</v>
          </cell>
        </row>
        <row r="94">
          <cell r="A94" t="str">
            <v>VONDER</v>
          </cell>
          <cell r="B94">
            <v>3</v>
          </cell>
          <cell r="C94">
            <v>205.41</v>
          </cell>
          <cell r="D94">
            <v>13.69</v>
          </cell>
          <cell r="E94">
            <v>0</v>
          </cell>
          <cell r="F94">
            <v>0</v>
          </cell>
          <cell r="G94">
            <v>10.8</v>
          </cell>
          <cell r="H94">
            <v>194.61</v>
          </cell>
          <cell r="I94">
            <v>103.08</v>
          </cell>
          <cell r="J94">
            <v>5.14</v>
          </cell>
          <cell r="K94">
            <v>96.67</v>
          </cell>
          <cell r="L94">
            <v>48.27</v>
          </cell>
          <cell r="M94">
            <v>0.01</v>
          </cell>
        </row>
        <row r="95">
          <cell r="A95" t="str">
            <v>ROCA SANITARIOS BRASIL LTDA</v>
          </cell>
          <cell r="B95">
            <v>1</v>
          </cell>
          <cell r="C95">
            <v>199.9</v>
          </cell>
          <cell r="D95">
            <v>199.9</v>
          </cell>
          <cell r="E95">
            <v>0</v>
          </cell>
          <cell r="F95">
            <v>0</v>
          </cell>
          <cell r="G95">
            <v>0</v>
          </cell>
          <cell r="H95">
            <v>199.9</v>
          </cell>
          <cell r="I95">
            <v>128.56</v>
          </cell>
          <cell r="J95">
            <v>0</v>
          </cell>
          <cell r="K95">
            <v>71.34</v>
          </cell>
          <cell r="L95">
            <v>35.69</v>
          </cell>
          <cell r="M95">
            <v>0.01</v>
          </cell>
        </row>
        <row r="96">
          <cell r="A96" t="str">
            <v>Max-Giro</v>
          </cell>
          <cell r="B96">
            <v>2</v>
          </cell>
          <cell r="C96">
            <v>189.6</v>
          </cell>
          <cell r="D96">
            <v>12.64</v>
          </cell>
          <cell r="E96">
            <v>0</v>
          </cell>
          <cell r="F96">
            <v>0</v>
          </cell>
          <cell r="G96">
            <v>0</v>
          </cell>
          <cell r="H96">
            <v>189.6</v>
          </cell>
          <cell r="I96">
            <v>107.11</v>
          </cell>
          <cell r="J96">
            <v>0</v>
          </cell>
          <cell r="K96">
            <v>82.49</v>
          </cell>
          <cell r="L96">
            <v>43.51</v>
          </cell>
          <cell r="M96">
            <v>0.01</v>
          </cell>
        </row>
        <row r="97">
          <cell r="A97" t="str">
            <v>COMFORT DOOR</v>
          </cell>
          <cell r="B97">
            <v>2</v>
          </cell>
          <cell r="C97">
            <v>181.6</v>
          </cell>
          <cell r="D97">
            <v>25.94</v>
          </cell>
          <cell r="E97">
            <v>0</v>
          </cell>
          <cell r="F97">
            <v>0</v>
          </cell>
          <cell r="G97">
            <v>0</v>
          </cell>
          <cell r="H97">
            <v>181.6</v>
          </cell>
          <cell r="I97">
            <v>97.55</v>
          </cell>
          <cell r="J97">
            <v>0</v>
          </cell>
          <cell r="K97">
            <v>84.05</v>
          </cell>
          <cell r="L97">
            <v>46.28</v>
          </cell>
          <cell r="M97">
            <v>0.01</v>
          </cell>
        </row>
        <row r="98">
          <cell r="A98" t="str">
            <v>KAPAZI</v>
          </cell>
          <cell r="B98">
            <v>2</v>
          </cell>
          <cell r="C98">
            <v>155.69999999999999</v>
          </cell>
          <cell r="D98">
            <v>51.9</v>
          </cell>
          <cell r="E98">
            <v>0</v>
          </cell>
          <cell r="F98">
            <v>0</v>
          </cell>
          <cell r="G98">
            <v>0</v>
          </cell>
          <cell r="H98">
            <v>155.69999999999999</v>
          </cell>
          <cell r="I98">
            <v>96.29</v>
          </cell>
          <cell r="J98">
            <v>0</v>
          </cell>
          <cell r="K98">
            <v>59.41</v>
          </cell>
          <cell r="L98">
            <v>38.159999999999997</v>
          </cell>
          <cell r="M98">
            <v>0.01</v>
          </cell>
        </row>
        <row r="99">
          <cell r="A99" t="str">
            <v>RANCAN</v>
          </cell>
          <cell r="B99">
            <v>1</v>
          </cell>
          <cell r="C99">
            <v>119.8</v>
          </cell>
          <cell r="D99">
            <v>59.9</v>
          </cell>
          <cell r="E99">
            <v>0</v>
          </cell>
          <cell r="F99">
            <v>0</v>
          </cell>
          <cell r="G99">
            <v>0</v>
          </cell>
          <cell r="H99">
            <v>119.8</v>
          </cell>
          <cell r="I99">
            <v>67.56</v>
          </cell>
          <cell r="J99">
            <v>0</v>
          </cell>
          <cell r="K99">
            <v>52.24</v>
          </cell>
          <cell r="L99">
            <v>43.61</v>
          </cell>
          <cell r="M99">
            <v>0</v>
          </cell>
        </row>
        <row r="100">
          <cell r="A100" t="str">
            <v>LEDAN</v>
          </cell>
          <cell r="B100">
            <v>3</v>
          </cell>
          <cell r="C100">
            <v>102.36</v>
          </cell>
          <cell r="D100">
            <v>11.37</v>
          </cell>
          <cell r="E100">
            <v>0</v>
          </cell>
          <cell r="F100">
            <v>0</v>
          </cell>
          <cell r="G100">
            <v>0</v>
          </cell>
          <cell r="H100">
            <v>102.36</v>
          </cell>
          <cell r="I100">
            <v>64.7</v>
          </cell>
          <cell r="J100">
            <v>0</v>
          </cell>
          <cell r="K100">
            <v>37.659999999999997</v>
          </cell>
          <cell r="L100">
            <v>36.79</v>
          </cell>
          <cell r="M100">
            <v>0</v>
          </cell>
        </row>
        <row r="101">
          <cell r="A101" t="str">
            <v>BOSCH</v>
          </cell>
          <cell r="B101">
            <v>2</v>
          </cell>
          <cell r="C101">
            <v>97.8</v>
          </cell>
          <cell r="D101">
            <v>48.9</v>
          </cell>
          <cell r="E101">
            <v>0</v>
          </cell>
          <cell r="F101">
            <v>0</v>
          </cell>
          <cell r="G101">
            <v>0</v>
          </cell>
          <cell r="H101">
            <v>97.8</v>
          </cell>
          <cell r="I101">
            <v>59.22</v>
          </cell>
          <cell r="J101">
            <v>0</v>
          </cell>
          <cell r="K101">
            <v>38.58</v>
          </cell>
          <cell r="L101">
            <v>39.450000000000003</v>
          </cell>
          <cell r="M101">
            <v>0</v>
          </cell>
        </row>
        <row r="102">
          <cell r="A102" t="str">
            <v>INCA</v>
          </cell>
          <cell r="B102">
            <v>3</v>
          </cell>
          <cell r="C102">
            <v>86.2</v>
          </cell>
          <cell r="D102">
            <v>7.84</v>
          </cell>
          <cell r="E102">
            <v>0</v>
          </cell>
          <cell r="F102">
            <v>0</v>
          </cell>
          <cell r="G102">
            <v>21.9</v>
          </cell>
          <cell r="H102">
            <v>64.3</v>
          </cell>
          <cell r="I102">
            <v>44.91</v>
          </cell>
          <cell r="J102">
            <v>11.52</v>
          </cell>
          <cell r="K102">
            <v>30.91</v>
          </cell>
          <cell r="L102">
            <v>41.39</v>
          </cell>
          <cell r="M102">
            <v>0</v>
          </cell>
        </row>
        <row r="103">
          <cell r="A103" t="str">
            <v>EXTRALUX</v>
          </cell>
          <cell r="B103">
            <v>2</v>
          </cell>
          <cell r="C103">
            <v>85.7</v>
          </cell>
          <cell r="D103">
            <v>28.57</v>
          </cell>
          <cell r="E103">
            <v>0</v>
          </cell>
          <cell r="F103">
            <v>0</v>
          </cell>
          <cell r="G103">
            <v>0</v>
          </cell>
          <cell r="H103">
            <v>85.7</v>
          </cell>
          <cell r="I103">
            <v>50.83</v>
          </cell>
          <cell r="J103">
            <v>0</v>
          </cell>
          <cell r="K103">
            <v>34.869999999999997</v>
          </cell>
          <cell r="L103">
            <v>40.69</v>
          </cell>
          <cell r="M103">
            <v>0</v>
          </cell>
        </row>
        <row r="104">
          <cell r="A104" t="str">
            <v xml:space="preserve"> RESISWAL</v>
          </cell>
          <cell r="B104">
            <v>1</v>
          </cell>
          <cell r="C104">
            <v>77.8</v>
          </cell>
          <cell r="D104">
            <v>38.9</v>
          </cell>
          <cell r="E104">
            <v>0</v>
          </cell>
          <cell r="F104">
            <v>0</v>
          </cell>
          <cell r="G104">
            <v>0</v>
          </cell>
          <cell r="H104">
            <v>77.8</v>
          </cell>
          <cell r="I104">
            <v>43.08</v>
          </cell>
          <cell r="J104">
            <v>0</v>
          </cell>
          <cell r="K104">
            <v>34.72</v>
          </cell>
          <cell r="L104">
            <v>44.63</v>
          </cell>
          <cell r="M104">
            <v>0</v>
          </cell>
        </row>
        <row r="105">
          <cell r="A105" t="str">
            <v>OVERTIME</v>
          </cell>
          <cell r="B105">
            <v>4</v>
          </cell>
          <cell r="C105">
            <v>77.680000000000007</v>
          </cell>
          <cell r="D105">
            <v>7.77</v>
          </cell>
          <cell r="E105">
            <v>0</v>
          </cell>
          <cell r="F105">
            <v>0</v>
          </cell>
          <cell r="G105">
            <v>0</v>
          </cell>
          <cell r="H105">
            <v>77.680000000000007</v>
          </cell>
          <cell r="I105">
            <v>45.61</v>
          </cell>
          <cell r="J105">
            <v>0</v>
          </cell>
          <cell r="K105">
            <v>32.07</v>
          </cell>
          <cell r="L105">
            <v>41.28</v>
          </cell>
          <cell r="M105">
            <v>0</v>
          </cell>
        </row>
        <row r="106">
          <cell r="A106" t="str">
            <v>PHILIPS ILUMINACAO LA</v>
          </cell>
          <cell r="B106">
            <v>1</v>
          </cell>
          <cell r="C106">
            <v>71.94</v>
          </cell>
          <cell r="D106">
            <v>8.99</v>
          </cell>
          <cell r="E106">
            <v>0</v>
          </cell>
          <cell r="F106">
            <v>0</v>
          </cell>
          <cell r="G106">
            <v>0</v>
          </cell>
          <cell r="H106">
            <v>71.94</v>
          </cell>
          <cell r="I106">
            <v>43.09</v>
          </cell>
          <cell r="J106">
            <v>0</v>
          </cell>
          <cell r="K106">
            <v>28.85</v>
          </cell>
          <cell r="L106">
            <v>40.1</v>
          </cell>
          <cell r="M106">
            <v>0</v>
          </cell>
        </row>
        <row r="107">
          <cell r="A107" t="str">
            <v>SIGMA</v>
          </cell>
          <cell r="B107">
            <v>1</v>
          </cell>
          <cell r="C107">
            <v>60.62</v>
          </cell>
          <cell r="D107">
            <v>60.62</v>
          </cell>
          <cell r="E107">
            <v>0</v>
          </cell>
          <cell r="F107">
            <v>0</v>
          </cell>
          <cell r="G107">
            <v>0</v>
          </cell>
          <cell r="H107">
            <v>60.62</v>
          </cell>
          <cell r="I107">
            <v>37.909999999999997</v>
          </cell>
          <cell r="J107">
            <v>0</v>
          </cell>
          <cell r="K107">
            <v>22.71</v>
          </cell>
          <cell r="L107">
            <v>37.46</v>
          </cell>
          <cell r="M107">
            <v>0</v>
          </cell>
        </row>
        <row r="108">
          <cell r="A108" t="str">
            <v>EXTRALUZ</v>
          </cell>
          <cell r="B108">
            <v>1</v>
          </cell>
          <cell r="C108">
            <v>50</v>
          </cell>
          <cell r="D108">
            <v>12.5</v>
          </cell>
          <cell r="E108">
            <v>0</v>
          </cell>
          <cell r="F108">
            <v>0</v>
          </cell>
          <cell r="G108">
            <v>0</v>
          </cell>
          <cell r="H108">
            <v>50</v>
          </cell>
          <cell r="I108">
            <v>29.21</v>
          </cell>
          <cell r="J108">
            <v>0</v>
          </cell>
          <cell r="K108">
            <v>20.79</v>
          </cell>
          <cell r="L108">
            <v>41.58</v>
          </cell>
          <cell r="M108">
            <v>0</v>
          </cell>
        </row>
        <row r="109">
          <cell r="A109" t="str">
            <v>BLACK ELEPHANT</v>
          </cell>
          <cell r="B109">
            <v>2</v>
          </cell>
          <cell r="C109">
            <v>47.8</v>
          </cell>
          <cell r="D109">
            <v>23.9</v>
          </cell>
          <cell r="E109">
            <v>0</v>
          </cell>
          <cell r="F109">
            <v>0</v>
          </cell>
          <cell r="G109">
            <v>0</v>
          </cell>
          <cell r="H109">
            <v>47.8</v>
          </cell>
          <cell r="I109">
            <v>29.48</v>
          </cell>
          <cell r="J109">
            <v>0</v>
          </cell>
          <cell r="K109">
            <v>18.32</v>
          </cell>
          <cell r="L109">
            <v>38.33</v>
          </cell>
          <cell r="M109">
            <v>0</v>
          </cell>
        </row>
        <row r="110">
          <cell r="A110" t="str">
            <v>PADOVA</v>
          </cell>
          <cell r="B110">
            <v>2</v>
          </cell>
          <cell r="C110">
            <v>47.8</v>
          </cell>
          <cell r="D110">
            <v>23.9</v>
          </cell>
          <cell r="E110">
            <v>0</v>
          </cell>
          <cell r="F110">
            <v>0</v>
          </cell>
          <cell r="G110">
            <v>0</v>
          </cell>
          <cell r="H110">
            <v>47.8</v>
          </cell>
          <cell r="I110">
            <v>29.32</v>
          </cell>
          <cell r="J110">
            <v>0</v>
          </cell>
          <cell r="K110">
            <v>18.48</v>
          </cell>
          <cell r="L110">
            <v>38.659999999999997</v>
          </cell>
          <cell r="M110">
            <v>0</v>
          </cell>
        </row>
        <row r="111">
          <cell r="A111" t="str">
            <v>TRAMONTINA ELETRIK S.A.</v>
          </cell>
          <cell r="B111">
            <v>2</v>
          </cell>
          <cell r="C111">
            <v>44.2</v>
          </cell>
          <cell r="D111">
            <v>14.73</v>
          </cell>
          <cell r="E111">
            <v>0</v>
          </cell>
          <cell r="F111">
            <v>0</v>
          </cell>
          <cell r="G111">
            <v>0</v>
          </cell>
          <cell r="H111">
            <v>44.2</v>
          </cell>
          <cell r="I111">
            <v>27.56</v>
          </cell>
          <cell r="J111">
            <v>0</v>
          </cell>
          <cell r="K111">
            <v>16.64</v>
          </cell>
          <cell r="L111">
            <v>37.65</v>
          </cell>
          <cell r="M111">
            <v>0</v>
          </cell>
        </row>
        <row r="112">
          <cell r="A112" t="str">
            <v>ANJO TINTAS E SOLVENTES</v>
          </cell>
          <cell r="B112">
            <v>1</v>
          </cell>
          <cell r="C112">
            <v>39.9</v>
          </cell>
          <cell r="D112">
            <v>39.9</v>
          </cell>
          <cell r="E112">
            <v>0</v>
          </cell>
          <cell r="F112">
            <v>0</v>
          </cell>
          <cell r="G112">
            <v>0</v>
          </cell>
          <cell r="H112">
            <v>39.9</v>
          </cell>
          <cell r="I112">
            <v>22.31</v>
          </cell>
          <cell r="J112">
            <v>0</v>
          </cell>
          <cell r="K112">
            <v>17.59</v>
          </cell>
          <cell r="L112">
            <v>44.09</v>
          </cell>
          <cell r="M112">
            <v>0</v>
          </cell>
        </row>
        <row r="113">
          <cell r="A113" t="str">
            <v>TRAMONTINA NORDESTE</v>
          </cell>
          <cell r="B113">
            <v>1</v>
          </cell>
          <cell r="C113">
            <v>38.5</v>
          </cell>
          <cell r="D113">
            <v>9.6300000000000008</v>
          </cell>
          <cell r="E113">
            <v>0</v>
          </cell>
          <cell r="F113">
            <v>0</v>
          </cell>
          <cell r="G113">
            <v>0</v>
          </cell>
          <cell r="H113">
            <v>38.5</v>
          </cell>
          <cell r="I113">
            <v>20.91</v>
          </cell>
          <cell r="J113">
            <v>0</v>
          </cell>
          <cell r="K113">
            <v>17.59</v>
          </cell>
          <cell r="L113">
            <v>45.69</v>
          </cell>
          <cell r="M113">
            <v>0</v>
          </cell>
        </row>
        <row r="114">
          <cell r="A114" t="str">
            <v>OUROLUX</v>
          </cell>
          <cell r="B114">
            <v>1</v>
          </cell>
          <cell r="C114">
            <v>31.8</v>
          </cell>
          <cell r="D114">
            <v>5.3</v>
          </cell>
          <cell r="E114">
            <v>0</v>
          </cell>
          <cell r="F114">
            <v>0</v>
          </cell>
          <cell r="G114">
            <v>0</v>
          </cell>
          <cell r="H114">
            <v>31.8</v>
          </cell>
          <cell r="I114">
            <v>17.7</v>
          </cell>
          <cell r="J114">
            <v>0</v>
          </cell>
          <cell r="K114">
            <v>14.1</v>
          </cell>
          <cell r="L114">
            <v>44.34</v>
          </cell>
          <cell r="M114">
            <v>0</v>
          </cell>
        </row>
        <row r="115">
          <cell r="A115" t="str">
            <v>EMPLAC</v>
          </cell>
          <cell r="B115">
            <v>1</v>
          </cell>
          <cell r="C115">
            <v>19.5</v>
          </cell>
          <cell r="D115">
            <v>6.5</v>
          </cell>
          <cell r="E115">
            <v>0</v>
          </cell>
          <cell r="F115">
            <v>0</v>
          </cell>
          <cell r="G115">
            <v>0</v>
          </cell>
          <cell r="H115">
            <v>19.5</v>
          </cell>
          <cell r="I115">
            <v>9.1199999999999992</v>
          </cell>
          <cell r="J115">
            <v>0</v>
          </cell>
          <cell r="K115">
            <v>10.38</v>
          </cell>
          <cell r="L115">
            <v>53.23</v>
          </cell>
          <cell r="M115">
            <v>0</v>
          </cell>
        </row>
        <row r="116">
          <cell r="A116" t="str">
            <v>INJEPLAST</v>
          </cell>
          <cell r="B116">
            <v>1</v>
          </cell>
          <cell r="C116">
            <v>12</v>
          </cell>
          <cell r="D116">
            <v>0.4</v>
          </cell>
          <cell r="E116">
            <v>0</v>
          </cell>
          <cell r="F116">
            <v>0</v>
          </cell>
          <cell r="G116">
            <v>0</v>
          </cell>
          <cell r="H116">
            <v>12</v>
          </cell>
          <cell r="I116">
            <v>5.4</v>
          </cell>
          <cell r="J116">
            <v>0</v>
          </cell>
          <cell r="K116">
            <v>6.6</v>
          </cell>
          <cell r="L116">
            <v>55</v>
          </cell>
          <cell r="M116">
            <v>0</v>
          </cell>
        </row>
        <row r="117">
          <cell r="A117" t="str">
            <v>MASCOTE</v>
          </cell>
          <cell r="B117">
            <v>1</v>
          </cell>
          <cell r="C117">
            <v>4.9000000000000004</v>
          </cell>
          <cell r="D117">
            <v>4.9000000000000004</v>
          </cell>
          <cell r="E117">
            <v>0</v>
          </cell>
          <cell r="F117">
            <v>0</v>
          </cell>
          <cell r="G117">
            <v>4.9000000000000004</v>
          </cell>
          <cell r="H117">
            <v>0</v>
          </cell>
          <cell r="I117">
            <v>1.92</v>
          </cell>
          <cell r="J117">
            <v>1.92</v>
          </cell>
          <cell r="K117">
            <v>0</v>
          </cell>
          <cell r="L117">
            <v>0</v>
          </cell>
          <cell r="M117">
            <v>0</v>
          </cell>
        </row>
        <row r="118">
          <cell r="A118" t="str">
            <v>outros</v>
          </cell>
          <cell r="B118">
            <v>0</v>
          </cell>
          <cell r="C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DEZ 25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321</v>
          </cell>
          <cell r="C2">
            <v>434264.00910000002</v>
          </cell>
          <cell r="D2">
            <v>30.17</v>
          </cell>
          <cell r="E2">
            <v>0</v>
          </cell>
          <cell r="F2">
            <v>0</v>
          </cell>
          <cell r="G2">
            <v>23934.762200000001</v>
          </cell>
          <cell r="H2">
            <v>410329.24690000003</v>
          </cell>
          <cell r="I2">
            <v>294789.49489999999</v>
          </cell>
          <cell r="J2">
            <v>15513.478499999999</v>
          </cell>
          <cell r="K2">
            <v>131053.23050000001</v>
          </cell>
          <cell r="L2">
            <v>31.3</v>
          </cell>
          <cell r="M2">
            <v>18.34</v>
          </cell>
        </row>
        <row r="3">
          <cell r="A3" t="str">
            <v>IQUINE</v>
          </cell>
          <cell r="B3">
            <v>96</v>
          </cell>
          <cell r="C3">
            <v>277426.62</v>
          </cell>
          <cell r="D3">
            <v>30.29</v>
          </cell>
          <cell r="E3">
            <v>0</v>
          </cell>
          <cell r="F3">
            <v>0</v>
          </cell>
          <cell r="G3">
            <v>4196.3599999999997</v>
          </cell>
          <cell r="H3">
            <v>273230.26</v>
          </cell>
          <cell r="I3">
            <v>170110.91680000001</v>
          </cell>
          <cell r="J3">
            <v>2637.18</v>
          </cell>
          <cell r="K3">
            <v>105756.5232</v>
          </cell>
          <cell r="L3">
            <v>38.49</v>
          </cell>
          <cell r="M3">
            <v>11.72</v>
          </cell>
        </row>
        <row r="4">
          <cell r="A4" t="str">
            <v>ELIZABETH</v>
          </cell>
          <cell r="B4">
            <v>221</v>
          </cell>
          <cell r="C4">
            <v>261767.97169999999</v>
          </cell>
          <cell r="D4">
            <v>24.19</v>
          </cell>
          <cell r="E4">
            <v>0</v>
          </cell>
          <cell r="F4">
            <v>0</v>
          </cell>
          <cell r="G4">
            <v>12281.170700000001</v>
          </cell>
          <cell r="H4">
            <v>249486.80100000001</v>
          </cell>
          <cell r="I4">
            <v>172890.9859</v>
          </cell>
          <cell r="J4">
            <v>8047.6832999999997</v>
          </cell>
          <cell r="K4">
            <v>84643.498399999997</v>
          </cell>
          <cell r="L4">
            <v>33.36</v>
          </cell>
          <cell r="M4">
            <v>11.05</v>
          </cell>
        </row>
        <row r="5">
          <cell r="A5" t="str">
            <v>MEGAÓ</v>
          </cell>
          <cell r="B5">
            <v>78</v>
          </cell>
          <cell r="C5">
            <v>252650.46</v>
          </cell>
          <cell r="D5">
            <v>63.48</v>
          </cell>
          <cell r="E5">
            <v>0</v>
          </cell>
          <cell r="F5">
            <v>0</v>
          </cell>
          <cell r="G5">
            <v>2869.18</v>
          </cell>
          <cell r="H5">
            <v>249781.28</v>
          </cell>
          <cell r="I5">
            <v>147299.29</v>
          </cell>
          <cell r="J5">
            <v>1700.42</v>
          </cell>
          <cell r="K5">
            <v>104182.41</v>
          </cell>
          <cell r="L5">
            <v>41.52</v>
          </cell>
          <cell r="M5">
            <v>10.67</v>
          </cell>
        </row>
        <row r="6">
          <cell r="A6" t="str">
            <v>DO MESTRE</v>
          </cell>
          <cell r="B6">
            <v>345</v>
          </cell>
          <cell r="C6">
            <v>186856.44</v>
          </cell>
          <cell r="D6">
            <v>23.08</v>
          </cell>
          <cell r="E6">
            <v>0</v>
          </cell>
          <cell r="F6">
            <v>0</v>
          </cell>
          <cell r="G6">
            <v>7284.1196</v>
          </cell>
          <cell r="H6">
            <v>179572.3204</v>
          </cell>
          <cell r="I6">
            <v>110309.16</v>
          </cell>
          <cell r="J6">
            <v>4199.93</v>
          </cell>
          <cell r="K6">
            <v>73463.090400000001</v>
          </cell>
          <cell r="L6">
            <v>40.22</v>
          </cell>
          <cell r="M6">
            <v>7.89</v>
          </cell>
        </row>
        <row r="7">
          <cell r="A7" t="str">
            <v>WEBER QUARTZOLIT</v>
          </cell>
          <cell r="B7">
            <v>183</v>
          </cell>
          <cell r="C7">
            <v>88494.54</v>
          </cell>
          <cell r="D7">
            <v>18.579999999999998</v>
          </cell>
          <cell r="E7">
            <v>0</v>
          </cell>
          <cell r="F7">
            <v>0</v>
          </cell>
          <cell r="G7">
            <v>971.8</v>
          </cell>
          <cell r="H7">
            <v>87522.74</v>
          </cell>
          <cell r="I7">
            <v>54190.43</v>
          </cell>
          <cell r="J7">
            <v>599.65</v>
          </cell>
          <cell r="K7">
            <v>33931.96</v>
          </cell>
          <cell r="L7">
            <v>38.61</v>
          </cell>
          <cell r="M7">
            <v>3.74</v>
          </cell>
        </row>
        <row r="8">
          <cell r="A8" t="str">
            <v>ATLAS</v>
          </cell>
          <cell r="B8">
            <v>88</v>
          </cell>
          <cell r="C8">
            <v>60993.54</v>
          </cell>
          <cell r="D8">
            <v>16.649999999999999</v>
          </cell>
          <cell r="E8">
            <v>0</v>
          </cell>
          <cell r="F8">
            <v>0</v>
          </cell>
          <cell r="G8">
            <v>367.2</v>
          </cell>
          <cell r="H8">
            <v>60626.34</v>
          </cell>
          <cell r="I8">
            <v>33810.400000000001</v>
          </cell>
          <cell r="J8">
            <v>204.38</v>
          </cell>
          <cell r="K8">
            <v>27020.32</v>
          </cell>
          <cell r="L8">
            <v>44.45</v>
          </cell>
          <cell r="M8">
            <v>2.58</v>
          </cell>
        </row>
        <row r="9">
          <cell r="A9" t="str">
            <v>BRASILIT</v>
          </cell>
          <cell r="B9">
            <v>40</v>
          </cell>
          <cell r="C9">
            <v>50667.199999999997</v>
          </cell>
          <cell r="D9">
            <v>63.33</v>
          </cell>
          <cell r="E9">
            <v>0</v>
          </cell>
          <cell r="F9">
            <v>0</v>
          </cell>
          <cell r="G9">
            <v>3984.3</v>
          </cell>
          <cell r="H9">
            <v>46682.9</v>
          </cell>
          <cell r="I9">
            <v>40880.019999999997</v>
          </cell>
          <cell r="J9">
            <v>3251.08</v>
          </cell>
          <cell r="K9">
            <v>9053.9599999999991</v>
          </cell>
          <cell r="L9">
            <v>19.09</v>
          </cell>
          <cell r="M9">
            <v>2.14</v>
          </cell>
        </row>
        <row r="10">
          <cell r="A10" t="str">
            <v>FORTLEV</v>
          </cell>
          <cell r="B10">
            <v>76</v>
          </cell>
          <cell r="C10">
            <v>46829.94</v>
          </cell>
          <cell r="D10">
            <v>10.94</v>
          </cell>
          <cell r="E10">
            <v>0</v>
          </cell>
          <cell r="F10">
            <v>0</v>
          </cell>
          <cell r="G10">
            <v>1409</v>
          </cell>
          <cell r="H10">
            <v>45420.94</v>
          </cell>
          <cell r="I10">
            <v>34216.519999999997</v>
          </cell>
          <cell r="J10">
            <v>1087.0999999999999</v>
          </cell>
          <cell r="K10">
            <v>12291.52</v>
          </cell>
          <cell r="L10">
            <v>26.87</v>
          </cell>
          <cell r="M10">
            <v>1.98</v>
          </cell>
        </row>
        <row r="11">
          <cell r="A11" t="str">
            <v>POINTER</v>
          </cell>
          <cell r="B11">
            <v>53</v>
          </cell>
          <cell r="C11">
            <v>46556.963600000003</v>
          </cell>
          <cell r="D11">
            <v>41.75</v>
          </cell>
          <cell r="E11">
            <v>0</v>
          </cell>
          <cell r="F11">
            <v>0</v>
          </cell>
          <cell r="G11">
            <v>3684.98</v>
          </cell>
          <cell r="H11">
            <v>42871.9836</v>
          </cell>
          <cell r="I11">
            <v>26904.203099999999</v>
          </cell>
          <cell r="J11">
            <v>2161.2865000000002</v>
          </cell>
          <cell r="K11">
            <v>18129.066999999999</v>
          </cell>
          <cell r="L11">
            <v>40.840000000000003</v>
          </cell>
          <cell r="M11">
            <v>1.97</v>
          </cell>
        </row>
        <row r="12">
          <cell r="A12" t="str">
            <v>TECNOGRES</v>
          </cell>
          <cell r="B12">
            <v>31</v>
          </cell>
          <cell r="C12">
            <v>45450.489699999998</v>
          </cell>
          <cell r="D12">
            <v>53.18</v>
          </cell>
          <cell r="E12">
            <v>0</v>
          </cell>
          <cell r="F12">
            <v>0</v>
          </cell>
          <cell r="G12">
            <v>7640.0132999999996</v>
          </cell>
          <cell r="H12">
            <v>37810.4764</v>
          </cell>
          <cell r="I12">
            <v>25260.263200000001</v>
          </cell>
          <cell r="J12">
            <v>4118.3047999999999</v>
          </cell>
          <cell r="K12">
            <v>16668.518</v>
          </cell>
          <cell r="L12">
            <v>40.33</v>
          </cell>
          <cell r="M12">
            <v>1.92</v>
          </cell>
        </row>
        <row r="13">
          <cell r="A13" t="str">
            <v>ROCA</v>
          </cell>
          <cell r="B13">
            <v>56</v>
          </cell>
          <cell r="C13">
            <v>44456.18</v>
          </cell>
          <cell r="D13">
            <v>155.44</v>
          </cell>
          <cell r="E13">
            <v>0</v>
          </cell>
          <cell r="F13">
            <v>0</v>
          </cell>
          <cell r="G13">
            <v>1485.86</v>
          </cell>
          <cell r="H13">
            <v>42970.32</v>
          </cell>
          <cell r="I13">
            <v>29875.61</v>
          </cell>
          <cell r="J13">
            <v>1099.4100000000001</v>
          </cell>
          <cell r="K13">
            <v>14194.12</v>
          </cell>
          <cell r="L13">
            <v>32.74</v>
          </cell>
          <cell r="M13">
            <v>1.88</v>
          </cell>
        </row>
        <row r="14">
          <cell r="A14" t="str">
            <v>REALLE</v>
          </cell>
          <cell r="B14">
            <v>32</v>
          </cell>
          <cell r="C14">
            <v>36029.9764</v>
          </cell>
          <cell r="D14">
            <v>33.24</v>
          </cell>
          <cell r="E14">
            <v>0</v>
          </cell>
          <cell r="F14">
            <v>0</v>
          </cell>
          <cell r="G14">
            <v>5126.5592999999999</v>
          </cell>
          <cell r="H14">
            <v>30903.417099999999</v>
          </cell>
          <cell r="I14">
            <v>23244.221000000001</v>
          </cell>
          <cell r="J14">
            <v>3454.7109999999998</v>
          </cell>
          <cell r="K14">
            <v>11113.9071</v>
          </cell>
          <cell r="L14">
            <v>34.119999999999997</v>
          </cell>
          <cell r="M14">
            <v>1.52</v>
          </cell>
        </row>
        <row r="15">
          <cell r="A15" t="str">
            <v>ARIELLE</v>
          </cell>
          <cell r="B15">
            <v>36</v>
          </cell>
          <cell r="C15">
            <v>33301.613100000002</v>
          </cell>
          <cell r="D15">
            <v>36.42</v>
          </cell>
          <cell r="E15">
            <v>0</v>
          </cell>
          <cell r="F15">
            <v>0</v>
          </cell>
          <cell r="G15">
            <v>2372.3397</v>
          </cell>
          <cell r="H15">
            <v>30929.273399999998</v>
          </cell>
          <cell r="I15">
            <v>20532.070400000001</v>
          </cell>
          <cell r="J15">
            <v>1492.3481999999999</v>
          </cell>
          <cell r="K15">
            <v>11889.5512</v>
          </cell>
          <cell r="L15">
            <v>37.380000000000003</v>
          </cell>
          <cell r="M15">
            <v>1.41</v>
          </cell>
        </row>
        <row r="16">
          <cell r="A16" t="str">
            <v>NITROLUX</v>
          </cell>
          <cell r="B16">
            <v>51</v>
          </cell>
          <cell r="C16">
            <v>27328.42</v>
          </cell>
          <cell r="D16">
            <v>10.9</v>
          </cell>
          <cell r="E16">
            <v>0</v>
          </cell>
          <cell r="F16">
            <v>0</v>
          </cell>
          <cell r="G16">
            <v>208.2</v>
          </cell>
          <cell r="H16">
            <v>27120.22</v>
          </cell>
          <cell r="I16">
            <v>14612.35</v>
          </cell>
          <cell r="J16">
            <v>114.59</v>
          </cell>
          <cell r="K16">
            <v>12622.46</v>
          </cell>
          <cell r="L16">
            <v>46.38</v>
          </cell>
          <cell r="M16">
            <v>1.1499999999999999</v>
          </cell>
        </row>
        <row r="17">
          <cell r="A17" t="str">
            <v>QUALITY</v>
          </cell>
          <cell r="B17">
            <v>32</v>
          </cell>
          <cell r="C17">
            <v>26465.52</v>
          </cell>
          <cell r="D17">
            <v>234.21</v>
          </cell>
          <cell r="E17">
            <v>0</v>
          </cell>
          <cell r="F17">
            <v>0</v>
          </cell>
          <cell r="G17">
            <v>733</v>
          </cell>
          <cell r="H17">
            <v>25732.52</v>
          </cell>
          <cell r="I17">
            <v>16605.689999999999</v>
          </cell>
          <cell r="J17">
            <v>529.66</v>
          </cell>
          <cell r="K17">
            <v>9656.49</v>
          </cell>
          <cell r="L17">
            <v>37.229999999999997</v>
          </cell>
          <cell r="M17">
            <v>1.1200000000000001</v>
          </cell>
        </row>
        <row r="18">
          <cell r="A18" t="str">
            <v>NORCOLA</v>
          </cell>
          <cell r="B18">
            <v>17</v>
          </cell>
          <cell r="C18">
            <v>24926.28</v>
          </cell>
          <cell r="D18">
            <v>194.74</v>
          </cell>
          <cell r="E18">
            <v>0</v>
          </cell>
          <cell r="F18">
            <v>0</v>
          </cell>
          <cell r="G18">
            <v>379.8</v>
          </cell>
          <cell r="H18">
            <v>24546.48</v>
          </cell>
          <cell r="I18">
            <v>17624.27</v>
          </cell>
          <cell r="J18">
            <v>274.31</v>
          </cell>
          <cell r="K18">
            <v>7196.52</v>
          </cell>
          <cell r="L18">
            <v>29.19</v>
          </cell>
          <cell r="M18">
            <v>1.05</v>
          </cell>
        </row>
        <row r="19">
          <cell r="A19" t="str">
            <v>MEC-TRONIC</v>
          </cell>
          <cell r="B19">
            <v>41</v>
          </cell>
          <cell r="C19">
            <v>20467.759999999998</v>
          </cell>
          <cell r="D19">
            <v>10.3</v>
          </cell>
          <cell r="E19">
            <v>0</v>
          </cell>
          <cell r="F19">
            <v>0</v>
          </cell>
          <cell r="G19">
            <v>273.36</v>
          </cell>
          <cell r="H19">
            <v>20194.400000000001</v>
          </cell>
          <cell r="I19">
            <v>10967.02</v>
          </cell>
          <cell r="J19">
            <v>147.25</v>
          </cell>
          <cell r="K19">
            <v>9374.6299999999992</v>
          </cell>
          <cell r="L19">
            <v>46.13</v>
          </cell>
          <cell r="M19">
            <v>0.86</v>
          </cell>
        </row>
        <row r="20">
          <cell r="A20" t="str">
            <v>LORENZETTI</v>
          </cell>
          <cell r="B20">
            <v>15</v>
          </cell>
          <cell r="C20">
            <v>17471.810000000001</v>
          </cell>
          <cell r="D20">
            <v>111.29</v>
          </cell>
          <cell r="E20">
            <v>0</v>
          </cell>
          <cell r="F20">
            <v>0</v>
          </cell>
          <cell r="G20">
            <v>422.95</v>
          </cell>
          <cell r="H20">
            <v>17048.86</v>
          </cell>
          <cell r="I20">
            <v>10909.02</v>
          </cell>
          <cell r="J20">
            <v>242.77</v>
          </cell>
          <cell r="K20">
            <v>6382.61</v>
          </cell>
          <cell r="L20">
            <v>37.049999999999997</v>
          </cell>
          <cell r="M20">
            <v>0.74</v>
          </cell>
        </row>
        <row r="21">
          <cell r="A21" t="str">
            <v>FERTAK COMERCIO E IMPORTAÇÃO</v>
          </cell>
          <cell r="B21">
            <v>45</v>
          </cell>
          <cell r="C21">
            <v>17441.05</v>
          </cell>
          <cell r="D21">
            <v>9.02</v>
          </cell>
          <cell r="E21">
            <v>0</v>
          </cell>
          <cell r="F21">
            <v>0</v>
          </cell>
          <cell r="G21">
            <v>261.3</v>
          </cell>
          <cell r="H21">
            <v>17179.75</v>
          </cell>
          <cell r="I21">
            <v>9530.09</v>
          </cell>
          <cell r="J21">
            <v>165.83</v>
          </cell>
          <cell r="K21">
            <v>7815.49</v>
          </cell>
          <cell r="L21">
            <v>45.24</v>
          </cell>
          <cell r="M21">
            <v>0.74</v>
          </cell>
        </row>
        <row r="22">
          <cell r="A22" t="str">
            <v>BLACK DECKER</v>
          </cell>
          <cell r="B22">
            <v>17</v>
          </cell>
          <cell r="C22">
            <v>17277.38</v>
          </cell>
          <cell r="D22">
            <v>65.94</v>
          </cell>
          <cell r="E22">
            <v>0</v>
          </cell>
          <cell r="F22">
            <v>0</v>
          </cell>
          <cell r="G22">
            <v>103.8</v>
          </cell>
          <cell r="H22">
            <v>17173.580000000002</v>
          </cell>
          <cell r="I22">
            <v>11233.81</v>
          </cell>
          <cell r="J22">
            <v>59.29</v>
          </cell>
          <cell r="K22">
            <v>5999.06</v>
          </cell>
          <cell r="L22">
            <v>34.840000000000003</v>
          </cell>
          <cell r="M22">
            <v>0.73</v>
          </cell>
        </row>
        <row r="23">
          <cell r="A23" t="str">
            <v>INTECH MACHINE</v>
          </cell>
          <cell r="B23">
            <v>27</v>
          </cell>
          <cell r="C23">
            <v>16493.16</v>
          </cell>
          <cell r="D23">
            <v>166.6</v>
          </cell>
          <cell r="E23">
            <v>0</v>
          </cell>
          <cell r="F23">
            <v>0</v>
          </cell>
          <cell r="G23">
            <v>149</v>
          </cell>
          <cell r="H23">
            <v>16344.16</v>
          </cell>
          <cell r="I23">
            <v>11966.97</v>
          </cell>
          <cell r="J23">
            <v>112.72</v>
          </cell>
          <cell r="K23">
            <v>4489.91</v>
          </cell>
          <cell r="L23">
            <v>27.41</v>
          </cell>
          <cell r="M23">
            <v>0.7</v>
          </cell>
        </row>
        <row r="24">
          <cell r="A24" t="str">
            <v>ANAUGER</v>
          </cell>
          <cell r="B24">
            <v>13</v>
          </cell>
          <cell r="C24">
            <v>14884.1</v>
          </cell>
          <cell r="D24">
            <v>297.68</v>
          </cell>
          <cell r="E24">
            <v>0</v>
          </cell>
          <cell r="F24">
            <v>0</v>
          </cell>
          <cell r="G24">
            <v>56.9</v>
          </cell>
          <cell r="H24">
            <v>14827.2</v>
          </cell>
          <cell r="I24">
            <v>10441.02</v>
          </cell>
          <cell r="J24">
            <v>32.700000000000003</v>
          </cell>
          <cell r="K24">
            <v>4418.88</v>
          </cell>
          <cell r="L24">
            <v>29.75</v>
          </cell>
          <cell r="M24">
            <v>0.63</v>
          </cell>
        </row>
        <row r="25">
          <cell r="A25" t="str">
            <v>METAIS LEAO</v>
          </cell>
          <cell r="B25">
            <v>23</v>
          </cell>
          <cell r="C25">
            <v>14127.95</v>
          </cell>
          <cell r="D25">
            <v>75.959999999999994</v>
          </cell>
          <cell r="E25">
            <v>0</v>
          </cell>
          <cell r="F25">
            <v>0</v>
          </cell>
          <cell r="G25">
            <v>541.29999999999995</v>
          </cell>
          <cell r="H25">
            <v>13586.65</v>
          </cell>
          <cell r="I25">
            <v>8316.64</v>
          </cell>
          <cell r="J25">
            <v>315.31</v>
          </cell>
          <cell r="K25">
            <v>5585.32</v>
          </cell>
          <cell r="L25">
            <v>40.44</v>
          </cell>
          <cell r="M25">
            <v>0.6</v>
          </cell>
        </row>
        <row r="26">
          <cell r="A26" t="str">
            <v>METALURGICA MOR S/A</v>
          </cell>
          <cell r="B26">
            <v>17</v>
          </cell>
          <cell r="C26">
            <v>13897.21</v>
          </cell>
          <cell r="D26">
            <v>121.91</v>
          </cell>
          <cell r="E26">
            <v>0</v>
          </cell>
          <cell r="F26">
            <v>0</v>
          </cell>
          <cell r="G26">
            <v>0</v>
          </cell>
          <cell r="H26">
            <v>13897.21</v>
          </cell>
          <cell r="I26">
            <v>8491.26</v>
          </cell>
          <cell r="J26">
            <v>0</v>
          </cell>
          <cell r="K26">
            <v>5405.95</v>
          </cell>
          <cell r="L26">
            <v>38.9</v>
          </cell>
          <cell r="M26">
            <v>0.59</v>
          </cell>
        </row>
        <row r="27">
          <cell r="A27" t="str">
            <v>MADELAR</v>
          </cell>
          <cell r="B27">
            <v>30</v>
          </cell>
          <cell r="C27">
            <v>13614.36</v>
          </cell>
          <cell r="D27">
            <v>164.03</v>
          </cell>
          <cell r="E27">
            <v>0</v>
          </cell>
          <cell r="F27">
            <v>0</v>
          </cell>
          <cell r="G27">
            <v>815.5</v>
          </cell>
          <cell r="H27">
            <v>12798.86</v>
          </cell>
          <cell r="I27">
            <v>7757</v>
          </cell>
          <cell r="J27">
            <v>460</v>
          </cell>
          <cell r="K27">
            <v>5501.86</v>
          </cell>
          <cell r="L27">
            <v>41.83</v>
          </cell>
          <cell r="M27">
            <v>0.56999999999999995</v>
          </cell>
        </row>
        <row r="28">
          <cell r="A28" t="str">
            <v>GRANPLAST</v>
          </cell>
          <cell r="B28">
            <v>28</v>
          </cell>
          <cell r="C28">
            <v>13246.59</v>
          </cell>
          <cell r="D28">
            <v>24.62</v>
          </cell>
          <cell r="E28">
            <v>0</v>
          </cell>
          <cell r="F28">
            <v>0</v>
          </cell>
          <cell r="G28">
            <v>191.6</v>
          </cell>
          <cell r="H28">
            <v>13054.99</v>
          </cell>
          <cell r="I28">
            <v>8041.19</v>
          </cell>
          <cell r="J28">
            <v>118.63</v>
          </cell>
          <cell r="K28">
            <v>5132.43</v>
          </cell>
          <cell r="L28">
            <v>39.1</v>
          </cell>
          <cell r="M28">
            <v>0.56000000000000005</v>
          </cell>
        </row>
        <row r="29">
          <cell r="A29" t="str">
            <v>Perfilplast Industria e Comerc</v>
          </cell>
          <cell r="B29">
            <v>24</v>
          </cell>
          <cell r="C29">
            <v>12736.38</v>
          </cell>
          <cell r="D29">
            <v>88.45</v>
          </cell>
          <cell r="E29">
            <v>0</v>
          </cell>
          <cell r="F29">
            <v>0</v>
          </cell>
          <cell r="G29">
            <v>782.26</v>
          </cell>
          <cell r="H29">
            <v>11954.12</v>
          </cell>
          <cell r="I29">
            <v>7547.15</v>
          </cell>
          <cell r="J29">
            <v>467.39600000000002</v>
          </cell>
          <cell r="K29">
            <v>4874.366</v>
          </cell>
          <cell r="L29">
            <v>39.729999999999997</v>
          </cell>
          <cell r="M29">
            <v>0.54</v>
          </cell>
        </row>
        <row r="30">
          <cell r="A30" t="str">
            <v>SILVANA</v>
          </cell>
          <cell r="B30">
            <v>31</v>
          </cell>
          <cell r="C30">
            <v>12204.4</v>
          </cell>
          <cell r="D30">
            <v>29.55</v>
          </cell>
          <cell r="E30">
            <v>0</v>
          </cell>
          <cell r="F30">
            <v>0</v>
          </cell>
          <cell r="G30">
            <v>596.14</v>
          </cell>
          <cell r="H30">
            <v>11608.26</v>
          </cell>
          <cell r="I30">
            <v>7302.93</v>
          </cell>
          <cell r="J30">
            <v>341.07</v>
          </cell>
          <cell r="K30">
            <v>4646.3999999999996</v>
          </cell>
          <cell r="L30">
            <v>39.17</v>
          </cell>
          <cell r="M30">
            <v>0.52</v>
          </cell>
        </row>
        <row r="31">
          <cell r="A31" t="str">
            <v>LEDVANCE</v>
          </cell>
          <cell r="B31">
            <v>18</v>
          </cell>
          <cell r="C31">
            <v>11102.41</v>
          </cell>
          <cell r="D31">
            <v>14.31</v>
          </cell>
          <cell r="E31">
            <v>0</v>
          </cell>
          <cell r="F31">
            <v>0</v>
          </cell>
          <cell r="G31">
            <v>85.82</v>
          </cell>
          <cell r="H31">
            <v>11016.59</v>
          </cell>
          <cell r="I31">
            <v>6131.37</v>
          </cell>
          <cell r="J31">
            <v>49.09</v>
          </cell>
          <cell r="K31">
            <v>4934.3100000000004</v>
          </cell>
          <cell r="L31">
            <v>44.64</v>
          </cell>
          <cell r="M31">
            <v>0.47</v>
          </cell>
        </row>
        <row r="32">
          <cell r="A32" t="str">
            <v>LEGRAND</v>
          </cell>
          <cell r="B32">
            <v>18</v>
          </cell>
          <cell r="C32">
            <v>11008.56</v>
          </cell>
          <cell r="D32">
            <v>17.760000000000002</v>
          </cell>
          <cell r="E32">
            <v>0</v>
          </cell>
          <cell r="F32">
            <v>0</v>
          </cell>
          <cell r="G32">
            <v>198.49</v>
          </cell>
          <cell r="H32">
            <v>10810.07</v>
          </cell>
          <cell r="I32">
            <v>6704.64</v>
          </cell>
          <cell r="J32">
            <v>125.95</v>
          </cell>
          <cell r="K32">
            <v>4231.38</v>
          </cell>
          <cell r="L32">
            <v>38.880000000000003</v>
          </cell>
          <cell r="M32">
            <v>0.46</v>
          </cell>
        </row>
        <row r="33">
          <cell r="A33" t="str">
            <v>PADO</v>
          </cell>
          <cell r="B33">
            <v>12</v>
          </cell>
          <cell r="C33">
            <v>10720.72</v>
          </cell>
          <cell r="D33">
            <v>47.65</v>
          </cell>
          <cell r="E33">
            <v>0</v>
          </cell>
          <cell r="F33">
            <v>0</v>
          </cell>
          <cell r="G33">
            <v>246.18</v>
          </cell>
          <cell r="H33">
            <v>10474.540000000001</v>
          </cell>
          <cell r="I33">
            <v>5851.68</v>
          </cell>
          <cell r="J33">
            <v>133.6</v>
          </cell>
          <cell r="K33">
            <v>4756.46</v>
          </cell>
          <cell r="L33">
            <v>44.93</v>
          </cell>
          <cell r="M33">
            <v>0.45</v>
          </cell>
        </row>
        <row r="34">
          <cell r="A34" t="str">
            <v>BLUKIT</v>
          </cell>
          <cell r="B34">
            <v>39</v>
          </cell>
          <cell r="C34">
            <v>10684.62</v>
          </cell>
          <cell r="D34">
            <v>22.68</v>
          </cell>
          <cell r="E34">
            <v>0</v>
          </cell>
          <cell r="F34">
            <v>0</v>
          </cell>
          <cell r="G34">
            <v>198.7</v>
          </cell>
          <cell r="H34">
            <v>10485.92</v>
          </cell>
          <cell r="I34">
            <v>5854.66</v>
          </cell>
          <cell r="J34">
            <v>112.23</v>
          </cell>
          <cell r="K34">
            <v>4743.49</v>
          </cell>
          <cell r="L34">
            <v>44.87</v>
          </cell>
          <cell r="M34">
            <v>0.45</v>
          </cell>
        </row>
        <row r="35">
          <cell r="A35" t="str">
            <v>CARMELO FIOR</v>
          </cell>
          <cell r="B35">
            <v>5</v>
          </cell>
          <cell r="C35">
            <v>10675.115</v>
          </cell>
          <cell r="D35">
            <v>66.7</v>
          </cell>
          <cell r="E35">
            <v>0</v>
          </cell>
          <cell r="F35">
            <v>0</v>
          </cell>
          <cell r="G35">
            <v>0</v>
          </cell>
          <cell r="H35">
            <v>10675.115</v>
          </cell>
          <cell r="I35">
            <v>6558.5024999999996</v>
          </cell>
          <cell r="J35">
            <v>0</v>
          </cell>
          <cell r="K35">
            <v>4116.6125000000002</v>
          </cell>
          <cell r="L35">
            <v>38.56</v>
          </cell>
          <cell r="M35">
            <v>0.45</v>
          </cell>
        </row>
        <row r="36">
          <cell r="A36" t="str">
            <v>VIQUA</v>
          </cell>
          <cell r="B36">
            <v>15</v>
          </cell>
          <cell r="C36">
            <v>10480.57</v>
          </cell>
          <cell r="D36">
            <v>37.43</v>
          </cell>
          <cell r="E36">
            <v>0</v>
          </cell>
          <cell r="F36">
            <v>0</v>
          </cell>
          <cell r="G36">
            <v>264.54000000000002</v>
          </cell>
          <cell r="H36">
            <v>10216.030000000001</v>
          </cell>
          <cell r="I36">
            <v>6367.36</v>
          </cell>
          <cell r="J36">
            <v>160.72999999999999</v>
          </cell>
          <cell r="K36">
            <v>4009.4</v>
          </cell>
          <cell r="L36">
            <v>38.85</v>
          </cell>
          <cell r="M36">
            <v>0.44</v>
          </cell>
        </row>
        <row r="37">
          <cell r="A37" t="str">
            <v>GHEL'PLUS</v>
          </cell>
          <cell r="B37">
            <v>23</v>
          </cell>
          <cell r="C37">
            <v>10135.469999999999</v>
          </cell>
          <cell r="D37">
            <v>116.5</v>
          </cell>
          <cell r="E37">
            <v>0</v>
          </cell>
          <cell r="F37">
            <v>0</v>
          </cell>
          <cell r="G37">
            <v>1159.5</v>
          </cell>
          <cell r="H37">
            <v>8975.9699999999993</v>
          </cell>
          <cell r="I37">
            <v>6154.72</v>
          </cell>
          <cell r="J37">
            <v>717.68</v>
          </cell>
          <cell r="K37">
            <v>3538.93</v>
          </cell>
          <cell r="L37">
            <v>37.58</v>
          </cell>
          <cell r="M37">
            <v>0.43</v>
          </cell>
        </row>
        <row r="38">
          <cell r="A38" t="str">
            <v>MULT MIX IMPORTADORA</v>
          </cell>
          <cell r="B38">
            <v>31</v>
          </cell>
          <cell r="C38">
            <v>9460.77</v>
          </cell>
          <cell r="D38">
            <v>18.73</v>
          </cell>
          <cell r="E38">
            <v>0</v>
          </cell>
          <cell r="F38">
            <v>0</v>
          </cell>
          <cell r="G38">
            <v>205.4</v>
          </cell>
          <cell r="H38">
            <v>9255.3700000000008</v>
          </cell>
          <cell r="I38">
            <v>4917.99</v>
          </cell>
          <cell r="J38">
            <v>111.47</v>
          </cell>
          <cell r="K38">
            <v>4448.8500000000004</v>
          </cell>
          <cell r="L38">
            <v>47.58</v>
          </cell>
          <cell r="M38">
            <v>0.4</v>
          </cell>
        </row>
        <row r="39">
          <cell r="A39" t="str">
            <v>DOCOL METAIS</v>
          </cell>
          <cell r="B39">
            <v>10</v>
          </cell>
          <cell r="C39">
            <v>7386.88</v>
          </cell>
          <cell r="D39">
            <v>92.34</v>
          </cell>
          <cell r="E39">
            <v>0</v>
          </cell>
          <cell r="F39">
            <v>0</v>
          </cell>
          <cell r="G39">
            <v>251.13</v>
          </cell>
          <cell r="H39">
            <v>7135.75</v>
          </cell>
          <cell r="I39">
            <v>4488.25</v>
          </cell>
          <cell r="J39">
            <v>161.59</v>
          </cell>
          <cell r="K39">
            <v>2809.09</v>
          </cell>
          <cell r="L39">
            <v>38.880000000000003</v>
          </cell>
          <cell r="M39">
            <v>0.31</v>
          </cell>
        </row>
        <row r="40">
          <cell r="A40" t="str">
            <v>LUCONI</v>
          </cell>
          <cell r="B40">
            <v>31</v>
          </cell>
          <cell r="C40">
            <v>7060.17</v>
          </cell>
          <cell r="D40">
            <v>12.5</v>
          </cell>
          <cell r="E40">
            <v>0</v>
          </cell>
          <cell r="F40">
            <v>0</v>
          </cell>
          <cell r="G40">
            <v>162.11000000000001</v>
          </cell>
          <cell r="H40">
            <v>6898.06</v>
          </cell>
          <cell r="I40">
            <v>3431.36</v>
          </cell>
          <cell r="J40">
            <v>87.29</v>
          </cell>
          <cell r="K40">
            <v>3553.99</v>
          </cell>
          <cell r="L40">
            <v>50.97</v>
          </cell>
          <cell r="M40">
            <v>0.3</v>
          </cell>
        </row>
        <row r="41">
          <cell r="A41" t="str">
            <v>PLASTMAR IND E COM</v>
          </cell>
          <cell r="B41">
            <v>11</v>
          </cell>
          <cell r="C41">
            <v>6405.89</v>
          </cell>
          <cell r="D41">
            <v>63.42</v>
          </cell>
          <cell r="E41">
            <v>0</v>
          </cell>
          <cell r="F41">
            <v>0</v>
          </cell>
          <cell r="G41">
            <v>0</v>
          </cell>
          <cell r="H41">
            <v>6405.89</v>
          </cell>
          <cell r="I41">
            <v>3567.23</v>
          </cell>
          <cell r="J41">
            <v>0</v>
          </cell>
          <cell r="K41">
            <v>2838.66</v>
          </cell>
          <cell r="L41">
            <v>44.31</v>
          </cell>
          <cell r="M41">
            <v>0.27</v>
          </cell>
        </row>
        <row r="42">
          <cell r="A42" t="str">
            <v>BELLA PIA</v>
          </cell>
          <cell r="B42">
            <v>14</v>
          </cell>
          <cell r="C42">
            <v>6215.21</v>
          </cell>
          <cell r="D42">
            <v>239.05</v>
          </cell>
          <cell r="E42">
            <v>0</v>
          </cell>
          <cell r="F42">
            <v>0</v>
          </cell>
          <cell r="G42">
            <v>972.35</v>
          </cell>
          <cell r="H42">
            <v>5242.8599999999997</v>
          </cell>
          <cell r="I42">
            <v>3501.8</v>
          </cell>
          <cell r="J42">
            <v>573.86</v>
          </cell>
          <cell r="K42">
            <v>2314.92</v>
          </cell>
          <cell r="L42">
            <v>41.03</v>
          </cell>
          <cell r="M42">
            <v>0.26</v>
          </cell>
        </row>
        <row r="43">
          <cell r="A43" t="str">
            <v>HERC</v>
          </cell>
          <cell r="B43">
            <v>25</v>
          </cell>
          <cell r="C43">
            <v>5902.92</v>
          </cell>
          <cell r="D43">
            <v>21.94</v>
          </cell>
          <cell r="E43">
            <v>0</v>
          </cell>
          <cell r="F43">
            <v>0</v>
          </cell>
          <cell r="G43">
            <v>40.79</v>
          </cell>
          <cell r="H43">
            <v>5862.13</v>
          </cell>
          <cell r="I43">
            <v>3435.72</v>
          </cell>
          <cell r="J43">
            <v>24.07</v>
          </cell>
          <cell r="K43">
            <v>2450.48</v>
          </cell>
          <cell r="L43">
            <v>41.68</v>
          </cell>
          <cell r="M43">
            <v>0.25</v>
          </cell>
        </row>
        <row r="44">
          <cell r="A44" t="str">
            <v>INCESA</v>
          </cell>
          <cell r="B44">
            <v>5</v>
          </cell>
          <cell r="C44">
            <v>5838.64</v>
          </cell>
          <cell r="D44">
            <v>82.47</v>
          </cell>
          <cell r="E44">
            <v>0</v>
          </cell>
          <cell r="F44">
            <v>0</v>
          </cell>
          <cell r="G44">
            <v>0</v>
          </cell>
          <cell r="H44">
            <v>5838.64</v>
          </cell>
          <cell r="I44">
            <v>3698.038</v>
          </cell>
          <cell r="J44">
            <v>0</v>
          </cell>
          <cell r="K44">
            <v>2140.6019999999999</v>
          </cell>
          <cell r="L44">
            <v>36.659999999999997</v>
          </cell>
          <cell r="M44">
            <v>0.25</v>
          </cell>
        </row>
        <row r="45">
          <cell r="A45" t="str">
            <v>ADERE</v>
          </cell>
          <cell r="B45">
            <v>25</v>
          </cell>
          <cell r="C45">
            <v>5622.95</v>
          </cell>
          <cell r="D45">
            <v>11.71</v>
          </cell>
          <cell r="E45">
            <v>0</v>
          </cell>
          <cell r="F45">
            <v>0</v>
          </cell>
          <cell r="G45">
            <v>33.9</v>
          </cell>
          <cell r="H45">
            <v>5589.05</v>
          </cell>
          <cell r="I45">
            <v>3171.97</v>
          </cell>
          <cell r="J45">
            <v>21.22</v>
          </cell>
          <cell r="K45">
            <v>2438.3000000000002</v>
          </cell>
          <cell r="L45">
            <v>43.53</v>
          </cell>
          <cell r="M45">
            <v>0.24</v>
          </cell>
        </row>
        <row r="46">
          <cell r="A46" t="str">
            <v>PRATEFIX</v>
          </cell>
          <cell r="B46">
            <v>17</v>
          </cell>
          <cell r="C46">
            <v>5526.11</v>
          </cell>
          <cell r="D46">
            <v>37.85</v>
          </cell>
          <cell r="E46">
            <v>0</v>
          </cell>
          <cell r="F46">
            <v>0</v>
          </cell>
          <cell r="G46">
            <v>172.7</v>
          </cell>
          <cell r="H46">
            <v>5353.41</v>
          </cell>
          <cell r="I46">
            <v>3065.27</v>
          </cell>
          <cell r="J46">
            <v>86.91</v>
          </cell>
          <cell r="K46">
            <v>2375.0500000000002</v>
          </cell>
          <cell r="L46">
            <v>43.67</v>
          </cell>
          <cell r="M46">
            <v>0.23</v>
          </cell>
        </row>
        <row r="47">
          <cell r="A47" t="str">
            <v>COBRECOM</v>
          </cell>
          <cell r="B47">
            <v>6</v>
          </cell>
          <cell r="C47">
            <v>5394.73</v>
          </cell>
          <cell r="D47">
            <v>99.9</v>
          </cell>
          <cell r="E47">
            <v>0</v>
          </cell>
          <cell r="F47">
            <v>0</v>
          </cell>
          <cell r="G47">
            <v>0</v>
          </cell>
          <cell r="H47">
            <v>5394.73</v>
          </cell>
          <cell r="I47">
            <v>3363.85</v>
          </cell>
          <cell r="J47">
            <v>0</v>
          </cell>
          <cell r="K47">
            <v>2030.88</v>
          </cell>
          <cell r="L47">
            <v>37.65</v>
          </cell>
          <cell r="M47">
            <v>0.23</v>
          </cell>
        </row>
        <row r="48">
          <cell r="A48" t="str">
            <v>AVANT</v>
          </cell>
          <cell r="B48">
            <v>9</v>
          </cell>
          <cell r="C48">
            <v>5219.78</v>
          </cell>
          <cell r="D48">
            <v>42.1</v>
          </cell>
          <cell r="E48">
            <v>0</v>
          </cell>
          <cell r="F48">
            <v>0</v>
          </cell>
          <cell r="G48">
            <v>59.9</v>
          </cell>
          <cell r="H48">
            <v>5159.88</v>
          </cell>
          <cell r="I48">
            <v>3379.06</v>
          </cell>
          <cell r="J48">
            <v>43.72</v>
          </cell>
          <cell r="K48">
            <v>1824.54</v>
          </cell>
          <cell r="L48">
            <v>35.25</v>
          </cell>
          <cell r="M48">
            <v>0.22</v>
          </cell>
        </row>
        <row r="49">
          <cell r="A49" t="str">
            <v>VEDACIT</v>
          </cell>
          <cell r="B49">
            <v>10</v>
          </cell>
          <cell r="C49">
            <v>5189.38</v>
          </cell>
          <cell r="D49">
            <v>78.63</v>
          </cell>
          <cell r="E49">
            <v>0</v>
          </cell>
          <cell r="F49">
            <v>0</v>
          </cell>
          <cell r="G49">
            <v>34.9</v>
          </cell>
          <cell r="H49">
            <v>5154.4799999999996</v>
          </cell>
          <cell r="I49">
            <v>2854.53</v>
          </cell>
          <cell r="J49">
            <v>19.72</v>
          </cell>
          <cell r="K49">
            <v>2319.67</v>
          </cell>
          <cell r="L49">
            <v>44.87</v>
          </cell>
          <cell r="M49">
            <v>0.22</v>
          </cell>
        </row>
        <row r="50">
          <cell r="A50" t="str">
            <v>LUZARTE</v>
          </cell>
          <cell r="B50">
            <v>6</v>
          </cell>
          <cell r="C50">
            <v>5158.1499999999996</v>
          </cell>
          <cell r="D50">
            <v>139.41</v>
          </cell>
          <cell r="E50">
            <v>0</v>
          </cell>
          <cell r="F50">
            <v>0</v>
          </cell>
          <cell r="G50">
            <v>394.03</v>
          </cell>
          <cell r="H50">
            <v>4764.12</v>
          </cell>
          <cell r="I50">
            <v>3964.49</v>
          </cell>
          <cell r="J50">
            <v>307.29000000000002</v>
          </cell>
          <cell r="K50">
            <v>1106.92</v>
          </cell>
          <cell r="L50">
            <v>22.82</v>
          </cell>
          <cell r="M50">
            <v>0.22</v>
          </cell>
        </row>
        <row r="51">
          <cell r="A51" t="str">
            <v>NORTON</v>
          </cell>
          <cell r="B51">
            <v>19</v>
          </cell>
          <cell r="C51">
            <v>4739.6000000000004</v>
          </cell>
          <cell r="D51">
            <v>4.1399999999999997</v>
          </cell>
          <cell r="E51">
            <v>0</v>
          </cell>
          <cell r="F51">
            <v>0</v>
          </cell>
          <cell r="G51">
            <v>42.5</v>
          </cell>
          <cell r="H51">
            <v>4697.1000000000004</v>
          </cell>
          <cell r="I51">
            <v>2364.73</v>
          </cell>
          <cell r="J51">
            <v>22.56</v>
          </cell>
          <cell r="K51">
            <v>2354.9299999999998</v>
          </cell>
          <cell r="L51">
            <v>49.92</v>
          </cell>
          <cell r="M51">
            <v>0.2</v>
          </cell>
        </row>
        <row r="52">
          <cell r="A52" t="str">
            <v>CORTAG</v>
          </cell>
          <cell r="B52">
            <v>20</v>
          </cell>
          <cell r="C52">
            <v>4506.3900000000003</v>
          </cell>
          <cell r="D52">
            <v>24.49</v>
          </cell>
          <cell r="E52">
            <v>0</v>
          </cell>
          <cell r="F52">
            <v>0</v>
          </cell>
          <cell r="G52">
            <v>408.7</v>
          </cell>
          <cell r="H52">
            <v>4097.6899999999996</v>
          </cell>
          <cell r="I52">
            <v>2828.47</v>
          </cell>
          <cell r="J52">
            <v>252.68</v>
          </cell>
          <cell r="K52">
            <v>1521.9</v>
          </cell>
          <cell r="L52">
            <v>35.78</v>
          </cell>
          <cell r="M52">
            <v>0.19</v>
          </cell>
        </row>
        <row r="53">
          <cell r="A53" t="str">
            <v>MGM</v>
          </cell>
          <cell r="B53">
            <v>6</v>
          </cell>
          <cell r="C53">
            <v>4350.68</v>
          </cell>
          <cell r="D53">
            <v>362.56</v>
          </cell>
          <cell r="E53">
            <v>0</v>
          </cell>
          <cell r="F53">
            <v>0</v>
          </cell>
          <cell r="G53">
            <v>0</v>
          </cell>
          <cell r="H53">
            <v>4350.68</v>
          </cell>
          <cell r="I53">
            <v>2688.42</v>
          </cell>
          <cell r="J53">
            <v>0</v>
          </cell>
          <cell r="K53">
            <v>1662.26</v>
          </cell>
          <cell r="L53">
            <v>38.21</v>
          </cell>
          <cell r="M53">
            <v>0.18</v>
          </cell>
        </row>
        <row r="54">
          <cell r="A54" t="str">
            <v>PULVITEC</v>
          </cell>
          <cell r="B54">
            <v>31</v>
          </cell>
          <cell r="C54">
            <v>4247.88</v>
          </cell>
          <cell r="D54">
            <v>7.77</v>
          </cell>
          <cell r="E54">
            <v>0</v>
          </cell>
          <cell r="F54">
            <v>0</v>
          </cell>
          <cell r="G54">
            <v>81.2</v>
          </cell>
          <cell r="H54">
            <v>4166.68</v>
          </cell>
          <cell r="I54">
            <v>2057.35</v>
          </cell>
          <cell r="J54">
            <v>45.11</v>
          </cell>
          <cell r="K54">
            <v>2154.44</v>
          </cell>
          <cell r="L54">
            <v>51.26</v>
          </cell>
          <cell r="M54">
            <v>0.18</v>
          </cell>
        </row>
        <row r="55">
          <cell r="A55" t="str">
            <v>BRASFORMA</v>
          </cell>
          <cell r="B55">
            <v>6</v>
          </cell>
          <cell r="C55">
            <v>4040.94</v>
          </cell>
          <cell r="D55">
            <v>43.45</v>
          </cell>
          <cell r="E55">
            <v>0</v>
          </cell>
          <cell r="F55">
            <v>0</v>
          </cell>
          <cell r="G55">
            <v>0</v>
          </cell>
          <cell r="H55">
            <v>4040.94</v>
          </cell>
          <cell r="I55">
            <v>2650.51</v>
          </cell>
          <cell r="J55">
            <v>0</v>
          </cell>
          <cell r="K55">
            <v>1390.43</v>
          </cell>
          <cell r="L55">
            <v>34.409999999999997</v>
          </cell>
          <cell r="M55">
            <v>0.17</v>
          </cell>
        </row>
        <row r="56">
          <cell r="A56" t="str">
            <v>HIDRACOR</v>
          </cell>
          <cell r="B56">
            <v>13</v>
          </cell>
          <cell r="C56">
            <v>3899.5</v>
          </cell>
          <cell r="D56">
            <v>3.9</v>
          </cell>
          <cell r="E56">
            <v>0</v>
          </cell>
          <cell r="F56">
            <v>0</v>
          </cell>
          <cell r="G56">
            <v>11.7</v>
          </cell>
          <cell r="H56">
            <v>3887.8</v>
          </cell>
          <cell r="I56">
            <v>1813.95</v>
          </cell>
          <cell r="J56">
            <v>5.49</v>
          </cell>
          <cell r="K56">
            <v>2079.34</v>
          </cell>
          <cell r="L56">
            <v>53.4</v>
          </cell>
          <cell r="M56">
            <v>0.16</v>
          </cell>
        </row>
        <row r="57">
          <cell r="A57" t="str">
            <v>PRATIMIX</v>
          </cell>
          <cell r="B57">
            <v>29</v>
          </cell>
          <cell r="C57">
            <v>3743.74</v>
          </cell>
          <cell r="D57">
            <v>11.52</v>
          </cell>
          <cell r="E57">
            <v>0</v>
          </cell>
          <cell r="F57">
            <v>0</v>
          </cell>
          <cell r="G57">
            <v>89.94</v>
          </cell>
          <cell r="H57">
            <v>3653.8</v>
          </cell>
          <cell r="I57">
            <v>2007.74</v>
          </cell>
          <cell r="J57">
            <v>49.76</v>
          </cell>
          <cell r="K57">
            <v>1695.82</v>
          </cell>
          <cell r="L57">
            <v>45.91</v>
          </cell>
          <cell r="M57">
            <v>0.16</v>
          </cell>
        </row>
        <row r="58">
          <cell r="A58" t="str">
            <v>BEMFIXA</v>
          </cell>
          <cell r="B58">
            <v>10</v>
          </cell>
          <cell r="C58">
            <v>3697.14</v>
          </cell>
          <cell r="D58">
            <v>12.75</v>
          </cell>
          <cell r="E58">
            <v>0</v>
          </cell>
          <cell r="F58">
            <v>0</v>
          </cell>
          <cell r="G58">
            <v>13.8</v>
          </cell>
          <cell r="H58">
            <v>3683.34</v>
          </cell>
          <cell r="I58">
            <v>2003.8</v>
          </cell>
          <cell r="J58">
            <v>7.17</v>
          </cell>
          <cell r="K58">
            <v>1686.71</v>
          </cell>
          <cell r="L58">
            <v>45.71</v>
          </cell>
          <cell r="M58">
            <v>0.16</v>
          </cell>
        </row>
        <row r="59">
          <cell r="A59" t="str">
            <v>Momfort</v>
          </cell>
          <cell r="B59">
            <v>8</v>
          </cell>
          <cell r="C59">
            <v>3654.56</v>
          </cell>
          <cell r="D59">
            <v>33.22</v>
          </cell>
          <cell r="E59">
            <v>0</v>
          </cell>
          <cell r="F59">
            <v>0</v>
          </cell>
          <cell r="G59">
            <v>0</v>
          </cell>
          <cell r="H59">
            <v>3654.56</v>
          </cell>
          <cell r="I59">
            <v>2381.6999999999998</v>
          </cell>
          <cell r="J59">
            <v>0</v>
          </cell>
          <cell r="K59">
            <v>1272.8599999999999</v>
          </cell>
          <cell r="L59">
            <v>34.83</v>
          </cell>
          <cell r="M59">
            <v>0.15</v>
          </cell>
        </row>
        <row r="60">
          <cell r="A60" t="str">
            <v>MYPA</v>
          </cell>
          <cell r="B60">
            <v>13</v>
          </cell>
          <cell r="C60">
            <v>3572.21</v>
          </cell>
          <cell r="D60">
            <v>12.99</v>
          </cell>
          <cell r="E60">
            <v>0</v>
          </cell>
          <cell r="F60">
            <v>0</v>
          </cell>
          <cell r="G60">
            <v>39.9</v>
          </cell>
          <cell r="H60">
            <v>3532.31</v>
          </cell>
          <cell r="I60">
            <v>1949.54</v>
          </cell>
          <cell r="J60">
            <v>23.43</v>
          </cell>
          <cell r="K60">
            <v>1606.2</v>
          </cell>
          <cell r="L60">
            <v>45.26</v>
          </cell>
          <cell r="M60">
            <v>0.15</v>
          </cell>
        </row>
        <row r="61">
          <cell r="A61" t="str">
            <v>BOGNAR</v>
          </cell>
          <cell r="B61">
            <v>10</v>
          </cell>
          <cell r="C61">
            <v>3225.78</v>
          </cell>
          <cell r="D61">
            <v>62.03</v>
          </cell>
          <cell r="E61">
            <v>0</v>
          </cell>
          <cell r="F61">
            <v>0</v>
          </cell>
          <cell r="G61">
            <v>84.9</v>
          </cell>
          <cell r="H61">
            <v>3140.88</v>
          </cell>
          <cell r="I61">
            <v>1902.03</v>
          </cell>
          <cell r="J61">
            <v>50.22</v>
          </cell>
          <cell r="K61">
            <v>1289.07</v>
          </cell>
          <cell r="L61">
            <v>40.590000000000003</v>
          </cell>
          <cell r="M61">
            <v>0.14000000000000001</v>
          </cell>
        </row>
        <row r="62">
          <cell r="A62" t="str">
            <v>EXATRON</v>
          </cell>
          <cell r="B62">
            <v>6</v>
          </cell>
          <cell r="C62">
            <v>2991</v>
          </cell>
          <cell r="D62">
            <v>49.85</v>
          </cell>
          <cell r="E62">
            <v>0</v>
          </cell>
          <cell r="F62">
            <v>0</v>
          </cell>
          <cell r="G62">
            <v>0</v>
          </cell>
          <cell r="H62">
            <v>2991</v>
          </cell>
          <cell r="I62">
            <v>1689.6</v>
          </cell>
          <cell r="J62">
            <v>0</v>
          </cell>
          <cell r="K62">
            <v>1301.4000000000001</v>
          </cell>
          <cell r="L62">
            <v>43.51</v>
          </cell>
          <cell r="M62">
            <v>0.13</v>
          </cell>
        </row>
        <row r="63">
          <cell r="A63" t="str">
            <v>ALIANÇA</v>
          </cell>
          <cell r="B63">
            <v>4</v>
          </cell>
          <cell r="C63">
            <v>2737.6</v>
          </cell>
          <cell r="D63">
            <v>62.22</v>
          </cell>
          <cell r="E63">
            <v>0</v>
          </cell>
          <cell r="F63">
            <v>0</v>
          </cell>
          <cell r="G63">
            <v>0</v>
          </cell>
          <cell r="H63">
            <v>2737.6</v>
          </cell>
          <cell r="I63">
            <v>1627.2</v>
          </cell>
          <cell r="J63">
            <v>0</v>
          </cell>
          <cell r="K63">
            <v>1110.4000000000001</v>
          </cell>
          <cell r="L63">
            <v>40.56</v>
          </cell>
          <cell r="M63">
            <v>0.12</v>
          </cell>
        </row>
        <row r="64">
          <cell r="A64" t="str">
            <v>PADRAO FORTE</v>
          </cell>
          <cell r="B64">
            <v>12</v>
          </cell>
          <cell r="C64">
            <v>2618.02</v>
          </cell>
          <cell r="D64">
            <v>15.49</v>
          </cell>
          <cell r="E64">
            <v>0</v>
          </cell>
          <cell r="F64">
            <v>0</v>
          </cell>
          <cell r="G64">
            <v>0</v>
          </cell>
          <cell r="H64">
            <v>2618.02</v>
          </cell>
          <cell r="I64">
            <v>1488.6</v>
          </cell>
          <cell r="J64">
            <v>0</v>
          </cell>
          <cell r="K64">
            <v>1129.42</v>
          </cell>
          <cell r="L64">
            <v>43.14</v>
          </cell>
          <cell r="M64">
            <v>0.11</v>
          </cell>
        </row>
        <row r="65">
          <cell r="A65" t="str">
            <v>CENSI</v>
          </cell>
          <cell r="B65">
            <v>14</v>
          </cell>
          <cell r="C65">
            <v>2454.7199999999998</v>
          </cell>
          <cell r="D65">
            <v>20.63</v>
          </cell>
          <cell r="E65">
            <v>0</v>
          </cell>
          <cell r="F65">
            <v>0</v>
          </cell>
          <cell r="G65">
            <v>72.599999999999994</v>
          </cell>
          <cell r="H65">
            <v>2382.12</v>
          </cell>
          <cell r="I65">
            <v>1403.44</v>
          </cell>
          <cell r="J65">
            <v>43.96</v>
          </cell>
          <cell r="K65">
            <v>1022.64</v>
          </cell>
          <cell r="L65">
            <v>42.42</v>
          </cell>
          <cell r="M65">
            <v>0.1</v>
          </cell>
        </row>
        <row r="66">
          <cell r="A66" t="str">
            <v>MARLUVAS</v>
          </cell>
          <cell r="B66">
            <v>5</v>
          </cell>
          <cell r="C66">
            <v>2420.4</v>
          </cell>
          <cell r="D66">
            <v>93.09</v>
          </cell>
          <cell r="E66">
            <v>0</v>
          </cell>
          <cell r="F66">
            <v>0</v>
          </cell>
          <cell r="G66">
            <v>0</v>
          </cell>
          <cell r="H66">
            <v>2420.4</v>
          </cell>
          <cell r="I66">
            <v>1406.21</v>
          </cell>
          <cell r="J66">
            <v>0</v>
          </cell>
          <cell r="K66">
            <v>1014.19</v>
          </cell>
          <cell r="L66">
            <v>41.9</v>
          </cell>
          <cell r="M66">
            <v>0.1</v>
          </cell>
        </row>
        <row r="67">
          <cell r="A67" t="str">
            <v>METALOSA</v>
          </cell>
          <cell r="B67">
            <v>3</v>
          </cell>
          <cell r="C67">
            <v>2247.1999999999998</v>
          </cell>
          <cell r="D67">
            <v>204.29</v>
          </cell>
          <cell r="E67">
            <v>0</v>
          </cell>
          <cell r="F67">
            <v>0</v>
          </cell>
          <cell r="G67">
            <v>0</v>
          </cell>
          <cell r="H67">
            <v>2247.1999999999998</v>
          </cell>
          <cell r="I67">
            <v>1292.1300000000001</v>
          </cell>
          <cell r="J67">
            <v>0</v>
          </cell>
          <cell r="K67">
            <v>955.07</v>
          </cell>
          <cell r="L67">
            <v>42.5</v>
          </cell>
          <cell r="M67">
            <v>0.09</v>
          </cell>
        </row>
        <row r="68">
          <cell r="A68" t="str">
            <v>TAF</v>
          </cell>
          <cell r="B68">
            <v>5</v>
          </cell>
          <cell r="C68">
            <v>2055.9</v>
          </cell>
          <cell r="D68">
            <v>21.42</v>
          </cell>
          <cell r="E68">
            <v>0</v>
          </cell>
          <cell r="F68">
            <v>0</v>
          </cell>
          <cell r="G68">
            <v>18.2</v>
          </cell>
          <cell r="H68">
            <v>2037.7</v>
          </cell>
          <cell r="I68">
            <v>1129.3</v>
          </cell>
          <cell r="J68">
            <v>10.52</v>
          </cell>
          <cell r="K68">
            <v>918.92</v>
          </cell>
          <cell r="L68">
            <v>44.93</v>
          </cell>
          <cell r="M68">
            <v>0.09</v>
          </cell>
        </row>
        <row r="69">
          <cell r="A69" t="str">
            <v>TRAMONTINA</v>
          </cell>
          <cell r="B69">
            <v>4</v>
          </cell>
          <cell r="C69">
            <v>1844.52</v>
          </cell>
          <cell r="D69">
            <v>92.23</v>
          </cell>
          <cell r="E69">
            <v>0</v>
          </cell>
          <cell r="F69">
            <v>0</v>
          </cell>
          <cell r="G69">
            <v>0</v>
          </cell>
          <cell r="H69">
            <v>1844.52</v>
          </cell>
          <cell r="I69">
            <v>1054.7</v>
          </cell>
          <cell r="J69">
            <v>0</v>
          </cell>
          <cell r="K69">
            <v>789.82</v>
          </cell>
          <cell r="L69">
            <v>42.82</v>
          </cell>
          <cell r="M69">
            <v>0.08</v>
          </cell>
        </row>
        <row r="70">
          <cell r="A70" t="str">
            <v>KRONA</v>
          </cell>
          <cell r="B70">
            <v>11</v>
          </cell>
          <cell r="C70">
            <v>1696.13</v>
          </cell>
          <cell r="D70">
            <v>9.48</v>
          </cell>
          <cell r="E70">
            <v>0</v>
          </cell>
          <cell r="F70">
            <v>0</v>
          </cell>
          <cell r="G70">
            <v>56.3</v>
          </cell>
          <cell r="H70">
            <v>1639.83</v>
          </cell>
          <cell r="I70">
            <v>929.29</v>
          </cell>
          <cell r="J70">
            <v>28.79</v>
          </cell>
          <cell r="K70">
            <v>739.33</v>
          </cell>
          <cell r="L70">
            <v>44.34</v>
          </cell>
          <cell r="M70">
            <v>7.0000000000000007E-2</v>
          </cell>
        </row>
        <row r="71">
          <cell r="A71" t="str">
            <v>ONDULINE</v>
          </cell>
          <cell r="B71">
            <v>3</v>
          </cell>
          <cell r="C71">
            <v>1479.86</v>
          </cell>
          <cell r="D71">
            <v>92.49</v>
          </cell>
          <cell r="E71">
            <v>0</v>
          </cell>
          <cell r="F71">
            <v>0</v>
          </cell>
          <cell r="G71">
            <v>0</v>
          </cell>
          <cell r="H71">
            <v>1479.86</v>
          </cell>
          <cell r="I71">
            <v>1012.96</v>
          </cell>
          <cell r="J71">
            <v>0</v>
          </cell>
          <cell r="K71">
            <v>466.9</v>
          </cell>
          <cell r="L71">
            <v>31.55</v>
          </cell>
          <cell r="M71">
            <v>0.06</v>
          </cell>
        </row>
        <row r="72">
          <cell r="A72" t="str">
            <v>ULTRA CLEAN</v>
          </cell>
          <cell r="B72">
            <v>7</v>
          </cell>
          <cell r="C72">
            <v>1340.5</v>
          </cell>
          <cell r="D72">
            <v>22.72</v>
          </cell>
          <cell r="E72">
            <v>0</v>
          </cell>
          <cell r="F72">
            <v>0</v>
          </cell>
          <cell r="G72">
            <v>0</v>
          </cell>
          <cell r="H72">
            <v>1340.5</v>
          </cell>
          <cell r="I72">
            <v>857.61</v>
          </cell>
          <cell r="J72">
            <v>0</v>
          </cell>
          <cell r="K72">
            <v>482.89</v>
          </cell>
          <cell r="L72">
            <v>36.020000000000003</v>
          </cell>
          <cell r="M72">
            <v>0.06</v>
          </cell>
        </row>
        <row r="73">
          <cell r="A73" t="str">
            <v>ASTRA</v>
          </cell>
          <cell r="B73">
            <v>7</v>
          </cell>
          <cell r="C73">
            <v>1075.1199999999999</v>
          </cell>
          <cell r="D73">
            <v>24.43</v>
          </cell>
          <cell r="E73">
            <v>0</v>
          </cell>
          <cell r="F73">
            <v>0</v>
          </cell>
          <cell r="G73">
            <v>34.9</v>
          </cell>
          <cell r="H73">
            <v>1040.22</v>
          </cell>
          <cell r="I73">
            <v>610.62</v>
          </cell>
          <cell r="J73">
            <v>19.68</v>
          </cell>
          <cell r="K73">
            <v>449.28</v>
          </cell>
          <cell r="L73">
            <v>42.57</v>
          </cell>
          <cell r="M73">
            <v>0.05</v>
          </cell>
        </row>
        <row r="74">
          <cell r="A74" t="str">
            <v>ORBI QUIMICA LTDA</v>
          </cell>
          <cell r="B74">
            <v>7</v>
          </cell>
          <cell r="C74">
            <v>953.8</v>
          </cell>
          <cell r="D74">
            <v>16.170000000000002</v>
          </cell>
          <cell r="E74">
            <v>0</v>
          </cell>
          <cell r="F74">
            <v>0</v>
          </cell>
          <cell r="G74">
            <v>0</v>
          </cell>
          <cell r="H74">
            <v>953.8</v>
          </cell>
          <cell r="I74">
            <v>499.84</v>
          </cell>
          <cell r="J74">
            <v>0</v>
          </cell>
          <cell r="K74">
            <v>453.96</v>
          </cell>
          <cell r="L74">
            <v>47.59</v>
          </cell>
          <cell r="M74">
            <v>0.04</v>
          </cell>
        </row>
        <row r="75">
          <cell r="A75" t="str">
            <v>COZIMAX</v>
          </cell>
          <cell r="B75">
            <v>4</v>
          </cell>
          <cell r="C75">
            <v>853.76</v>
          </cell>
          <cell r="D75">
            <v>121.97</v>
          </cell>
          <cell r="E75">
            <v>0</v>
          </cell>
          <cell r="F75">
            <v>0</v>
          </cell>
          <cell r="G75">
            <v>0</v>
          </cell>
          <cell r="H75">
            <v>853.76</v>
          </cell>
          <cell r="I75">
            <v>517.96</v>
          </cell>
          <cell r="J75">
            <v>0</v>
          </cell>
          <cell r="K75">
            <v>335.8</v>
          </cell>
          <cell r="L75">
            <v>39.33</v>
          </cell>
          <cell r="M75">
            <v>0.04</v>
          </cell>
        </row>
        <row r="76">
          <cell r="A76" t="str">
            <v>LGMAIS</v>
          </cell>
          <cell r="B76">
            <v>4</v>
          </cell>
          <cell r="C76">
            <v>849.8</v>
          </cell>
          <cell r="D76">
            <v>121.4</v>
          </cell>
          <cell r="E76">
            <v>0</v>
          </cell>
          <cell r="F76">
            <v>0</v>
          </cell>
          <cell r="G76">
            <v>0</v>
          </cell>
          <cell r="H76">
            <v>849.8</v>
          </cell>
          <cell r="I76">
            <v>510.89</v>
          </cell>
          <cell r="J76">
            <v>0</v>
          </cell>
          <cell r="K76">
            <v>338.91</v>
          </cell>
          <cell r="L76">
            <v>39.880000000000003</v>
          </cell>
          <cell r="M76">
            <v>0.04</v>
          </cell>
        </row>
        <row r="77">
          <cell r="A77" t="str">
            <v>ULTRACLEAN</v>
          </cell>
          <cell r="B77">
            <v>6</v>
          </cell>
          <cell r="C77">
            <v>843.69</v>
          </cell>
          <cell r="D77">
            <v>22.2</v>
          </cell>
          <cell r="E77">
            <v>0</v>
          </cell>
          <cell r="F77">
            <v>0</v>
          </cell>
          <cell r="G77">
            <v>0</v>
          </cell>
          <cell r="H77">
            <v>843.69</v>
          </cell>
          <cell r="I77">
            <v>508.07</v>
          </cell>
          <cell r="J77">
            <v>0</v>
          </cell>
          <cell r="K77">
            <v>335.62</v>
          </cell>
          <cell r="L77">
            <v>39.78</v>
          </cell>
          <cell r="M77">
            <v>0.04</v>
          </cell>
        </row>
        <row r="78">
          <cell r="A78" t="str">
            <v>BOTAFOGO</v>
          </cell>
          <cell r="B78">
            <v>1</v>
          </cell>
          <cell r="C78">
            <v>819</v>
          </cell>
          <cell r="D78">
            <v>819</v>
          </cell>
          <cell r="E78">
            <v>0</v>
          </cell>
          <cell r="F78">
            <v>0</v>
          </cell>
          <cell r="G78">
            <v>0</v>
          </cell>
          <cell r="H78">
            <v>819</v>
          </cell>
          <cell r="I78">
            <v>462.43</v>
          </cell>
          <cell r="J78">
            <v>0</v>
          </cell>
          <cell r="K78">
            <v>356.57</v>
          </cell>
          <cell r="L78">
            <v>43.54</v>
          </cell>
          <cell r="M78">
            <v>0.03</v>
          </cell>
        </row>
        <row r="79">
          <cell r="A79" t="str">
            <v>FRANKLIN</v>
          </cell>
          <cell r="B79">
            <v>1</v>
          </cell>
          <cell r="C79">
            <v>799.9</v>
          </cell>
          <cell r="D79">
            <v>799.9</v>
          </cell>
          <cell r="E79">
            <v>0</v>
          </cell>
          <cell r="F79">
            <v>0</v>
          </cell>
          <cell r="G79">
            <v>0</v>
          </cell>
          <cell r="H79">
            <v>799.9</v>
          </cell>
          <cell r="I79">
            <v>509.13</v>
          </cell>
          <cell r="J79">
            <v>0</v>
          </cell>
          <cell r="K79">
            <v>290.77</v>
          </cell>
          <cell r="L79">
            <v>36.35</v>
          </cell>
          <cell r="M79">
            <v>0.03</v>
          </cell>
        </row>
        <row r="80">
          <cell r="A80" t="str">
            <v>KALIPSO</v>
          </cell>
          <cell r="B80">
            <v>4</v>
          </cell>
          <cell r="C80">
            <v>774.15</v>
          </cell>
          <cell r="D80">
            <v>7.74</v>
          </cell>
          <cell r="E80">
            <v>0</v>
          </cell>
          <cell r="F80">
            <v>0</v>
          </cell>
          <cell r="G80">
            <v>0</v>
          </cell>
          <cell r="H80">
            <v>774.15</v>
          </cell>
          <cell r="I80">
            <v>369.94</v>
          </cell>
          <cell r="J80">
            <v>0</v>
          </cell>
          <cell r="K80">
            <v>404.21</v>
          </cell>
          <cell r="L80">
            <v>52.21</v>
          </cell>
          <cell r="M80">
            <v>0.03</v>
          </cell>
        </row>
        <row r="81">
          <cell r="A81" t="str">
            <v>DISTAC</v>
          </cell>
          <cell r="B81">
            <v>4</v>
          </cell>
          <cell r="C81">
            <v>713.2</v>
          </cell>
          <cell r="D81">
            <v>10.49</v>
          </cell>
          <cell r="E81">
            <v>0</v>
          </cell>
          <cell r="F81">
            <v>0</v>
          </cell>
          <cell r="G81">
            <v>0</v>
          </cell>
          <cell r="H81">
            <v>713.2</v>
          </cell>
          <cell r="I81">
            <v>355.16</v>
          </cell>
          <cell r="J81">
            <v>0</v>
          </cell>
          <cell r="K81">
            <v>358.04</v>
          </cell>
          <cell r="L81">
            <v>50.2</v>
          </cell>
          <cell r="M81">
            <v>0.03</v>
          </cell>
        </row>
        <row r="82">
          <cell r="A82" t="str">
            <v>SECALUX</v>
          </cell>
          <cell r="B82">
            <v>4</v>
          </cell>
          <cell r="C82">
            <v>708.3</v>
          </cell>
          <cell r="D82">
            <v>41.66</v>
          </cell>
          <cell r="E82">
            <v>0</v>
          </cell>
          <cell r="F82">
            <v>0</v>
          </cell>
          <cell r="G82">
            <v>91.3</v>
          </cell>
          <cell r="H82">
            <v>617</v>
          </cell>
          <cell r="I82">
            <v>432.44</v>
          </cell>
          <cell r="J82">
            <v>53.56</v>
          </cell>
          <cell r="K82">
            <v>238.12</v>
          </cell>
          <cell r="L82">
            <v>36.369999999999997</v>
          </cell>
          <cell r="M82">
            <v>0.03</v>
          </cell>
        </row>
        <row r="83">
          <cell r="A83" t="str">
            <v>PAMESA</v>
          </cell>
          <cell r="B83">
            <v>2</v>
          </cell>
          <cell r="C83">
            <v>692.29840000000002</v>
          </cell>
          <cell r="D83">
            <v>30.74</v>
          </cell>
          <cell r="E83">
            <v>0</v>
          </cell>
          <cell r="F83">
            <v>0</v>
          </cell>
          <cell r="G83">
            <v>0</v>
          </cell>
          <cell r="H83">
            <v>692.29840000000002</v>
          </cell>
          <cell r="I83">
            <v>612.46799999999996</v>
          </cell>
          <cell r="J83">
            <v>0</v>
          </cell>
          <cell r="K83">
            <v>79.830399999999997</v>
          </cell>
          <cell r="L83">
            <v>11.53</v>
          </cell>
          <cell r="M83">
            <v>0.03</v>
          </cell>
        </row>
        <row r="84">
          <cell r="A84" t="str">
            <v>ILUMI</v>
          </cell>
          <cell r="B84">
            <v>5</v>
          </cell>
          <cell r="C84">
            <v>540.49</v>
          </cell>
          <cell r="D84">
            <v>10.39</v>
          </cell>
          <cell r="E84">
            <v>0</v>
          </cell>
          <cell r="F84">
            <v>0</v>
          </cell>
          <cell r="G84">
            <v>0</v>
          </cell>
          <cell r="H84">
            <v>540.49</v>
          </cell>
          <cell r="I84">
            <v>283.33</v>
          </cell>
          <cell r="J84">
            <v>0</v>
          </cell>
          <cell r="K84">
            <v>257.16000000000003</v>
          </cell>
          <cell r="L84">
            <v>47.58</v>
          </cell>
          <cell r="M84">
            <v>0.02</v>
          </cell>
        </row>
        <row r="85">
          <cell r="A85" t="str">
            <v>ARCELORMITTAL</v>
          </cell>
          <cell r="B85">
            <v>4</v>
          </cell>
          <cell r="C85">
            <v>504.77</v>
          </cell>
          <cell r="D85">
            <v>26.57</v>
          </cell>
          <cell r="E85">
            <v>0</v>
          </cell>
          <cell r="F85">
            <v>0</v>
          </cell>
          <cell r="G85">
            <v>0</v>
          </cell>
          <cell r="H85">
            <v>504.77</v>
          </cell>
          <cell r="I85">
            <v>285.19</v>
          </cell>
          <cell r="J85">
            <v>0</v>
          </cell>
          <cell r="K85">
            <v>219.58</v>
          </cell>
          <cell r="L85">
            <v>43.5</v>
          </cell>
          <cell r="M85">
            <v>0.02</v>
          </cell>
        </row>
        <row r="86">
          <cell r="A86" t="str">
            <v>KDK PORTAS</v>
          </cell>
          <cell r="B86">
            <v>2</v>
          </cell>
          <cell r="C86">
            <v>467.16</v>
          </cell>
          <cell r="D86">
            <v>155.72</v>
          </cell>
          <cell r="E86">
            <v>0</v>
          </cell>
          <cell r="F86">
            <v>0</v>
          </cell>
          <cell r="G86">
            <v>158.9</v>
          </cell>
          <cell r="H86">
            <v>308.26</v>
          </cell>
          <cell r="I86">
            <v>272.16000000000003</v>
          </cell>
          <cell r="J86">
            <v>90.72</v>
          </cell>
          <cell r="K86">
            <v>126.82</v>
          </cell>
          <cell r="L86">
            <v>33.69</v>
          </cell>
          <cell r="M86">
            <v>0.02</v>
          </cell>
        </row>
        <row r="87">
          <cell r="A87" t="str">
            <v>TOP MIX</v>
          </cell>
          <cell r="B87">
            <v>1</v>
          </cell>
          <cell r="C87">
            <v>455.9</v>
          </cell>
          <cell r="D87">
            <v>455.9</v>
          </cell>
          <cell r="E87">
            <v>0</v>
          </cell>
          <cell r="F87">
            <v>0</v>
          </cell>
          <cell r="G87">
            <v>0</v>
          </cell>
          <cell r="H87">
            <v>455.9</v>
          </cell>
          <cell r="I87">
            <v>260.52999999999997</v>
          </cell>
          <cell r="J87">
            <v>0</v>
          </cell>
          <cell r="K87">
            <v>195.37</v>
          </cell>
          <cell r="L87">
            <v>42.85</v>
          </cell>
          <cell r="M87">
            <v>0.02</v>
          </cell>
        </row>
        <row r="88">
          <cell r="A88" t="str">
            <v>VONDER</v>
          </cell>
          <cell r="B88">
            <v>4</v>
          </cell>
          <cell r="C88">
            <v>419</v>
          </cell>
          <cell r="D88">
            <v>22.05</v>
          </cell>
          <cell r="E88">
            <v>0</v>
          </cell>
          <cell r="F88">
            <v>0</v>
          </cell>
          <cell r="G88">
            <v>18.7</v>
          </cell>
          <cell r="H88">
            <v>400.3</v>
          </cell>
          <cell r="I88">
            <v>217.68</v>
          </cell>
          <cell r="J88">
            <v>6.65</v>
          </cell>
          <cell r="K88">
            <v>189.27</v>
          </cell>
          <cell r="L88">
            <v>45.9</v>
          </cell>
          <cell r="M88">
            <v>0.02</v>
          </cell>
        </row>
        <row r="89">
          <cell r="A89" t="str">
            <v>CERBRAS</v>
          </cell>
          <cell r="B89">
            <v>1</v>
          </cell>
          <cell r="C89">
            <v>404.49200000000002</v>
          </cell>
          <cell r="D89">
            <v>69.739999999999995</v>
          </cell>
          <cell r="E89">
            <v>0</v>
          </cell>
          <cell r="F89">
            <v>0</v>
          </cell>
          <cell r="G89">
            <v>0</v>
          </cell>
          <cell r="H89">
            <v>404.49200000000002</v>
          </cell>
          <cell r="I89">
            <v>264.82799999999997</v>
          </cell>
          <cell r="J89">
            <v>0</v>
          </cell>
          <cell r="K89">
            <v>139.66399999999999</v>
          </cell>
          <cell r="L89">
            <v>34.53</v>
          </cell>
          <cell r="M89">
            <v>0.02</v>
          </cell>
        </row>
        <row r="90">
          <cell r="A90" t="str">
            <v>ANJO TINTAS E SOLVENTES</v>
          </cell>
          <cell r="B90">
            <v>4</v>
          </cell>
          <cell r="C90">
            <v>372.25</v>
          </cell>
          <cell r="D90">
            <v>24.82</v>
          </cell>
          <cell r="E90">
            <v>0</v>
          </cell>
          <cell r="F90">
            <v>0</v>
          </cell>
          <cell r="G90">
            <v>0</v>
          </cell>
          <cell r="H90">
            <v>372.25</v>
          </cell>
          <cell r="I90">
            <v>253.14</v>
          </cell>
          <cell r="J90">
            <v>0</v>
          </cell>
          <cell r="K90">
            <v>119.11</v>
          </cell>
          <cell r="L90">
            <v>32</v>
          </cell>
          <cell r="M90">
            <v>0.02</v>
          </cell>
        </row>
        <row r="91">
          <cell r="A91" t="str">
            <v>Max-Giro</v>
          </cell>
          <cell r="B91">
            <v>3</v>
          </cell>
          <cell r="C91">
            <v>356.25</v>
          </cell>
          <cell r="D91">
            <v>12.72</v>
          </cell>
          <cell r="E91">
            <v>0</v>
          </cell>
          <cell r="F91">
            <v>0</v>
          </cell>
          <cell r="G91">
            <v>0</v>
          </cell>
          <cell r="H91">
            <v>356.25</v>
          </cell>
          <cell r="I91">
            <v>203.45</v>
          </cell>
          <cell r="J91">
            <v>0</v>
          </cell>
          <cell r="K91">
            <v>152.80000000000001</v>
          </cell>
          <cell r="L91">
            <v>42.89</v>
          </cell>
          <cell r="M91">
            <v>0.02</v>
          </cell>
        </row>
        <row r="92">
          <cell r="A92" t="str">
            <v>STARRETT INDUSTRIA E COMERCIO</v>
          </cell>
          <cell r="B92">
            <v>5</v>
          </cell>
          <cell r="C92">
            <v>350.68</v>
          </cell>
          <cell r="D92">
            <v>14.03</v>
          </cell>
          <cell r="E92">
            <v>0</v>
          </cell>
          <cell r="F92">
            <v>0</v>
          </cell>
          <cell r="G92">
            <v>0</v>
          </cell>
          <cell r="H92">
            <v>350.68</v>
          </cell>
          <cell r="I92">
            <v>193.3</v>
          </cell>
          <cell r="J92">
            <v>0</v>
          </cell>
          <cell r="K92">
            <v>157.38</v>
          </cell>
          <cell r="L92">
            <v>44.88</v>
          </cell>
          <cell r="M92">
            <v>0.01</v>
          </cell>
        </row>
        <row r="93">
          <cell r="A93" t="str">
            <v>ARAFORROS</v>
          </cell>
          <cell r="B93">
            <v>1</v>
          </cell>
          <cell r="C93">
            <v>347.7</v>
          </cell>
          <cell r="D93">
            <v>115.9</v>
          </cell>
          <cell r="E93">
            <v>0</v>
          </cell>
          <cell r="F93">
            <v>0</v>
          </cell>
          <cell r="G93">
            <v>0</v>
          </cell>
          <cell r="H93">
            <v>347.7</v>
          </cell>
          <cell r="I93">
            <v>207.44</v>
          </cell>
          <cell r="J93">
            <v>0</v>
          </cell>
          <cell r="K93">
            <v>140.26</v>
          </cell>
          <cell r="L93">
            <v>40.340000000000003</v>
          </cell>
          <cell r="M93">
            <v>0.01</v>
          </cell>
        </row>
        <row r="94">
          <cell r="A94" t="str">
            <v>BRASFORT</v>
          </cell>
          <cell r="B94">
            <v>3</v>
          </cell>
          <cell r="C94">
            <v>316.89</v>
          </cell>
          <cell r="D94">
            <v>18.64</v>
          </cell>
          <cell r="E94">
            <v>0</v>
          </cell>
          <cell r="F94">
            <v>0</v>
          </cell>
          <cell r="G94">
            <v>0</v>
          </cell>
          <cell r="H94">
            <v>316.89</v>
          </cell>
          <cell r="I94">
            <v>187.49</v>
          </cell>
          <cell r="J94">
            <v>0</v>
          </cell>
          <cell r="K94">
            <v>129.4</v>
          </cell>
          <cell r="L94">
            <v>40.83</v>
          </cell>
          <cell r="M94">
            <v>0.01</v>
          </cell>
        </row>
        <row r="95">
          <cell r="A95" t="str">
            <v>GERDAU</v>
          </cell>
          <cell r="B95">
            <v>2</v>
          </cell>
          <cell r="C95">
            <v>274</v>
          </cell>
          <cell r="D95">
            <v>27.4</v>
          </cell>
          <cell r="E95">
            <v>0</v>
          </cell>
          <cell r="F95">
            <v>0</v>
          </cell>
          <cell r="G95">
            <v>0</v>
          </cell>
          <cell r="H95">
            <v>274</v>
          </cell>
          <cell r="I95">
            <v>139</v>
          </cell>
          <cell r="J95">
            <v>0</v>
          </cell>
          <cell r="K95">
            <v>135</v>
          </cell>
          <cell r="L95">
            <v>49.27</v>
          </cell>
          <cell r="M95">
            <v>0.01</v>
          </cell>
        </row>
        <row r="96">
          <cell r="A96" t="str">
            <v>BOSCH</v>
          </cell>
          <cell r="B96">
            <v>3</v>
          </cell>
          <cell r="C96">
            <v>264.5</v>
          </cell>
          <cell r="D96">
            <v>52.9</v>
          </cell>
          <cell r="E96">
            <v>0</v>
          </cell>
          <cell r="F96">
            <v>0</v>
          </cell>
          <cell r="G96">
            <v>0</v>
          </cell>
          <cell r="H96">
            <v>264.5</v>
          </cell>
          <cell r="I96">
            <v>158.99</v>
          </cell>
          <cell r="J96">
            <v>0</v>
          </cell>
          <cell r="K96">
            <v>105.51</v>
          </cell>
          <cell r="L96">
            <v>39.89</v>
          </cell>
          <cell r="M96">
            <v>0.01</v>
          </cell>
        </row>
        <row r="97">
          <cell r="A97" t="str">
            <v>GARDENLIFE</v>
          </cell>
          <cell r="B97">
            <v>1</v>
          </cell>
          <cell r="C97">
            <v>249.6</v>
          </cell>
          <cell r="D97">
            <v>62.4</v>
          </cell>
          <cell r="E97">
            <v>0</v>
          </cell>
          <cell r="F97">
            <v>0</v>
          </cell>
          <cell r="G97">
            <v>0</v>
          </cell>
          <cell r="H97">
            <v>249.6</v>
          </cell>
          <cell r="I97">
            <v>156.26</v>
          </cell>
          <cell r="J97">
            <v>0</v>
          </cell>
          <cell r="K97">
            <v>93.34</v>
          </cell>
          <cell r="L97">
            <v>37.4</v>
          </cell>
          <cell r="M97">
            <v>0.01</v>
          </cell>
        </row>
        <row r="98">
          <cell r="A98" t="str">
            <v>TRAMONTINA ELETRIK S.A.</v>
          </cell>
          <cell r="B98">
            <v>2</v>
          </cell>
          <cell r="C98">
            <v>237.87</v>
          </cell>
          <cell r="D98">
            <v>18.3</v>
          </cell>
          <cell r="E98">
            <v>0</v>
          </cell>
          <cell r="F98">
            <v>0</v>
          </cell>
          <cell r="G98">
            <v>37.799999999999997</v>
          </cell>
          <cell r="H98">
            <v>200.07</v>
          </cell>
          <cell r="I98">
            <v>143.19999999999999</v>
          </cell>
          <cell r="J98">
            <v>23.16</v>
          </cell>
          <cell r="K98">
            <v>80.03</v>
          </cell>
          <cell r="L98">
            <v>37.270000000000003</v>
          </cell>
          <cell r="M98">
            <v>0.01</v>
          </cell>
        </row>
        <row r="99">
          <cell r="A99" t="str">
            <v>PINTSILK</v>
          </cell>
          <cell r="B99">
            <v>1</v>
          </cell>
          <cell r="C99">
            <v>225.8</v>
          </cell>
          <cell r="D99">
            <v>112.9</v>
          </cell>
          <cell r="E99">
            <v>0</v>
          </cell>
          <cell r="F99">
            <v>0</v>
          </cell>
          <cell r="G99">
            <v>0</v>
          </cell>
          <cell r="H99">
            <v>225.8</v>
          </cell>
          <cell r="I99">
            <v>122.54</v>
          </cell>
          <cell r="J99">
            <v>0</v>
          </cell>
          <cell r="K99">
            <v>103.26</v>
          </cell>
          <cell r="L99">
            <v>45.73</v>
          </cell>
          <cell r="M99">
            <v>0.01</v>
          </cell>
        </row>
        <row r="100">
          <cell r="A100" t="str">
            <v>ATTENA</v>
          </cell>
          <cell r="B100">
            <v>1</v>
          </cell>
          <cell r="C100">
            <v>199</v>
          </cell>
          <cell r="D100">
            <v>99.5</v>
          </cell>
          <cell r="E100">
            <v>0</v>
          </cell>
          <cell r="F100">
            <v>0</v>
          </cell>
          <cell r="G100">
            <v>0</v>
          </cell>
          <cell r="H100">
            <v>199</v>
          </cell>
          <cell r="I100">
            <v>398</v>
          </cell>
          <cell r="J100">
            <v>0</v>
          </cell>
          <cell r="K100">
            <v>-199</v>
          </cell>
          <cell r="L100">
            <v>0</v>
          </cell>
          <cell r="M100">
            <v>0.01</v>
          </cell>
        </row>
        <row r="101">
          <cell r="A101" t="str">
            <v>RANCAN</v>
          </cell>
          <cell r="B101">
            <v>1</v>
          </cell>
          <cell r="C101">
            <v>179.7</v>
          </cell>
          <cell r="D101">
            <v>59.9</v>
          </cell>
          <cell r="E101">
            <v>0</v>
          </cell>
          <cell r="F101">
            <v>0</v>
          </cell>
          <cell r="G101">
            <v>0</v>
          </cell>
          <cell r="H101">
            <v>179.7</v>
          </cell>
          <cell r="I101">
            <v>94.05</v>
          </cell>
          <cell r="J101">
            <v>0</v>
          </cell>
          <cell r="K101">
            <v>85.65</v>
          </cell>
          <cell r="L101">
            <v>47.66</v>
          </cell>
          <cell r="M101">
            <v>0.01</v>
          </cell>
        </row>
        <row r="102">
          <cell r="A102" t="str">
            <v>GABRIELLA</v>
          </cell>
          <cell r="B102">
            <v>1</v>
          </cell>
          <cell r="C102">
            <v>173.4</v>
          </cell>
          <cell r="D102">
            <v>28.9</v>
          </cell>
          <cell r="E102">
            <v>0</v>
          </cell>
          <cell r="F102">
            <v>0</v>
          </cell>
          <cell r="G102">
            <v>95.7</v>
          </cell>
          <cell r="H102">
            <v>77.7</v>
          </cell>
          <cell r="I102">
            <v>108.21</v>
          </cell>
          <cell r="J102">
            <v>58.8</v>
          </cell>
          <cell r="K102">
            <v>28.29</v>
          </cell>
          <cell r="L102">
            <v>24.69</v>
          </cell>
          <cell r="M102">
            <v>0.01</v>
          </cell>
        </row>
        <row r="103">
          <cell r="A103" t="str">
            <v>J LOBATO</v>
          </cell>
          <cell r="B103">
            <v>3</v>
          </cell>
          <cell r="C103">
            <v>166.45</v>
          </cell>
          <cell r="D103">
            <v>33.29</v>
          </cell>
          <cell r="E103">
            <v>0</v>
          </cell>
          <cell r="F103">
            <v>0</v>
          </cell>
          <cell r="G103">
            <v>0</v>
          </cell>
          <cell r="H103">
            <v>166.45</v>
          </cell>
          <cell r="I103">
            <v>75.099999999999994</v>
          </cell>
          <cell r="J103">
            <v>0</v>
          </cell>
          <cell r="K103">
            <v>91.35</v>
          </cell>
          <cell r="L103">
            <v>54.88</v>
          </cell>
          <cell r="M103">
            <v>0.01</v>
          </cell>
        </row>
        <row r="104">
          <cell r="A104" t="str">
            <v>LEDAN</v>
          </cell>
          <cell r="B104">
            <v>2</v>
          </cell>
          <cell r="C104">
            <v>163.98</v>
          </cell>
          <cell r="D104">
            <v>10.93</v>
          </cell>
          <cell r="E104">
            <v>0</v>
          </cell>
          <cell r="F104">
            <v>0</v>
          </cell>
          <cell r="G104">
            <v>0</v>
          </cell>
          <cell r="H104">
            <v>163.98</v>
          </cell>
          <cell r="I104">
            <v>107.56</v>
          </cell>
          <cell r="J104">
            <v>0</v>
          </cell>
          <cell r="K104">
            <v>56.42</v>
          </cell>
          <cell r="L104">
            <v>34.409999999999997</v>
          </cell>
          <cell r="M104">
            <v>0.01</v>
          </cell>
        </row>
        <row r="105">
          <cell r="A105" t="str">
            <v>INCA</v>
          </cell>
          <cell r="B105">
            <v>3</v>
          </cell>
          <cell r="C105">
            <v>163.19999999999999</v>
          </cell>
          <cell r="D105">
            <v>11.66</v>
          </cell>
          <cell r="E105">
            <v>0</v>
          </cell>
          <cell r="F105">
            <v>0</v>
          </cell>
          <cell r="G105">
            <v>0</v>
          </cell>
          <cell r="H105">
            <v>163.19999999999999</v>
          </cell>
          <cell r="I105">
            <v>85.04</v>
          </cell>
          <cell r="J105">
            <v>0</v>
          </cell>
          <cell r="K105">
            <v>78.16</v>
          </cell>
          <cell r="L105">
            <v>47.89</v>
          </cell>
          <cell r="M105">
            <v>0.01</v>
          </cell>
        </row>
        <row r="106">
          <cell r="A106" t="str">
            <v>EXTRALUX</v>
          </cell>
          <cell r="B106">
            <v>2</v>
          </cell>
          <cell r="C106">
            <v>153.80000000000001</v>
          </cell>
          <cell r="D106">
            <v>76.900000000000006</v>
          </cell>
          <cell r="E106">
            <v>0</v>
          </cell>
          <cell r="F106">
            <v>0</v>
          </cell>
          <cell r="G106">
            <v>0</v>
          </cell>
          <cell r="H106">
            <v>153.80000000000001</v>
          </cell>
          <cell r="I106">
            <v>97.74</v>
          </cell>
          <cell r="J106">
            <v>0</v>
          </cell>
          <cell r="K106">
            <v>56.06</v>
          </cell>
          <cell r="L106">
            <v>36.450000000000003</v>
          </cell>
          <cell r="M106">
            <v>0.01</v>
          </cell>
        </row>
        <row r="107">
          <cell r="A107" t="str">
            <v>FORTLINE</v>
          </cell>
          <cell r="B107">
            <v>1</v>
          </cell>
          <cell r="C107">
            <v>139.9</v>
          </cell>
          <cell r="D107">
            <v>139.9</v>
          </cell>
          <cell r="E107">
            <v>0</v>
          </cell>
          <cell r="F107">
            <v>0</v>
          </cell>
          <cell r="G107">
            <v>0</v>
          </cell>
          <cell r="H107">
            <v>139.9</v>
          </cell>
          <cell r="I107">
            <v>83.54</v>
          </cell>
          <cell r="J107">
            <v>0</v>
          </cell>
          <cell r="K107">
            <v>56.36</v>
          </cell>
          <cell r="L107">
            <v>40.29</v>
          </cell>
          <cell r="M107">
            <v>0.01</v>
          </cell>
        </row>
        <row r="108">
          <cell r="A108" t="str">
            <v>COMFORT DOOR</v>
          </cell>
          <cell r="B108">
            <v>2</v>
          </cell>
          <cell r="C108">
            <v>134.5</v>
          </cell>
          <cell r="D108">
            <v>26.9</v>
          </cell>
          <cell r="E108">
            <v>0</v>
          </cell>
          <cell r="F108">
            <v>0</v>
          </cell>
          <cell r="G108">
            <v>0</v>
          </cell>
          <cell r="H108">
            <v>134.5</v>
          </cell>
          <cell r="I108">
            <v>73.95</v>
          </cell>
          <cell r="J108">
            <v>0</v>
          </cell>
          <cell r="K108">
            <v>60.55</v>
          </cell>
          <cell r="L108">
            <v>45.02</v>
          </cell>
          <cell r="M108">
            <v>0.01</v>
          </cell>
        </row>
        <row r="109">
          <cell r="A109" t="str">
            <v>STAM</v>
          </cell>
          <cell r="B109">
            <v>1</v>
          </cell>
          <cell r="C109">
            <v>116.9</v>
          </cell>
          <cell r="D109">
            <v>116.9</v>
          </cell>
          <cell r="E109">
            <v>0</v>
          </cell>
          <cell r="F109">
            <v>0</v>
          </cell>
          <cell r="G109">
            <v>0</v>
          </cell>
          <cell r="H109">
            <v>116.9</v>
          </cell>
          <cell r="I109">
            <v>65.88</v>
          </cell>
          <cell r="J109">
            <v>0</v>
          </cell>
          <cell r="K109">
            <v>51.02</v>
          </cell>
          <cell r="L109">
            <v>43.64</v>
          </cell>
          <cell r="M109">
            <v>0</v>
          </cell>
        </row>
        <row r="110">
          <cell r="A110" t="str">
            <v xml:space="preserve"> RESISWAL</v>
          </cell>
          <cell r="B110">
            <v>1</v>
          </cell>
          <cell r="C110">
            <v>107.8</v>
          </cell>
          <cell r="D110">
            <v>53.9</v>
          </cell>
          <cell r="E110">
            <v>0</v>
          </cell>
          <cell r="F110">
            <v>0</v>
          </cell>
          <cell r="G110">
            <v>0</v>
          </cell>
          <cell r="H110">
            <v>107.8</v>
          </cell>
          <cell r="I110">
            <v>59.64</v>
          </cell>
          <cell r="J110">
            <v>0</v>
          </cell>
          <cell r="K110">
            <v>48.16</v>
          </cell>
          <cell r="L110">
            <v>44.68</v>
          </cell>
          <cell r="M110">
            <v>0</v>
          </cell>
        </row>
        <row r="111">
          <cell r="A111" t="str">
            <v>KAPAZI</v>
          </cell>
          <cell r="B111">
            <v>1</v>
          </cell>
          <cell r="C111">
            <v>89.9</v>
          </cell>
          <cell r="D111">
            <v>89.9</v>
          </cell>
          <cell r="E111">
            <v>0</v>
          </cell>
          <cell r="F111">
            <v>0</v>
          </cell>
          <cell r="G111">
            <v>0</v>
          </cell>
          <cell r="H111">
            <v>89.9</v>
          </cell>
          <cell r="I111">
            <v>55.81</v>
          </cell>
          <cell r="J111">
            <v>0</v>
          </cell>
          <cell r="K111">
            <v>34.090000000000003</v>
          </cell>
          <cell r="L111">
            <v>37.92</v>
          </cell>
          <cell r="M111">
            <v>0</v>
          </cell>
        </row>
        <row r="112">
          <cell r="A112" t="str">
            <v>OVERTIME</v>
          </cell>
          <cell r="B112">
            <v>3</v>
          </cell>
          <cell r="C112">
            <v>65.97</v>
          </cell>
          <cell r="D112">
            <v>8.25</v>
          </cell>
          <cell r="E112">
            <v>0</v>
          </cell>
          <cell r="F112">
            <v>0</v>
          </cell>
          <cell r="G112">
            <v>45.8</v>
          </cell>
          <cell r="H112">
            <v>20.170000000000002</v>
          </cell>
          <cell r="I112">
            <v>38.82</v>
          </cell>
          <cell r="J112">
            <v>27.24</v>
          </cell>
          <cell r="K112">
            <v>8.59</v>
          </cell>
          <cell r="L112">
            <v>22.18</v>
          </cell>
          <cell r="M112">
            <v>0</v>
          </cell>
        </row>
        <row r="113">
          <cell r="A113" t="str">
            <v>EMPLAC</v>
          </cell>
          <cell r="B113">
            <v>1</v>
          </cell>
          <cell r="C113">
            <v>65</v>
          </cell>
          <cell r="D113">
            <v>6.5</v>
          </cell>
          <cell r="E113">
            <v>0</v>
          </cell>
          <cell r="F113">
            <v>0</v>
          </cell>
          <cell r="G113">
            <v>13</v>
          </cell>
          <cell r="H113">
            <v>52</v>
          </cell>
          <cell r="I113">
            <v>30.5</v>
          </cell>
          <cell r="J113">
            <v>6.5</v>
          </cell>
          <cell r="K113">
            <v>28</v>
          </cell>
          <cell r="L113">
            <v>47.86</v>
          </cell>
          <cell r="M113">
            <v>0</v>
          </cell>
        </row>
        <row r="114">
          <cell r="A114" t="str">
            <v>ANJO QUIMICA DO BRASIL LTDA</v>
          </cell>
          <cell r="B114">
            <v>1</v>
          </cell>
          <cell r="C114">
            <v>59.8</v>
          </cell>
          <cell r="D114">
            <v>29.9</v>
          </cell>
          <cell r="E114">
            <v>0</v>
          </cell>
          <cell r="F114">
            <v>0</v>
          </cell>
          <cell r="G114">
            <v>0</v>
          </cell>
          <cell r="H114">
            <v>59.8</v>
          </cell>
          <cell r="I114">
            <v>35.14</v>
          </cell>
          <cell r="J114">
            <v>0</v>
          </cell>
          <cell r="K114">
            <v>24.66</v>
          </cell>
          <cell r="L114">
            <v>41.24</v>
          </cell>
          <cell r="M114">
            <v>0</v>
          </cell>
        </row>
        <row r="115">
          <cell r="A115" t="str">
            <v>OUROLUX</v>
          </cell>
          <cell r="B115">
            <v>2</v>
          </cell>
          <cell r="C115">
            <v>58.3</v>
          </cell>
          <cell r="D115">
            <v>5.3</v>
          </cell>
          <cell r="E115">
            <v>0</v>
          </cell>
          <cell r="F115">
            <v>0</v>
          </cell>
          <cell r="G115">
            <v>0</v>
          </cell>
          <cell r="H115">
            <v>58.3</v>
          </cell>
          <cell r="I115">
            <v>32.450000000000003</v>
          </cell>
          <cell r="J115">
            <v>0</v>
          </cell>
          <cell r="K115">
            <v>25.85</v>
          </cell>
          <cell r="L115">
            <v>44.34</v>
          </cell>
          <cell r="M115">
            <v>0</v>
          </cell>
        </row>
        <row r="116">
          <cell r="A116" t="str">
            <v>PADOVA</v>
          </cell>
          <cell r="B116">
            <v>2</v>
          </cell>
          <cell r="C116">
            <v>47.08</v>
          </cell>
          <cell r="D116">
            <v>23.54</v>
          </cell>
          <cell r="E116">
            <v>0</v>
          </cell>
          <cell r="F116">
            <v>0</v>
          </cell>
          <cell r="G116">
            <v>0</v>
          </cell>
          <cell r="H116">
            <v>47.08</v>
          </cell>
          <cell r="I116">
            <v>29.32</v>
          </cell>
          <cell r="J116">
            <v>0</v>
          </cell>
          <cell r="K116">
            <v>17.760000000000002</v>
          </cell>
          <cell r="L116">
            <v>37.72</v>
          </cell>
          <cell r="M116">
            <v>0</v>
          </cell>
        </row>
        <row r="117">
          <cell r="A117" t="str">
            <v>PHILIPS ILUMINACAO LA</v>
          </cell>
          <cell r="B117">
            <v>1</v>
          </cell>
          <cell r="C117">
            <v>29.7</v>
          </cell>
          <cell r="D117">
            <v>9.9</v>
          </cell>
          <cell r="E117">
            <v>0</v>
          </cell>
          <cell r="F117">
            <v>0</v>
          </cell>
          <cell r="G117">
            <v>0</v>
          </cell>
          <cell r="H117">
            <v>29.7</v>
          </cell>
          <cell r="I117">
            <v>17.79</v>
          </cell>
          <cell r="J117">
            <v>0</v>
          </cell>
          <cell r="K117">
            <v>11.91</v>
          </cell>
          <cell r="L117">
            <v>40.1</v>
          </cell>
          <cell r="M117">
            <v>0</v>
          </cell>
        </row>
        <row r="118">
          <cell r="A118" t="str">
            <v>TRAMONTINA NORDESTE</v>
          </cell>
          <cell r="B118">
            <v>1</v>
          </cell>
          <cell r="C118">
            <v>24.6</v>
          </cell>
          <cell r="D118">
            <v>8.1999999999999993</v>
          </cell>
          <cell r="E118">
            <v>0</v>
          </cell>
          <cell r="F118">
            <v>0</v>
          </cell>
          <cell r="G118">
            <v>0</v>
          </cell>
          <cell r="H118">
            <v>24.6</v>
          </cell>
          <cell r="I118">
            <v>13.24</v>
          </cell>
          <cell r="J118">
            <v>0</v>
          </cell>
          <cell r="K118">
            <v>11.36</v>
          </cell>
          <cell r="L118">
            <v>46.18</v>
          </cell>
          <cell r="M118">
            <v>0</v>
          </cell>
        </row>
        <row r="119">
          <cell r="A119" t="str">
            <v>INJEPLAST</v>
          </cell>
          <cell r="B119">
            <v>1</v>
          </cell>
          <cell r="C119">
            <v>14</v>
          </cell>
          <cell r="D119">
            <v>0.4</v>
          </cell>
          <cell r="E119">
            <v>0</v>
          </cell>
          <cell r="F119">
            <v>0</v>
          </cell>
          <cell r="G119">
            <v>0</v>
          </cell>
          <cell r="H119">
            <v>14</v>
          </cell>
          <cell r="I119">
            <v>6.3</v>
          </cell>
          <cell r="J119">
            <v>0</v>
          </cell>
          <cell r="K119">
            <v>7.7</v>
          </cell>
          <cell r="L119">
            <v>55</v>
          </cell>
          <cell r="M119">
            <v>0</v>
          </cell>
        </row>
        <row r="120">
          <cell r="A120" t="str">
            <v>outros</v>
          </cell>
          <cell r="B120">
            <v>0</v>
          </cell>
          <cell r="C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JAN 26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393</v>
          </cell>
          <cell r="C2">
            <v>517858.26280000003</v>
          </cell>
          <cell r="D2">
            <v>29.58</v>
          </cell>
          <cell r="E2">
            <v>0</v>
          </cell>
          <cell r="F2">
            <v>0</v>
          </cell>
          <cell r="G2">
            <v>20681.955399999999</v>
          </cell>
          <cell r="H2">
            <v>497176.30739999999</v>
          </cell>
          <cell r="I2">
            <v>352838.05450000003</v>
          </cell>
          <cell r="J2">
            <v>13623.2104</v>
          </cell>
          <cell r="K2">
            <v>157961.4633</v>
          </cell>
          <cell r="L2">
            <v>31.33</v>
          </cell>
          <cell r="M2">
            <v>24.19</v>
          </cell>
        </row>
        <row r="3">
          <cell r="A3" t="str">
            <v>ELIZABETH</v>
          </cell>
          <cell r="B3">
            <v>199</v>
          </cell>
          <cell r="C3">
            <v>230731.00150000001</v>
          </cell>
          <cell r="D3">
            <v>25.48</v>
          </cell>
          <cell r="E3">
            <v>0</v>
          </cell>
          <cell r="F3">
            <v>0</v>
          </cell>
          <cell r="G3">
            <v>9445.3762000000006</v>
          </cell>
          <cell r="H3">
            <v>221285.62530000001</v>
          </cell>
          <cell r="I3">
            <v>147209.03810000001</v>
          </cell>
          <cell r="J3">
            <v>5889.5654000000004</v>
          </cell>
          <cell r="K3">
            <v>79966.152600000001</v>
          </cell>
          <cell r="L3">
            <v>35.57</v>
          </cell>
          <cell r="M3">
            <v>10.78</v>
          </cell>
        </row>
        <row r="4">
          <cell r="A4" t="str">
            <v>DO MESTRE</v>
          </cell>
          <cell r="B4">
            <v>397</v>
          </cell>
          <cell r="C4">
            <v>191790.01</v>
          </cell>
          <cell r="D4">
            <v>24.1</v>
          </cell>
          <cell r="E4">
            <v>0</v>
          </cell>
          <cell r="F4">
            <v>0</v>
          </cell>
          <cell r="G4">
            <v>3162.3033999999998</v>
          </cell>
          <cell r="H4">
            <v>188627.7066</v>
          </cell>
          <cell r="I4">
            <v>112600.59</v>
          </cell>
          <cell r="J4">
            <v>1845.81</v>
          </cell>
          <cell r="K4">
            <v>77872.926600000006</v>
          </cell>
          <cell r="L4">
            <v>41</v>
          </cell>
          <cell r="M4">
            <v>8.9600000000000009</v>
          </cell>
        </row>
        <row r="5">
          <cell r="A5" t="str">
            <v>IQUINE</v>
          </cell>
          <cell r="B5">
            <v>81</v>
          </cell>
          <cell r="C5">
            <v>131643.7616</v>
          </cell>
          <cell r="D5">
            <v>31.84</v>
          </cell>
          <cell r="E5">
            <v>0</v>
          </cell>
          <cell r="F5">
            <v>0</v>
          </cell>
          <cell r="G5">
            <v>3120.39</v>
          </cell>
          <cell r="H5">
            <v>128523.3716</v>
          </cell>
          <cell r="I5">
            <v>75487.032399999996</v>
          </cell>
          <cell r="J5">
            <v>1738.81</v>
          </cell>
          <cell r="K5">
            <v>54775.1492</v>
          </cell>
          <cell r="L5">
            <v>42.17</v>
          </cell>
          <cell r="M5">
            <v>6.15</v>
          </cell>
        </row>
        <row r="6">
          <cell r="A6" t="str">
            <v>MEGAÓ</v>
          </cell>
          <cell r="B6">
            <v>88</v>
          </cell>
          <cell r="C6">
            <v>128901.7</v>
          </cell>
          <cell r="D6">
            <v>65.67</v>
          </cell>
          <cell r="E6">
            <v>0</v>
          </cell>
          <cell r="F6">
            <v>0</v>
          </cell>
          <cell r="G6">
            <v>2429.34</v>
          </cell>
          <cell r="H6">
            <v>126472.36</v>
          </cell>
          <cell r="I6">
            <v>75719.899999999994</v>
          </cell>
          <cell r="J6">
            <v>1400.68</v>
          </cell>
          <cell r="K6">
            <v>52153.14</v>
          </cell>
          <cell r="L6">
            <v>40.9</v>
          </cell>
          <cell r="M6">
            <v>6.02</v>
          </cell>
        </row>
        <row r="7">
          <cell r="A7" t="str">
            <v>WEBER QUARTZOLIT</v>
          </cell>
          <cell r="B7">
            <v>162</v>
          </cell>
          <cell r="C7">
            <v>69039.14</v>
          </cell>
          <cell r="D7">
            <v>21.97</v>
          </cell>
          <cell r="E7">
            <v>0</v>
          </cell>
          <cell r="F7">
            <v>0</v>
          </cell>
          <cell r="G7">
            <v>3578.93</v>
          </cell>
          <cell r="H7">
            <v>65460.21</v>
          </cell>
          <cell r="I7">
            <v>41523.160000000003</v>
          </cell>
          <cell r="J7">
            <v>2164.39</v>
          </cell>
          <cell r="K7">
            <v>26101.439999999999</v>
          </cell>
          <cell r="L7">
            <v>39.03</v>
          </cell>
          <cell r="M7">
            <v>3.23</v>
          </cell>
        </row>
        <row r="8">
          <cell r="A8" t="str">
            <v>FORTLEV</v>
          </cell>
          <cell r="B8">
            <v>76</v>
          </cell>
          <cell r="C8">
            <v>65635.929999999993</v>
          </cell>
          <cell r="D8">
            <v>13.23</v>
          </cell>
          <cell r="E8">
            <v>0</v>
          </cell>
          <cell r="F8">
            <v>0</v>
          </cell>
          <cell r="G8">
            <v>1954.02</v>
          </cell>
          <cell r="H8">
            <v>63681.91</v>
          </cell>
          <cell r="I8">
            <v>48435.92</v>
          </cell>
          <cell r="J8">
            <v>1519.99</v>
          </cell>
          <cell r="K8">
            <v>16765.98</v>
          </cell>
          <cell r="L8">
            <v>26.15</v>
          </cell>
          <cell r="M8">
            <v>3.07</v>
          </cell>
        </row>
        <row r="9">
          <cell r="A9" t="str">
            <v>ROCA</v>
          </cell>
          <cell r="B9">
            <v>53</v>
          </cell>
          <cell r="C9">
            <v>55976.88</v>
          </cell>
          <cell r="D9">
            <v>181.15</v>
          </cell>
          <cell r="E9">
            <v>0</v>
          </cell>
          <cell r="F9">
            <v>0</v>
          </cell>
          <cell r="G9">
            <v>2024.93</v>
          </cell>
          <cell r="H9">
            <v>53951.95</v>
          </cell>
          <cell r="I9">
            <v>39123.94</v>
          </cell>
          <cell r="J9">
            <v>1421.85</v>
          </cell>
          <cell r="K9">
            <v>16249.86</v>
          </cell>
          <cell r="L9">
            <v>29.79</v>
          </cell>
          <cell r="M9">
            <v>2.62</v>
          </cell>
        </row>
        <row r="10">
          <cell r="A10" t="str">
            <v>DOCOL METAIS</v>
          </cell>
          <cell r="B10">
            <v>10</v>
          </cell>
          <cell r="C10">
            <v>54749.06</v>
          </cell>
          <cell r="D10">
            <v>405.55</v>
          </cell>
          <cell r="E10">
            <v>0</v>
          </cell>
          <cell r="F10">
            <v>0</v>
          </cell>
          <cell r="G10">
            <v>446.64</v>
          </cell>
          <cell r="H10">
            <v>54302.42</v>
          </cell>
          <cell r="I10">
            <v>46698.25</v>
          </cell>
          <cell r="J10">
            <v>252.67</v>
          </cell>
          <cell r="K10">
            <v>7856.84</v>
          </cell>
          <cell r="L10">
            <v>14.42</v>
          </cell>
          <cell r="M10">
            <v>2.56</v>
          </cell>
        </row>
        <row r="11">
          <cell r="A11" t="str">
            <v>POINTER</v>
          </cell>
          <cell r="B11">
            <v>41</v>
          </cell>
          <cell r="C11">
            <v>51577.392800000001</v>
          </cell>
          <cell r="D11">
            <v>46.44</v>
          </cell>
          <cell r="E11">
            <v>0</v>
          </cell>
          <cell r="F11">
            <v>0</v>
          </cell>
          <cell r="G11">
            <v>1323.8787</v>
          </cell>
          <cell r="H11">
            <v>50253.5141</v>
          </cell>
          <cell r="I11">
            <v>31009.6996</v>
          </cell>
          <cell r="J11">
            <v>717.35159999999996</v>
          </cell>
          <cell r="K11">
            <v>19961.166099999999</v>
          </cell>
          <cell r="L11">
            <v>39.25</v>
          </cell>
          <cell r="M11">
            <v>2.41</v>
          </cell>
        </row>
        <row r="12">
          <cell r="A12" t="str">
            <v>TECNOGRES</v>
          </cell>
          <cell r="B12">
            <v>28</v>
          </cell>
          <cell r="C12">
            <v>46409.084799999997</v>
          </cell>
          <cell r="D12">
            <v>54.03</v>
          </cell>
          <cell r="E12">
            <v>0</v>
          </cell>
          <cell r="F12">
            <v>0</v>
          </cell>
          <cell r="G12">
            <v>2469.9787999999999</v>
          </cell>
          <cell r="H12">
            <v>43939.106</v>
          </cell>
          <cell r="I12">
            <v>23878.215</v>
          </cell>
          <cell r="J12">
            <v>1338.4079999999999</v>
          </cell>
          <cell r="K12">
            <v>21399.298999999999</v>
          </cell>
          <cell r="L12">
            <v>47.48</v>
          </cell>
          <cell r="M12">
            <v>2.17</v>
          </cell>
        </row>
        <row r="13">
          <cell r="A13" t="str">
            <v>QUALITY</v>
          </cell>
          <cell r="B13">
            <v>50</v>
          </cell>
          <cell r="C13">
            <v>40643.29</v>
          </cell>
          <cell r="D13">
            <v>243.37</v>
          </cell>
          <cell r="E13">
            <v>0</v>
          </cell>
          <cell r="F13">
            <v>0</v>
          </cell>
          <cell r="G13">
            <v>2732.86</v>
          </cell>
          <cell r="H13">
            <v>37910.43</v>
          </cell>
          <cell r="I13">
            <v>24714.43</v>
          </cell>
          <cell r="J13">
            <v>1663.34</v>
          </cell>
          <cell r="K13">
            <v>14859.34</v>
          </cell>
          <cell r="L13">
            <v>38.119999999999997</v>
          </cell>
          <cell r="M13">
            <v>1.9</v>
          </cell>
        </row>
        <row r="14">
          <cell r="A14" t="str">
            <v>REALLE</v>
          </cell>
          <cell r="B14">
            <v>25</v>
          </cell>
          <cell r="C14">
            <v>40564.066800000001</v>
          </cell>
          <cell r="D14">
            <v>35.76</v>
          </cell>
          <cell r="E14">
            <v>0</v>
          </cell>
          <cell r="F14">
            <v>0</v>
          </cell>
          <cell r="G14">
            <v>1327.2904000000001</v>
          </cell>
          <cell r="H14">
            <v>39236.776400000002</v>
          </cell>
          <cell r="I14">
            <v>26102.990399999999</v>
          </cell>
          <cell r="J14">
            <v>868.24159999999995</v>
          </cell>
          <cell r="K14">
            <v>14002.027599999999</v>
          </cell>
          <cell r="L14">
            <v>35.270000000000003</v>
          </cell>
          <cell r="M14">
            <v>1.9</v>
          </cell>
        </row>
        <row r="15">
          <cell r="A15" t="str">
            <v>NORCOLA</v>
          </cell>
          <cell r="B15">
            <v>19</v>
          </cell>
          <cell r="C15">
            <v>35049.440000000002</v>
          </cell>
          <cell r="D15">
            <v>226.13</v>
          </cell>
          <cell r="E15">
            <v>0</v>
          </cell>
          <cell r="F15">
            <v>0</v>
          </cell>
          <cell r="G15">
            <v>261</v>
          </cell>
          <cell r="H15">
            <v>34788.44</v>
          </cell>
          <cell r="I15">
            <v>24676.53</v>
          </cell>
          <cell r="J15">
            <v>183.26</v>
          </cell>
          <cell r="K15">
            <v>10295.17</v>
          </cell>
          <cell r="L15">
            <v>29.53</v>
          </cell>
          <cell r="M15">
            <v>1.64</v>
          </cell>
        </row>
        <row r="16">
          <cell r="A16" t="str">
            <v>ATLAS</v>
          </cell>
          <cell r="B16">
            <v>75</v>
          </cell>
          <cell r="C16">
            <v>32016.62</v>
          </cell>
          <cell r="D16">
            <v>17.04</v>
          </cell>
          <cell r="E16">
            <v>0</v>
          </cell>
          <cell r="F16">
            <v>0</v>
          </cell>
          <cell r="G16">
            <v>376.88</v>
          </cell>
          <cell r="H16">
            <v>31639.74</v>
          </cell>
          <cell r="I16">
            <v>17245.86</v>
          </cell>
          <cell r="J16">
            <v>208.91</v>
          </cell>
          <cell r="K16">
            <v>14602.79</v>
          </cell>
          <cell r="L16">
            <v>45.91</v>
          </cell>
          <cell r="M16">
            <v>1.5</v>
          </cell>
        </row>
        <row r="17">
          <cell r="A17" t="str">
            <v>FERTAK COMERCIO E IMPORTAÇÃO</v>
          </cell>
          <cell r="B17">
            <v>68</v>
          </cell>
          <cell r="C17">
            <v>25084.09</v>
          </cell>
          <cell r="D17">
            <v>12.24</v>
          </cell>
          <cell r="E17">
            <v>0</v>
          </cell>
          <cell r="F17">
            <v>0</v>
          </cell>
          <cell r="G17">
            <v>235.39</v>
          </cell>
          <cell r="H17">
            <v>24848.7</v>
          </cell>
          <cell r="I17">
            <v>14254.57</v>
          </cell>
          <cell r="J17">
            <v>143.16999999999999</v>
          </cell>
          <cell r="K17">
            <v>10737.3</v>
          </cell>
          <cell r="L17">
            <v>43.05</v>
          </cell>
          <cell r="M17">
            <v>1.17</v>
          </cell>
        </row>
        <row r="18">
          <cell r="A18" t="str">
            <v>ARIELLE</v>
          </cell>
          <cell r="B18">
            <v>29</v>
          </cell>
          <cell r="C18">
            <v>19917.531599999998</v>
          </cell>
          <cell r="D18">
            <v>35.96</v>
          </cell>
          <cell r="E18">
            <v>0</v>
          </cell>
          <cell r="F18">
            <v>0</v>
          </cell>
          <cell r="G18">
            <v>97.369900000000001</v>
          </cell>
          <cell r="H18">
            <v>19820.161700000001</v>
          </cell>
          <cell r="I18">
            <v>12724.234899999999</v>
          </cell>
          <cell r="J18">
            <v>62.6355</v>
          </cell>
          <cell r="K18">
            <v>7158.5622999999996</v>
          </cell>
          <cell r="L18">
            <v>36.049999999999997</v>
          </cell>
          <cell r="M18">
            <v>0.93</v>
          </cell>
        </row>
        <row r="19">
          <cell r="A19" t="str">
            <v>LORENZETTI</v>
          </cell>
          <cell r="B19">
            <v>23</v>
          </cell>
          <cell r="C19">
            <v>19055.38</v>
          </cell>
          <cell r="D19">
            <v>103</v>
          </cell>
          <cell r="E19">
            <v>0</v>
          </cell>
          <cell r="F19">
            <v>0</v>
          </cell>
          <cell r="G19">
            <v>183.69</v>
          </cell>
          <cell r="H19">
            <v>18871.689999999999</v>
          </cell>
          <cell r="I19">
            <v>12082.27</v>
          </cell>
          <cell r="J19">
            <v>117.08</v>
          </cell>
          <cell r="K19">
            <v>6906.5</v>
          </cell>
          <cell r="L19">
            <v>36.47</v>
          </cell>
          <cell r="M19">
            <v>0.89</v>
          </cell>
        </row>
        <row r="20">
          <cell r="A20" t="str">
            <v>GRANPLAST</v>
          </cell>
          <cell r="B20">
            <v>43</v>
          </cell>
          <cell r="C20">
            <v>17592.939999999999</v>
          </cell>
          <cell r="D20">
            <v>25.53</v>
          </cell>
          <cell r="E20">
            <v>0</v>
          </cell>
          <cell r="F20">
            <v>0</v>
          </cell>
          <cell r="G20">
            <v>146.9</v>
          </cell>
          <cell r="H20">
            <v>17446.04</v>
          </cell>
          <cell r="I20">
            <v>10340.219999999999</v>
          </cell>
          <cell r="J20">
            <v>86.84</v>
          </cell>
          <cell r="K20">
            <v>7192.66</v>
          </cell>
          <cell r="L20">
            <v>41.09</v>
          </cell>
          <cell r="M20">
            <v>0.82</v>
          </cell>
        </row>
        <row r="21">
          <cell r="A21" t="str">
            <v>MEC-TRONIC</v>
          </cell>
          <cell r="B21">
            <v>43</v>
          </cell>
          <cell r="C21">
            <v>16764.060000000001</v>
          </cell>
          <cell r="D21">
            <v>10.16</v>
          </cell>
          <cell r="E21">
            <v>0</v>
          </cell>
          <cell r="F21">
            <v>0</v>
          </cell>
          <cell r="G21">
            <v>177.38</v>
          </cell>
          <cell r="H21">
            <v>16586.68</v>
          </cell>
          <cell r="I21">
            <v>9030.81</v>
          </cell>
          <cell r="J21">
            <v>99.43</v>
          </cell>
          <cell r="K21">
            <v>7655.3</v>
          </cell>
          <cell r="L21">
            <v>45.94</v>
          </cell>
          <cell r="M21">
            <v>0.78</v>
          </cell>
        </row>
        <row r="22">
          <cell r="A22" t="str">
            <v>ANAUGER</v>
          </cell>
          <cell r="B22">
            <v>9</v>
          </cell>
          <cell r="C22">
            <v>16514.95</v>
          </cell>
          <cell r="D22">
            <v>351.38</v>
          </cell>
          <cell r="E22">
            <v>0</v>
          </cell>
          <cell r="F22">
            <v>0</v>
          </cell>
          <cell r="G22">
            <v>56.9</v>
          </cell>
          <cell r="H22">
            <v>16458.05</v>
          </cell>
          <cell r="I22">
            <v>11504.12</v>
          </cell>
          <cell r="J22">
            <v>32.700000000000003</v>
          </cell>
          <cell r="K22">
            <v>4986.63</v>
          </cell>
          <cell r="L22">
            <v>30.25</v>
          </cell>
          <cell r="M22">
            <v>0.77</v>
          </cell>
        </row>
        <row r="23">
          <cell r="A23" t="str">
            <v>NITROLUX</v>
          </cell>
          <cell r="B23">
            <v>30</v>
          </cell>
          <cell r="C23">
            <v>16398.54</v>
          </cell>
          <cell r="D23">
            <v>12.07</v>
          </cell>
          <cell r="E23">
            <v>0</v>
          </cell>
          <cell r="F23">
            <v>0</v>
          </cell>
          <cell r="G23">
            <v>103.3</v>
          </cell>
          <cell r="H23">
            <v>16295.24</v>
          </cell>
          <cell r="I23">
            <v>8879.5</v>
          </cell>
          <cell r="J23">
            <v>51.5</v>
          </cell>
          <cell r="K23">
            <v>7467.24</v>
          </cell>
          <cell r="L23">
            <v>45.68</v>
          </cell>
          <cell r="M23">
            <v>0.77</v>
          </cell>
        </row>
        <row r="24">
          <cell r="A24" t="str">
            <v>CARMELO FIOR</v>
          </cell>
          <cell r="B24">
            <v>12</v>
          </cell>
          <cell r="C24">
            <v>16241.775</v>
          </cell>
          <cell r="D24">
            <v>65.19</v>
          </cell>
          <cell r="E24">
            <v>0</v>
          </cell>
          <cell r="F24">
            <v>0</v>
          </cell>
          <cell r="G24">
            <v>0</v>
          </cell>
          <cell r="H24">
            <v>16241.775</v>
          </cell>
          <cell r="I24">
            <v>8958.5594999999994</v>
          </cell>
          <cell r="J24">
            <v>0</v>
          </cell>
          <cell r="K24">
            <v>7283.2155000000002</v>
          </cell>
          <cell r="L24">
            <v>44.84</v>
          </cell>
          <cell r="M24">
            <v>0.76</v>
          </cell>
        </row>
        <row r="25">
          <cell r="A25" t="str">
            <v>MADELAR</v>
          </cell>
          <cell r="B25">
            <v>30</v>
          </cell>
          <cell r="C25">
            <v>15337.71</v>
          </cell>
          <cell r="D25">
            <v>191.72</v>
          </cell>
          <cell r="E25">
            <v>0</v>
          </cell>
          <cell r="F25">
            <v>0</v>
          </cell>
          <cell r="G25">
            <v>1394.7</v>
          </cell>
          <cell r="H25">
            <v>13943.01</v>
          </cell>
          <cell r="I25">
            <v>8770</v>
          </cell>
          <cell r="J25">
            <v>791</v>
          </cell>
          <cell r="K25">
            <v>5964.01</v>
          </cell>
          <cell r="L25">
            <v>41</v>
          </cell>
          <cell r="M25">
            <v>0.72</v>
          </cell>
        </row>
        <row r="26">
          <cell r="A26" t="str">
            <v>INTECH MACHINE</v>
          </cell>
          <cell r="B26">
            <v>9</v>
          </cell>
          <cell r="C26">
            <v>13830.2</v>
          </cell>
          <cell r="D26">
            <v>226.72</v>
          </cell>
          <cell r="E26">
            <v>0</v>
          </cell>
          <cell r="F26">
            <v>0</v>
          </cell>
          <cell r="G26">
            <v>323.89999999999998</v>
          </cell>
          <cell r="H26">
            <v>13506.3</v>
          </cell>
          <cell r="I26">
            <v>8481.1299999999992</v>
          </cell>
          <cell r="J26">
            <v>226.17</v>
          </cell>
          <cell r="K26">
            <v>5251.34</v>
          </cell>
          <cell r="L26">
            <v>38.6</v>
          </cell>
          <cell r="M26">
            <v>0.65</v>
          </cell>
        </row>
        <row r="27">
          <cell r="A27" t="str">
            <v>BLACK DECKER</v>
          </cell>
          <cell r="B27">
            <v>13</v>
          </cell>
          <cell r="C27">
            <v>13680.6</v>
          </cell>
          <cell r="D27">
            <v>73.95</v>
          </cell>
          <cell r="E27">
            <v>0</v>
          </cell>
          <cell r="F27">
            <v>0</v>
          </cell>
          <cell r="G27">
            <v>8.9</v>
          </cell>
          <cell r="H27">
            <v>13671.7</v>
          </cell>
          <cell r="I27">
            <v>8695.2999999999993</v>
          </cell>
          <cell r="J27">
            <v>5.19</v>
          </cell>
          <cell r="K27">
            <v>4981.59</v>
          </cell>
          <cell r="L27">
            <v>36.43</v>
          </cell>
          <cell r="M27">
            <v>0.64</v>
          </cell>
        </row>
        <row r="28">
          <cell r="A28" t="str">
            <v>INCESA</v>
          </cell>
          <cell r="B28">
            <v>9</v>
          </cell>
          <cell r="C28">
            <v>13086.288</v>
          </cell>
          <cell r="D28">
            <v>88.54</v>
          </cell>
          <cell r="E28">
            <v>0</v>
          </cell>
          <cell r="F28">
            <v>0</v>
          </cell>
          <cell r="G28">
            <v>177.8</v>
          </cell>
          <cell r="H28">
            <v>12908.487999999999</v>
          </cell>
          <cell r="I28">
            <v>8254.52</v>
          </cell>
          <cell r="J28">
            <v>110.74</v>
          </cell>
          <cell r="K28">
            <v>4764.7079999999996</v>
          </cell>
          <cell r="L28">
            <v>36.72</v>
          </cell>
          <cell r="M28">
            <v>0.61</v>
          </cell>
        </row>
        <row r="29">
          <cell r="A29" t="str">
            <v>GHEL'PLUS</v>
          </cell>
          <cell r="B29">
            <v>14</v>
          </cell>
          <cell r="C29">
            <v>11052.77</v>
          </cell>
          <cell r="D29">
            <v>110.53</v>
          </cell>
          <cell r="E29">
            <v>0</v>
          </cell>
          <cell r="F29">
            <v>0</v>
          </cell>
          <cell r="G29">
            <v>24.9</v>
          </cell>
          <cell r="H29">
            <v>11027.87</v>
          </cell>
          <cell r="I29">
            <v>6614.77</v>
          </cell>
          <cell r="J29">
            <v>15.3</v>
          </cell>
          <cell r="K29">
            <v>4428.3999999999996</v>
          </cell>
          <cell r="L29">
            <v>40.119999999999997</v>
          </cell>
          <cell r="M29">
            <v>0.52</v>
          </cell>
        </row>
        <row r="30">
          <cell r="A30" t="str">
            <v>BLUKIT</v>
          </cell>
          <cell r="B30">
            <v>43</v>
          </cell>
          <cell r="C30">
            <v>10716.03</v>
          </cell>
          <cell r="D30">
            <v>20.11</v>
          </cell>
          <cell r="E30">
            <v>0</v>
          </cell>
          <cell r="F30">
            <v>0</v>
          </cell>
          <cell r="G30">
            <v>618</v>
          </cell>
          <cell r="H30">
            <v>10098.030000000001</v>
          </cell>
          <cell r="I30">
            <v>5812.54</v>
          </cell>
          <cell r="J30">
            <v>343.66</v>
          </cell>
          <cell r="K30">
            <v>4629.1499999999996</v>
          </cell>
          <cell r="L30">
            <v>44.63</v>
          </cell>
          <cell r="M30">
            <v>0.5</v>
          </cell>
        </row>
        <row r="31">
          <cell r="A31" t="str">
            <v>SILVANA</v>
          </cell>
          <cell r="B31">
            <v>23</v>
          </cell>
          <cell r="C31">
            <v>10650.07</v>
          </cell>
          <cell r="D31">
            <v>27.95</v>
          </cell>
          <cell r="E31">
            <v>0</v>
          </cell>
          <cell r="F31">
            <v>0</v>
          </cell>
          <cell r="G31">
            <v>143.80000000000001</v>
          </cell>
          <cell r="H31">
            <v>10506.27</v>
          </cell>
          <cell r="I31">
            <v>6350.99</v>
          </cell>
          <cell r="J31">
            <v>87.19</v>
          </cell>
          <cell r="K31">
            <v>4242.47</v>
          </cell>
          <cell r="L31">
            <v>40.159999999999997</v>
          </cell>
          <cell r="M31">
            <v>0.5</v>
          </cell>
        </row>
        <row r="32">
          <cell r="A32" t="str">
            <v>METAIS LEAO</v>
          </cell>
          <cell r="B32">
            <v>15</v>
          </cell>
          <cell r="C32">
            <v>10499.55</v>
          </cell>
          <cell r="D32">
            <v>69.08</v>
          </cell>
          <cell r="E32">
            <v>0</v>
          </cell>
          <cell r="F32">
            <v>0</v>
          </cell>
          <cell r="G32">
            <v>356.21</v>
          </cell>
          <cell r="H32">
            <v>10143.34</v>
          </cell>
          <cell r="I32">
            <v>6066.83</v>
          </cell>
          <cell r="J32">
            <v>204.32</v>
          </cell>
          <cell r="K32">
            <v>4280.83</v>
          </cell>
          <cell r="L32">
            <v>41.58</v>
          </cell>
          <cell r="M32">
            <v>0.49</v>
          </cell>
        </row>
        <row r="33">
          <cell r="A33" t="str">
            <v>VIQUA</v>
          </cell>
          <cell r="B33">
            <v>32</v>
          </cell>
          <cell r="C33">
            <v>10202.629999999999</v>
          </cell>
          <cell r="D33">
            <v>36.049999999999997</v>
          </cell>
          <cell r="E33">
            <v>0</v>
          </cell>
          <cell r="F33">
            <v>0</v>
          </cell>
          <cell r="G33">
            <v>302</v>
          </cell>
          <cell r="H33">
            <v>9900.6299999999992</v>
          </cell>
          <cell r="I33">
            <v>6269.2</v>
          </cell>
          <cell r="J33">
            <v>187.29</v>
          </cell>
          <cell r="K33">
            <v>3818.72</v>
          </cell>
          <cell r="L33">
            <v>38.130000000000003</v>
          </cell>
          <cell r="M33">
            <v>0.48</v>
          </cell>
        </row>
        <row r="34">
          <cell r="A34" t="str">
            <v>METALURGICA MOR S/A</v>
          </cell>
          <cell r="B34">
            <v>16</v>
          </cell>
          <cell r="C34">
            <v>9333.5400000000009</v>
          </cell>
          <cell r="D34">
            <v>87.23</v>
          </cell>
          <cell r="E34">
            <v>0</v>
          </cell>
          <cell r="F34">
            <v>0</v>
          </cell>
          <cell r="G34">
            <v>0</v>
          </cell>
          <cell r="H34">
            <v>9333.5400000000009</v>
          </cell>
          <cell r="I34">
            <v>5782.69</v>
          </cell>
          <cell r="J34">
            <v>0</v>
          </cell>
          <cell r="K34">
            <v>3550.85</v>
          </cell>
          <cell r="L34">
            <v>38.04</v>
          </cell>
          <cell r="M34">
            <v>0.44</v>
          </cell>
        </row>
        <row r="35">
          <cell r="A35" t="str">
            <v>PADO</v>
          </cell>
          <cell r="B35">
            <v>12</v>
          </cell>
          <cell r="C35">
            <v>8828.61</v>
          </cell>
          <cell r="D35">
            <v>42.04</v>
          </cell>
          <cell r="E35">
            <v>0</v>
          </cell>
          <cell r="F35">
            <v>0</v>
          </cell>
          <cell r="G35">
            <v>84.7</v>
          </cell>
          <cell r="H35">
            <v>8743.91</v>
          </cell>
          <cell r="I35">
            <v>5137.83</v>
          </cell>
          <cell r="J35">
            <v>50.9</v>
          </cell>
          <cell r="K35">
            <v>3656.98</v>
          </cell>
          <cell r="L35">
            <v>41.66</v>
          </cell>
          <cell r="M35">
            <v>0.41</v>
          </cell>
        </row>
        <row r="36">
          <cell r="A36" t="str">
            <v>MGM</v>
          </cell>
          <cell r="B36">
            <v>14</v>
          </cell>
          <cell r="C36">
            <v>8826.5</v>
          </cell>
          <cell r="D36">
            <v>464.55</v>
          </cell>
          <cell r="E36">
            <v>0</v>
          </cell>
          <cell r="F36">
            <v>0</v>
          </cell>
          <cell r="G36">
            <v>408.9</v>
          </cell>
          <cell r="H36">
            <v>8417.6</v>
          </cell>
          <cell r="I36">
            <v>5482.32</v>
          </cell>
          <cell r="J36">
            <v>238.43</v>
          </cell>
          <cell r="K36">
            <v>3173.71</v>
          </cell>
          <cell r="L36">
            <v>36.950000000000003</v>
          </cell>
          <cell r="M36">
            <v>0.41</v>
          </cell>
        </row>
        <row r="37">
          <cell r="A37" t="str">
            <v>LUZARTE</v>
          </cell>
          <cell r="B37">
            <v>6</v>
          </cell>
          <cell r="C37">
            <v>7974.02</v>
          </cell>
          <cell r="D37">
            <v>166.13</v>
          </cell>
          <cell r="E37">
            <v>0</v>
          </cell>
          <cell r="F37">
            <v>0</v>
          </cell>
          <cell r="G37">
            <v>0</v>
          </cell>
          <cell r="H37">
            <v>7974.02</v>
          </cell>
          <cell r="I37">
            <v>5954.3</v>
          </cell>
          <cell r="J37">
            <v>0</v>
          </cell>
          <cell r="K37">
            <v>2019.72</v>
          </cell>
          <cell r="L37">
            <v>25.33</v>
          </cell>
          <cell r="M37">
            <v>0.37</v>
          </cell>
        </row>
        <row r="38">
          <cell r="A38" t="str">
            <v>LEDVANCE</v>
          </cell>
          <cell r="B38">
            <v>24</v>
          </cell>
          <cell r="C38">
            <v>7463.47</v>
          </cell>
          <cell r="D38">
            <v>10.66</v>
          </cell>
          <cell r="E38">
            <v>0</v>
          </cell>
          <cell r="F38">
            <v>0</v>
          </cell>
          <cell r="G38">
            <v>94.32</v>
          </cell>
          <cell r="H38">
            <v>7369.15</v>
          </cell>
          <cell r="I38">
            <v>4264.18</v>
          </cell>
          <cell r="J38">
            <v>48.31</v>
          </cell>
          <cell r="K38">
            <v>3153.28</v>
          </cell>
          <cell r="L38">
            <v>42.52</v>
          </cell>
          <cell r="M38">
            <v>0.35</v>
          </cell>
        </row>
        <row r="39">
          <cell r="A39" t="str">
            <v>BELLA PIA</v>
          </cell>
          <cell r="B39">
            <v>19</v>
          </cell>
          <cell r="C39">
            <v>7391.34</v>
          </cell>
          <cell r="D39">
            <v>238.43</v>
          </cell>
          <cell r="E39">
            <v>0</v>
          </cell>
          <cell r="F39">
            <v>0</v>
          </cell>
          <cell r="G39">
            <v>664.7</v>
          </cell>
          <cell r="H39">
            <v>6726.64</v>
          </cell>
          <cell r="I39">
            <v>3937.84</v>
          </cell>
          <cell r="J39">
            <v>340.71</v>
          </cell>
          <cell r="K39">
            <v>3129.51</v>
          </cell>
          <cell r="L39">
            <v>44.39</v>
          </cell>
          <cell r="M39">
            <v>0.35</v>
          </cell>
        </row>
        <row r="40">
          <cell r="A40" t="str">
            <v>LEGRAND</v>
          </cell>
          <cell r="B40">
            <v>12</v>
          </cell>
          <cell r="C40">
            <v>7389.61</v>
          </cell>
          <cell r="D40">
            <v>17.98</v>
          </cell>
          <cell r="E40">
            <v>0</v>
          </cell>
          <cell r="F40">
            <v>0</v>
          </cell>
          <cell r="G40">
            <v>89.4</v>
          </cell>
          <cell r="H40">
            <v>7300.21</v>
          </cell>
          <cell r="I40">
            <v>4589.28</v>
          </cell>
          <cell r="J40">
            <v>53.83</v>
          </cell>
          <cell r="K40">
            <v>2764.76</v>
          </cell>
          <cell r="L40">
            <v>37.69</v>
          </cell>
          <cell r="M40">
            <v>0.35</v>
          </cell>
        </row>
        <row r="41">
          <cell r="A41" t="str">
            <v>BRASILIT</v>
          </cell>
          <cell r="B41">
            <v>11</v>
          </cell>
          <cell r="C41">
            <v>6472.14</v>
          </cell>
          <cell r="D41">
            <v>45.26</v>
          </cell>
          <cell r="E41">
            <v>0</v>
          </cell>
          <cell r="F41">
            <v>0</v>
          </cell>
          <cell r="G41">
            <v>571.20000000000005</v>
          </cell>
          <cell r="H41">
            <v>5900.94</v>
          </cell>
          <cell r="I41">
            <v>4896.38</v>
          </cell>
          <cell r="J41">
            <v>442.48</v>
          </cell>
          <cell r="K41">
            <v>1447.04</v>
          </cell>
          <cell r="L41">
            <v>24</v>
          </cell>
          <cell r="M41">
            <v>0.3</v>
          </cell>
        </row>
        <row r="42">
          <cell r="A42" t="str">
            <v>LUCONI</v>
          </cell>
          <cell r="B42">
            <v>45</v>
          </cell>
          <cell r="C42">
            <v>5851.66</v>
          </cell>
          <cell r="D42">
            <v>11.66</v>
          </cell>
          <cell r="E42">
            <v>0</v>
          </cell>
          <cell r="F42">
            <v>0</v>
          </cell>
          <cell r="G42">
            <v>90.2</v>
          </cell>
          <cell r="H42">
            <v>5761.46</v>
          </cell>
          <cell r="I42">
            <v>2786.49</v>
          </cell>
          <cell r="J42">
            <v>42.28</v>
          </cell>
          <cell r="K42">
            <v>3017.25</v>
          </cell>
          <cell r="L42">
            <v>51.94</v>
          </cell>
          <cell r="M42">
            <v>0.27</v>
          </cell>
        </row>
        <row r="43">
          <cell r="A43" t="str">
            <v>MULT MIX IMPORTADORA</v>
          </cell>
          <cell r="B43">
            <v>29</v>
          </cell>
          <cell r="C43">
            <v>5616.6</v>
          </cell>
          <cell r="D43">
            <v>18.66</v>
          </cell>
          <cell r="E43">
            <v>0</v>
          </cell>
          <cell r="F43">
            <v>0</v>
          </cell>
          <cell r="G43">
            <v>0</v>
          </cell>
          <cell r="H43">
            <v>5616.6</v>
          </cell>
          <cell r="I43">
            <v>2950.08</v>
          </cell>
          <cell r="J43">
            <v>0</v>
          </cell>
          <cell r="K43">
            <v>2666.52</v>
          </cell>
          <cell r="L43">
            <v>47.48</v>
          </cell>
          <cell r="M43">
            <v>0.26</v>
          </cell>
        </row>
        <row r="44">
          <cell r="A44" t="str">
            <v>HERC</v>
          </cell>
          <cell r="B44">
            <v>19</v>
          </cell>
          <cell r="C44">
            <v>5502.87</v>
          </cell>
          <cell r="D44">
            <v>21</v>
          </cell>
          <cell r="E44">
            <v>0</v>
          </cell>
          <cell r="F44">
            <v>0</v>
          </cell>
          <cell r="G44">
            <v>17.98</v>
          </cell>
          <cell r="H44">
            <v>5484.89</v>
          </cell>
          <cell r="I44">
            <v>3206.72</v>
          </cell>
          <cell r="J44">
            <v>10.94</v>
          </cell>
          <cell r="K44">
            <v>2289.11</v>
          </cell>
          <cell r="L44">
            <v>41.68</v>
          </cell>
          <cell r="M44">
            <v>0.26</v>
          </cell>
        </row>
        <row r="45">
          <cell r="A45" t="str">
            <v>MARNOL INDUSTRIA DE LOUCAS SAN</v>
          </cell>
          <cell r="B45">
            <v>9</v>
          </cell>
          <cell r="C45">
            <v>5470.14</v>
          </cell>
          <cell r="D45">
            <v>136.75</v>
          </cell>
          <cell r="E45">
            <v>0</v>
          </cell>
          <cell r="F45">
            <v>0</v>
          </cell>
          <cell r="G45">
            <v>0</v>
          </cell>
          <cell r="H45">
            <v>5470.14</v>
          </cell>
          <cell r="I45">
            <v>4115.95</v>
          </cell>
          <cell r="J45">
            <v>0</v>
          </cell>
          <cell r="K45">
            <v>1354.19</v>
          </cell>
          <cell r="L45">
            <v>24.76</v>
          </cell>
          <cell r="M45">
            <v>0.26</v>
          </cell>
        </row>
        <row r="46">
          <cell r="A46" t="str">
            <v>PLASTMAR IND E COM</v>
          </cell>
          <cell r="B46">
            <v>11</v>
          </cell>
          <cell r="C46">
            <v>5091.71</v>
          </cell>
          <cell r="D46">
            <v>63.65</v>
          </cell>
          <cell r="E46">
            <v>0</v>
          </cell>
          <cell r="F46">
            <v>0</v>
          </cell>
          <cell r="G46">
            <v>91.8</v>
          </cell>
          <cell r="H46">
            <v>4999.91</v>
          </cell>
          <cell r="I46">
            <v>2891.03</v>
          </cell>
          <cell r="J46">
            <v>48.31</v>
          </cell>
          <cell r="K46">
            <v>2157.19</v>
          </cell>
          <cell r="L46">
            <v>42.77</v>
          </cell>
          <cell r="M46">
            <v>0.24</v>
          </cell>
        </row>
        <row r="47">
          <cell r="A47" t="str">
            <v>CORTAG</v>
          </cell>
          <cell r="B47">
            <v>21</v>
          </cell>
          <cell r="C47">
            <v>4546.75</v>
          </cell>
          <cell r="D47">
            <v>24.71</v>
          </cell>
          <cell r="E47">
            <v>0</v>
          </cell>
          <cell r="F47">
            <v>0</v>
          </cell>
          <cell r="G47">
            <v>131.91999999999999</v>
          </cell>
          <cell r="H47">
            <v>4414.83</v>
          </cell>
          <cell r="I47">
            <v>2704.57</v>
          </cell>
          <cell r="J47">
            <v>65.2</v>
          </cell>
          <cell r="K47">
            <v>1775.46</v>
          </cell>
          <cell r="L47">
            <v>39.619999999999997</v>
          </cell>
          <cell r="M47">
            <v>0.21</v>
          </cell>
        </row>
        <row r="48">
          <cell r="A48" t="str">
            <v>COBRECOM</v>
          </cell>
          <cell r="B48">
            <v>5</v>
          </cell>
          <cell r="C48">
            <v>4322.43</v>
          </cell>
          <cell r="D48">
            <v>205.83</v>
          </cell>
          <cell r="E48">
            <v>0</v>
          </cell>
          <cell r="F48">
            <v>0</v>
          </cell>
          <cell r="G48">
            <v>74.900000000000006</v>
          </cell>
          <cell r="H48">
            <v>4247.53</v>
          </cell>
          <cell r="I48">
            <v>2468.3200000000002</v>
          </cell>
          <cell r="J48">
            <v>49.43</v>
          </cell>
          <cell r="K48">
            <v>1828.64</v>
          </cell>
          <cell r="L48">
            <v>42.8</v>
          </cell>
          <cell r="M48">
            <v>0.2</v>
          </cell>
        </row>
        <row r="49">
          <cell r="A49" t="str">
            <v>Perfilplast Industria e Comerc</v>
          </cell>
          <cell r="B49">
            <v>16</v>
          </cell>
          <cell r="C49">
            <v>4308.29</v>
          </cell>
          <cell r="D49">
            <v>103.07</v>
          </cell>
          <cell r="E49">
            <v>0</v>
          </cell>
          <cell r="F49">
            <v>0</v>
          </cell>
          <cell r="G49">
            <v>228.8</v>
          </cell>
          <cell r="H49">
            <v>4079.49</v>
          </cell>
          <cell r="I49">
            <v>2556.1320000000001</v>
          </cell>
          <cell r="J49">
            <v>135.84</v>
          </cell>
          <cell r="K49">
            <v>1659.1980000000001</v>
          </cell>
          <cell r="L49">
            <v>39.770000000000003</v>
          </cell>
          <cell r="M49">
            <v>0.2</v>
          </cell>
        </row>
        <row r="50">
          <cell r="A50" t="str">
            <v>TRAMONTINA</v>
          </cell>
          <cell r="B50">
            <v>8</v>
          </cell>
          <cell r="C50">
            <v>4215.97</v>
          </cell>
          <cell r="D50">
            <v>71.459999999999994</v>
          </cell>
          <cell r="E50">
            <v>0</v>
          </cell>
          <cell r="F50">
            <v>0</v>
          </cell>
          <cell r="G50">
            <v>0</v>
          </cell>
          <cell r="H50">
            <v>4215.97</v>
          </cell>
          <cell r="I50">
            <v>2709.05</v>
          </cell>
          <cell r="J50">
            <v>0</v>
          </cell>
          <cell r="K50">
            <v>1506.92</v>
          </cell>
          <cell r="L50">
            <v>35.74</v>
          </cell>
          <cell r="M50">
            <v>0.2</v>
          </cell>
        </row>
        <row r="51">
          <cell r="A51" t="str">
            <v>NORTON</v>
          </cell>
          <cell r="B51">
            <v>20</v>
          </cell>
          <cell r="C51">
            <v>4032.39</v>
          </cell>
          <cell r="D51">
            <v>4.26</v>
          </cell>
          <cell r="E51">
            <v>0</v>
          </cell>
          <cell r="F51">
            <v>0</v>
          </cell>
          <cell r="G51">
            <v>63.6</v>
          </cell>
          <cell r="H51">
            <v>3968.79</v>
          </cell>
          <cell r="I51">
            <v>2072.5700000000002</v>
          </cell>
          <cell r="J51">
            <v>33.19</v>
          </cell>
          <cell r="K51">
            <v>1929.41</v>
          </cell>
          <cell r="L51">
            <v>48.24</v>
          </cell>
          <cell r="M51">
            <v>0.19</v>
          </cell>
        </row>
        <row r="52">
          <cell r="A52" t="str">
            <v>DOCOL</v>
          </cell>
          <cell r="B52">
            <v>1</v>
          </cell>
          <cell r="C52">
            <v>3734.59</v>
          </cell>
          <cell r="D52">
            <v>3734.59</v>
          </cell>
          <cell r="E52">
            <v>0</v>
          </cell>
          <cell r="F52">
            <v>0</v>
          </cell>
          <cell r="G52">
            <v>0</v>
          </cell>
          <cell r="H52">
            <v>3734.59</v>
          </cell>
          <cell r="I52">
            <v>2766.45</v>
          </cell>
          <cell r="J52">
            <v>0</v>
          </cell>
          <cell r="K52">
            <v>968.14</v>
          </cell>
          <cell r="L52">
            <v>25.92</v>
          </cell>
          <cell r="M52">
            <v>0.17</v>
          </cell>
        </row>
        <row r="53">
          <cell r="A53" t="str">
            <v>PRATEFIX</v>
          </cell>
          <cell r="B53">
            <v>11</v>
          </cell>
          <cell r="C53">
            <v>3690.9</v>
          </cell>
          <cell r="D53">
            <v>33.86</v>
          </cell>
          <cell r="E53">
            <v>0</v>
          </cell>
          <cell r="F53">
            <v>0</v>
          </cell>
          <cell r="G53">
            <v>0</v>
          </cell>
          <cell r="H53">
            <v>3690.9</v>
          </cell>
          <cell r="I53">
            <v>2077.85</v>
          </cell>
          <cell r="J53">
            <v>0</v>
          </cell>
          <cell r="K53">
            <v>1613.05</v>
          </cell>
          <cell r="L53">
            <v>43.7</v>
          </cell>
          <cell r="M53">
            <v>0.17</v>
          </cell>
        </row>
        <row r="54">
          <cell r="A54" t="str">
            <v>ONDULINE</v>
          </cell>
          <cell r="B54">
            <v>3</v>
          </cell>
          <cell r="C54">
            <v>3582.5</v>
          </cell>
          <cell r="D54">
            <v>68.89</v>
          </cell>
          <cell r="E54">
            <v>0</v>
          </cell>
          <cell r="F54">
            <v>0</v>
          </cell>
          <cell r="G54">
            <v>0</v>
          </cell>
          <cell r="H54">
            <v>3582.5</v>
          </cell>
          <cell r="I54">
            <v>2418.88</v>
          </cell>
          <cell r="J54">
            <v>0</v>
          </cell>
          <cell r="K54">
            <v>1163.6199999999999</v>
          </cell>
          <cell r="L54">
            <v>32.479999999999997</v>
          </cell>
          <cell r="M54">
            <v>0.17</v>
          </cell>
        </row>
        <row r="55">
          <cell r="A55" t="str">
            <v>VEDACIT</v>
          </cell>
          <cell r="B55">
            <v>7</v>
          </cell>
          <cell r="C55">
            <v>3572.89</v>
          </cell>
          <cell r="D55">
            <v>77.67</v>
          </cell>
          <cell r="E55">
            <v>0</v>
          </cell>
          <cell r="F55">
            <v>0</v>
          </cell>
          <cell r="G55">
            <v>126.9</v>
          </cell>
          <cell r="H55">
            <v>3445.99</v>
          </cell>
          <cell r="I55">
            <v>1887.78</v>
          </cell>
          <cell r="J55">
            <v>71.22</v>
          </cell>
          <cell r="K55">
            <v>1629.43</v>
          </cell>
          <cell r="L55">
            <v>46.53</v>
          </cell>
          <cell r="M55">
            <v>0.17</v>
          </cell>
        </row>
        <row r="56">
          <cell r="A56" t="str">
            <v>ADERE</v>
          </cell>
          <cell r="B56">
            <v>17</v>
          </cell>
          <cell r="C56">
            <v>3497.85</v>
          </cell>
          <cell r="D56">
            <v>11</v>
          </cell>
          <cell r="E56">
            <v>0</v>
          </cell>
          <cell r="F56">
            <v>0</v>
          </cell>
          <cell r="G56">
            <v>0</v>
          </cell>
          <cell r="H56">
            <v>3497.85</v>
          </cell>
          <cell r="I56">
            <v>2001.82</v>
          </cell>
          <cell r="J56">
            <v>0</v>
          </cell>
          <cell r="K56">
            <v>1496.03</v>
          </cell>
          <cell r="L56">
            <v>42.77</v>
          </cell>
          <cell r="M56">
            <v>0.16</v>
          </cell>
        </row>
        <row r="57">
          <cell r="A57" t="str">
            <v>MARLUVAS</v>
          </cell>
          <cell r="B57">
            <v>7</v>
          </cell>
          <cell r="C57">
            <v>3343.3</v>
          </cell>
          <cell r="D57">
            <v>90.36</v>
          </cell>
          <cell r="E57">
            <v>0</v>
          </cell>
          <cell r="F57">
            <v>0</v>
          </cell>
          <cell r="G57">
            <v>0</v>
          </cell>
          <cell r="H57">
            <v>3343.3</v>
          </cell>
          <cell r="I57">
            <v>1917.04</v>
          </cell>
          <cell r="J57">
            <v>0</v>
          </cell>
          <cell r="K57">
            <v>1426.26</v>
          </cell>
          <cell r="L57">
            <v>42.66</v>
          </cell>
          <cell r="M57">
            <v>0.16</v>
          </cell>
        </row>
        <row r="58">
          <cell r="A58" t="str">
            <v>PADRAO FORTE</v>
          </cell>
          <cell r="B58">
            <v>12</v>
          </cell>
          <cell r="C58">
            <v>3265.47</v>
          </cell>
          <cell r="D58">
            <v>14.08</v>
          </cell>
          <cell r="E58">
            <v>0</v>
          </cell>
          <cell r="F58">
            <v>0</v>
          </cell>
          <cell r="G58">
            <v>87.9</v>
          </cell>
          <cell r="H58">
            <v>3177.57</v>
          </cell>
          <cell r="I58">
            <v>1825.58</v>
          </cell>
          <cell r="J58">
            <v>48.71</v>
          </cell>
          <cell r="K58">
            <v>1400.7</v>
          </cell>
          <cell r="L58">
            <v>43.54</v>
          </cell>
          <cell r="M58">
            <v>0.15</v>
          </cell>
        </row>
        <row r="59">
          <cell r="A59" t="str">
            <v>PRATIMIX</v>
          </cell>
          <cell r="B59">
            <v>30</v>
          </cell>
          <cell r="C59">
            <v>3237.6</v>
          </cell>
          <cell r="D59">
            <v>12.31</v>
          </cell>
          <cell r="E59">
            <v>0</v>
          </cell>
          <cell r="F59">
            <v>0</v>
          </cell>
          <cell r="G59">
            <v>81</v>
          </cell>
          <cell r="H59">
            <v>3156.6</v>
          </cell>
          <cell r="I59">
            <v>1734.9</v>
          </cell>
          <cell r="J59">
            <v>45</v>
          </cell>
          <cell r="K59">
            <v>1466.7</v>
          </cell>
          <cell r="L59">
            <v>45.94</v>
          </cell>
          <cell r="M59">
            <v>0.15</v>
          </cell>
        </row>
        <row r="60">
          <cell r="A60" t="str">
            <v>ALIANÇA</v>
          </cell>
          <cell r="B60">
            <v>5</v>
          </cell>
          <cell r="C60">
            <v>3053.4</v>
          </cell>
          <cell r="D60">
            <v>66.38</v>
          </cell>
          <cell r="E60">
            <v>0</v>
          </cell>
          <cell r="F60">
            <v>0</v>
          </cell>
          <cell r="G60">
            <v>0</v>
          </cell>
          <cell r="H60">
            <v>3053.4</v>
          </cell>
          <cell r="I60">
            <v>1817.44</v>
          </cell>
          <cell r="J60">
            <v>0</v>
          </cell>
          <cell r="K60">
            <v>1235.96</v>
          </cell>
          <cell r="L60">
            <v>40.479999999999997</v>
          </cell>
          <cell r="M60">
            <v>0.14000000000000001</v>
          </cell>
        </row>
        <row r="61">
          <cell r="A61" t="str">
            <v>BEMFIXA</v>
          </cell>
          <cell r="B61">
            <v>9</v>
          </cell>
          <cell r="C61">
            <v>3028.49</v>
          </cell>
          <cell r="D61">
            <v>13.46</v>
          </cell>
          <cell r="E61">
            <v>0</v>
          </cell>
          <cell r="F61">
            <v>0</v>
          </cell>
          <cell r="G61">
            <v>0</v>
          </cell>
          <cell r="H61">
            <v>3028.49</v>
          </cell>
          <cell r="I61">
            <v>1662.24</v>
          </cell>
          <cell r="J61">
            <v>0</v>
          </cell>
          <cell r="K61">
            <v>1366.25</v>
          </cell>
          <cell r="L61">
            <v>45.11</v>
          </cell>
          <cell r="M61">
            <v>0.14000000000000001</v>
          </cell>
        </row>
        <row r="62">
          <cell r="A62" t="str">
            <v>CENSI</v>
          </cell>
          <cell r="B62">
            <v>17</v>
          </cell>
          <cell r="C62">
            <v>3015.47</v>
          </cell>
          <cell r="D62">
            <v>26.69</v>
          </cell>
          <cell r="E62">
            <v>0</v>
          </cell>
          <cell r="F62">
            <v>0</v>
          </cell>
          <cell r="G62">
            <v>67.8</v>
          </cell>
          <cell r="H62">
            <v>2947.67</v>
          </cell>
          <cell r="I62">
            <v>1666.79</v>
          </cell>
          <cell r="J62">
            <v>37.159999999999997</v>
          </cell>
          <cell r="K62">
            <v>1318.04</v>
          </cell>
          <cell r="L62">
            <v>44.25</v>
          </cell>
          <cell r="M62">
            <v>0.14000000000000001</v>
          </cell>
        </row>
        <row r="63">
          <cell r="A63" t="str">
            <v>Momfort</v>
          </cell>
          <cell r="B63">
            <v>8</v>
          </cell>
          <cell r="C63">
            <v>2910.25</v>
          </cell>
          <cell r="D63">
            <v>34.24</v>
          </cell>
          <cell r="E63">
            <v>0</v>
          </cell>
          <cell r="F63">
            <v>0</v>
          </cell>
          <cell r="G63">
            <v>0</v>
          </cell>
          <cell r="H63">
            <v>2910.25</v>
          </cell>
          <cell r="I63">
            <v>1786.61</v>
          </cell>
          <cell r="J63">
            <v>0</v>
          </cell>
          <cell r="K63">
            <v>1123.6400000000001</v>
          </cell>
          <cell r="L63">
            <v>38.61</v>
          </cell>
          <cell r="M63">
            <v>0.14000000000000001</v>
          </cell>
        </row>
        <row r="64">
          <cell r="A64" t="str">
            <v>PULVITEC</v>
          </cell>
          <cell r="B64">
            <v>25</v>
          </cell>
          <cell r="C64">
            <v>2796.81</v>
          </cell>
          <cell r="D64">
            <v>6.82</v>
          </cell>
          <cell r="E64">
            <v>0</v>
          </cell>
          <cell r="F64">
            <v>0</v>
          </cell>
          <cell r="G64">
            <v>6.9</v>
          </cell>
          <cell r="H64">
            <v>2789.91</v>
          </cell>
          <cell r="I64">
            <v>1330.86</v>
          </cell>
          <cell r="J64">
            <v>3.73</v>
          </cell>
          <cell r="K64">
            <v>1462.78</v>
          </cell>
          <cell r="L64">
            <v>52.37</v>
          </cell>
          <cell r="M64">
            <v>0.13</v>
          </cell>
        </row>
        <row r="65">
          <cell r="A65" t="str">
            <v>AVANT</v>
          </cell>
          <cell r="B65">
            <v>6</v>
          </cell>
          <cell r="C65">
            <v>2563.44</v>
          </cell>
          <cell r="D65">
            <v>32.04</v>
          </cell>
          <cell r="E65">
            <v>0</v>
          </cell>
          <cell r="F65">
            <v>0</v>
          </cell>
          <cell r="G65">
            <v>0</v>
          </cell>
          <cell r="H65">
            <v>2563.44</v>
          </cell>
          <cell r="I65">
            <v>1483.77</v>
          </cell>
          <cell r="J65">
            <v>0</v>
          </cell>
          <cell r="K65">
            <v>1079.67</v>
          </cell>
          <cell r="L65">
            <v>42.12</v>
          </cell>
          <cell r="M65">
            <v>0.12</v>
          </cell>
        </row>
        <row r="66">
          <cell r="A66" t="str">
            <v>ORBI QUIMICA LTDA</v>
          </cell>
          <cell r="B66">
            <v>16</v>
          </cell>
          <cell r="C66">
            <v>2409.66</v>
          </cell>
          <cell r="D66">
            <v>14.87</v>
          </cell>
          <cell r="E66">
            <v>0</v>
          </cell>
          <cell r="F66">
            <v>0</v>
          </cell>
          <cell r="G66">
            <v>0</v>
          </cell>
          <cell r="H66">
            <v>2409.66</v>
          </cell>
          <cell r="I66">
            <v>1320.21</v>
          </cell>
          <cell r="J66">
            <v>0</v>
          </cell>
          <cell r="K66">
            <v>1089.45</v>
          </cell>
          <cell r="L66">
            <v>45.21</v>
          </cell>
          <cell r="M66">
            <v>0.11</v>
          </cell>
        </row>
        <row r="67">
          <cell r="A67" t="str">
            <v>MYPA</v>
          </cell>
          <cell r="B67">
            <v>17</v>
          </cell>
          <cell r="C67">
            <v>2409.59</v>
          </cell>
          <cell r="D67">
            <v>14.69</v>
          </cell>
          <cell r="E67">
            <v>0</v>
          </cell>
          <cell r="F67">
            <v>0</v>
          </cell>
          <cell r="G67">
            <v>0</v>
          </cell>
          <cell r="H67">
            <v>2409.59</v>
          </cell>
          <cell r="I67">
            <v>1325.83</v>
          </cell>
          <cell r="J67">
            <v>0</v>
          </cell>
          <cell r="K67">
            <v>1083.76</v>
          </cell>
          <cell r="L67">
            <v>44.98</v>
          </cell>
          <cell r="M67">
            <v>0.11</v>
          </cell>
        </row>
        <row r="68">
          <cell r="A68" t="str">
            <v>FRANKLIN</v>
          </cell>
          <cell r="B68">
            <v>2</v>
          </cell>
          <cell r="C68">
            <v>2397.9</v>
          </cell>
          <cell r="D68">
            <v>799.3</v>
          </cell>
          <cell r="E68">
            <v>0</v>
          </cell>
          <cell r="F68">
            <v>0</v>
          </cell>
          <cell r="G68">
            <v>0</v>
          </cell>
          <cell r="H68">
            <v>2397.9</v>
          </cell>
          <cell r="I68">
            <v>1435.63</v>
          </cell>
          <cell r="J68">
            <v>0</v>
          </cell>
          <cell r="K68">
            <v>962.27</v>
          </cell>
          <cell r="L68">
            <v>40.130000000000003</v>
          </cell>
          <cell r="M68">
            <v>0.11</v>
          </cell>
        </row>
        <row r="69">
          <cell r="A69" t="str">
            <v>PAMESA</v>
          </cell>
          <cell r="B69">
            <v>3</v>
          </cell>
          <cell r="C69">
            <v>2395.5419999999999</v>
          </cell>
          <cell r="D69">
            <v>31.37</v>
          </cell>
          <cell r="E69">
            <v>0</v>
          </cell>
          <cell r="F69">
            <v>0</v>
          </cell>
          <cell r="G69">
            <v>0</v>
          </cell>
          <cell r="H69">
            <v>2395.5419999999999</v>
          </cell>
          <cell r="I69">
            <v>1903.0824</v>
          </cell>
          <cell r="J69">
            <v>0</v>
          </cell>
          <cell r="K69">
            <v>492.45960000000002</v>
          </cell>
          <cell r="L69">
            <v>20.56</v>
          </cell>
          <cell r="M69">
            <v>0.11</v>
          </cell>
        </row>
        <row r="70">
          <cell r="A70" t="str">
            <v>EXATRON</v>
          </cell>
          <cell r="B70">
            <v>5</v>
          </cell>
          <cell r="C70">
            <v>1945.96</v>
          </cell>
          <cell r="D70">
            <v>51.21</v>
          </cell>
          <cell r="E70">
            <v>0</v>
          </cell>
          <cell r="F70">
            <v>0</v>
          </cell>
          <cell r="G70">
            <v>58.9</v>
          </cell>
          <cell r="H70">
            <v>1887.06</v>
          </cell>
          <cell r="I70">
            <v>1040.5999999999999</v>
          </cell>
          <cell r="J70">
            <v>33.69</v>
          </cell>
          <cell r="K70">
            <v>880.15</v>
          </cell>
          <cell r="L70">
            <v>46.03</v>
          </cell>
          <cell r="M70">
            <v>0.09</v>
          </cell>
        </row>
        <row r="71">
          <cell r="A71" t="str">
            <v>METALOSA</v>
          </cell>
          <cell r="B71">
            <v>5</v>
          </cell>
          <cell r="C71">
            <v>1917.57</v>
          </cell>
          <cell r="D71">
            <v>191.76</v>
          </cell>
          <cell r="E71">
            <v>0</v>
          </cell>
          <cell r="F71">
            <v>0</v>
          </cell>
          <cell r="G71">
            <v>0</v>
          </cell>
          <cell r="H71">
            <v>1917.57</v>
          </cell>
          <cell r="I71">
            <v>1137.93</v>
          </cell>
          <cell r="J71">
            <v>0</v>
          </cell>
          <cell r="K71">
            <v>779.64</v>
          </cell>
          <cell r="L71">
            <v>40.659999999999997</v>
          </cell>
          <cell r="M71">
            <v>0.09</v>
          </cell>
        </row>
        <row r="72">
          <cell r="A72" t="str">
            <v>BRASFORMA</v>
          </cell>
          <cell r="B72">
            <v>7</v>
          </cell>
          <cell r="C72">
            <v>1906.48</v>
          </cell>
          <cell r="D72">
            <v>48.88</v>
          </cell>
          <cell r="E72">
            <v>0</v>
          </cell>
          <cell r="F72">
            <v>0</v>
          </cell>
          <cell r="G72">
            <v>0</v>
          </cell>
          <cell r="H72">
            <v>1906.48</v>
          </cell>
          <cell r="I72">
            <v>1281.6500000000001</v>
          </cell>
          <cell r="J72">
            <v>0</v>
          </cell>
          <cell r="K72">
            <v>624.83000000000004</v>
          </cell>
          <cell r="L72">
            <v>32.770000000000003</v>
          </cell>
          <cell r="M72">
            <v>0.09</v>
          </cell>
        </row>
        <row r="73">
          <cell r="A73" t="str">
            <v>BOGNAR</v>
          </cell>
          <cell r="B73">
            <v>10</v>
          </cell>
          <cell r="C73">
            <v>1819.18</v>
          </cell>
          <cell r="D73">
            <v>56.85</v>
          </cell>
          <cell r="E73">
            <v>0</v>
          </cell>
          <cell r="F73">
            <v>0</v>
          </cell>
          <cell r="G73">
            <v>79.8</v>
          </cell>
          <cell r="H73">
            <v>1739.38</v>
          </cell>
          <cell r="I73">
            <v>1057.8499999999999</v>
          </cell>
          <cell r="J73">
            <v>46.4</v>
          </cell>
          <cell r="K73">
            <v>727.93</v>
          </cell>
          <cell r="L73">
            <v>41.06</v>
          </cell>
          <cell r="M73">
            <v>0.08</v>
          </cell>
        </row>
        <row r="74">
          <cell r="A74" t="str">
            <v>TAF</v>
          </cell>
          <cell r="B74">
            <v>10</v>
          </cell>
          <cell r="C74">
            <v>1719.3</v>
          </cell>
          <cell r="D74">
            <v>22.92</v>
          </cell>
          <cell r="E74">
            <v>0</v>
          </cell>
          <cell r="F74">
            <v>0</v>
          </cell>
          <cell r="G74">
            <v>76.400000000000006</v>
          </cell>
          <cell r="H74">
            <v>1642.9</v>
          </cell>
          <cell r="I74">
            <v>915.7</v>
          </cell>
          <cell r="J74">
            <v>37.43</v>
          </cell>
          <cell r="K74">
            <v>764.63</v>
          </cell>
          <cell r="L74">
            <v>45.46</v>
          </cell>
          <cell r="M74">
            <v>0.08</v>
          </cell>
        </row>
        <row r="75">
          <cell r="A75" t="str">
            <v>KRONA</v>
          </cell>
          <cell r="B75">
            <v>10</v>
          </cell>
          <cell r="C75">
            <v>1657.79</v>
          </cell>
          <cell r="D75">
            <v>12.19</v>
          </cell>
          <cell r="E75">
            <v>0</v>
          </cell>
          <cell r="F75">
            <v>0</v>
          </cell>
          <cell r="G75">
            <v>71</v>
          </cell>
          <cell r="H75">
            <v>1586.79</v>
          </cell>
          <cell r="I75">
            <v>917.11</v>
          </cell>
          <cell r="J75">
            <v>39.82</v>
          </cell>
          <cell r="K75">
            <v>709.5</v>
          </cell>
          <cell r="L75">
            <v>43.85</v>
          </cell>
          <cell r="M75">
            <v>0.08</v>
          </cell>
        </row>
        <row r="76">
          <cell r="A76" t="str">
            <v>HIDRACOR</v>
          </cell>
          <cell r="B76">
            <v>7</v>
          </cell>
          <cell r="C76">
            <v>1329.06</v>
          </cell>
          <cell r="D76">
            <v>3.9</v>
          </cell>
          <cell r="E76">
            <v>0</v>
          </cell>
          <cell r="F76">
            <v>0</v>
          </cell>
          <cell r="G76">
            <v>7.8</v>
          </cell>
          <cell r="H76">
            <v>1321.26</v>
          </cell>
          <cell r="I76">
            <v>619.67999999999995</v>
          </cell>
          <cell r="J76">
            <v>3.66</v>
          </cell>
          <cell r="K76">
            <v>705.24</v>
          </cell>
          <cell r="L76">
            <v>53.21</v>
          </cell>
          <cell r="M76">
            <v>0.06</v>
          </cell>
        </row>
        <row r="77">
          <cell r="A77" t="str">
            <v>KALIPSO</v>
          </cell>
          <cell r="B77">
            <v>4</v>
          </cell>
          <cell r="C77">
            <v>783.04</v>
          </cell>
          <cell r="D77">
            <v>8.6999999999999993</v>
          </cell>
          <cell r="E77">
            <v>0</v>
          </cell>
          <cell r="F77">
            <v>0</v>
          </cell>
          <cell r="G77">
            <v>5.9</v>
          </cell>
          <cell r="H77">
            <v>777.14</v>
          </cell>
          <cell r="I77">
            <v>371.86</v>
          </cell>
          <cell r="J77">
            <v>2.52</v>
          </cell>
          <cell r="K77">
            <v>407.8</v>
          </cell>
          <cell r="L77">
            <v>52.25</v>
          </cell>
          <cell r="M77">
            <v>0.04</v>
          </cell>
        </row>
        <row r="78">
          <cell r="A78" t="str">
            <v>SECALUX</v>
          </cell>
          <cell r="B78">
            <v>5</v>
          </cell>
          <cell r="C78">
            <v>674.22</v>
          </cell>
          <cell r="D78">
            <v>35.49</v>
          </cell>
          <cell r="E78">
            <v>0</v>
          </cell>
          <cell r="F78">
            <v>0</v>
          </cell>
          <cell r="G78">
            <v>0</v>
          </cell>
          <cell r="H78">
            <v>674.22</v>
          </cell>
          <cell r="I78">
            <v>416.77</v>
          </cell>
          <cell r="J78">
            <v>0</v>
          </cell>
          <cell r="K78">
            <v>257.45</v>
          </cell>
          <cell r="L78">
            <v>38.18</v>
          </cell>
          <cell r="M78">
            <v>0.03</v>
          </cell>
        </row>
        <row r="79">
          <cell r="A79" t="str">
            <v>ASTRA</v>
          </cell>
          <cell r="B79">
            <v>4</v>
          </cell>
          <cell r="C79">
            <v>651.79999999999995</v>
          </cell>
          <cell r="D79">
            <v>24.14</v>
          </cell>
          <cell r="E79">
            <v>0</v>
          </cell>
          <cell r="F79">
            <v>0</v>
          </cell>
          <cell r="G79">
            <v>33.9</v>
          </cell>
          <cell r="H79">
            <v>617.9</v>
          </cell>
          <cell r="I79">
            <v>379.78</v>
          </cell>
          <cell r="J79">
            <v>17.09</v>
          </cell>
          <cell r="K79">
            <v>255.21</v>
          </cell>
          <cell r="L79">
            <v>40.21</v>
          </cell>
          <cell r="M79">
            <v>0.03</v>
          </cell>
        </row>
        <row r="80">
          <cell r="A80" t="str">
            <v>ARCELORMITTAL</v>
          </cell>
          <cell r="B80">
            <v>5</v>
          </cell>
          <cell r="C80">
            <v>608.22</v>
          </cell>
          <cell r="D80">
            <v>55.29</v>
          </cell>
          <cell r="E80">
            <v>0</v>
          </cell>
          <cell r="F80">
            <v>0</v>
          </cell>
          <cell r="G80">
            <v>0</v>
          </cell>
          <cell r="H80">
            <v>608.22</v>
          </cell>
          <cell r="I80">
            <v>355.49</v>
          </cell>
          <cell r="J80">
            <v>0</v>
          </cell>
          <cell r="K80">
            <v>252.73</v>
          </cell>
          <cell r="L80">
            <v>41.55</v>
          </cell>
          <cell r="M80">
            <v>0.03</v>
          </cell>
        </row>
        <row r="81">
          <cell r="A81" t="str">
            <v>GERDAU</v>
          </cell>
          <cell r="B81">
            <v>3</v>
          </cell>
          <cell r="C81">
            <v>596.1</v>
          </cell>
          <cell r="D81">
            <v>29.81</v>
          </cell>
          <cell r="E81">
            <v>0</v>
          </cell>
          <cell r="F81">
            <v>0</v>
          </cell>
          <cell r="G81">
            <v>0</v>
          </cell>
          <cell r="H81">
            <v>596.1</v>
          </cell>
          <cell r="I81">
            <v>310.42</v>
          </cell>
          <cell r="J81">
            <v>0</v>
          </cell>
          <cell r="K81">
            <v>285.68</v>
          </cell>
          <cell r="L81">
            <v>47.92</v>
          </cell>
          <cell r="M81">
            <v>0.03</v>
          </cell>
        </row>
        <row r="82">
          <cell r="A82" t="str">
            <v>STARRETT INDUSTRIA E COMERCIO</v>
          </cell>
          <cell r="B82">
            <v>4</v>
          </cell>
          <cell r="C82">
            <v>573.46</v>
          </cell>
          <cell r="D82">
            <v>17.920000000000002</v>
          </cell>
          <cell r="E82">
            <v>0</v>
          </cell>
          <cell r="F82">
            <v>0</v>
          </cell>
          <cell r="G82">
            <v>0</v>
          </cell>
          <cell r="H82">
            <v>573.46</v>
          </cell>
          <cell r="I82">
            <v>309.7</v>
          </cell>
          <cell r="J82">
            <v>0</v>
          </cell>
          <cell r="K82">
            <v>263.76</v>
          </cell>
          <cell r="L82">
            <v>45.99</v>
          </cell>
          <cell r="M82">
            <v>0.03</v>
          </cell>
        </row>
        <row r="83">
          <cell r="A83" t="str">
            <v>ILUMI</v>
          </cell>
          <cell r="B83">
            <v>6</v>
          </cell>
          <cell r="C83">
            <v>572.4</v>
          </cell>
          <cell r="D83">
            <v>12.72</v>
          </cell>
          <cell r="E83">
            <v>0</v>
          </cell>
          <cell r="F83">
            <v>0</v>
          </cell>
          <cell r="G83">
            <v>35.9</v>
          </cell>
          <cell r="H83">
            <v>536.5</v>
          </cell>
          <cell r="I83">
            <v>315</v>
          </cell>
          <cell r="J83">
            <v>19.02</v>
          </cell>
          <cell r="K83">
            <v>240.52</v>
          </cell>
          <cell r="L83">
            <v>43.46</v>
          </cell>
          <cell r="M83">
            <v>0.03</v>
          </cell>
        </row>
        <row r="84">
          <cell r="A84" t="str">
            <v>ULTRACLEAN</v>
          </cell>
          <cell r="B84">
            <v>5</v>
          </cell>
          <cell r="C84">
            <v>537.29999999999995</v>
          </cell>
          <cell r="D84">
            <v>19.899999999999999</v>
          </cell>
          <cell r="E84">
            <v>0</v>
          </cell>
          <cell r="F84">
            <v>0</v>
          </cell>
          <cell r="G84">
            <v>0</v>
          </cell>
          <cell r="H84">
            <v>537.29999999999995</v>
          </cell>
          <cell r="I84">
            <v>331.06</v>
          </cell>
          <cell r="J84">
            <v>0</v>
          </cell>
          <cell r="K84">
            <v>206.24</v>
          </cell>
          <cell r="L84">
            <v>38.380000000000003</v>
          </cell>
          <cell r="M84">
            <v>0.03</v>
          </cell>
        </row>
        <row r="85">
          <cell r="A85" t="str">
            <v>COZIMAX</v>
          </cell>
          <cell r="B85">
            <v>2</v>
          </cell>
          <cell r="C85">
            <v>528.52</v>
          </cell>
          <cell r="D85">
            <v>132.13</v>
          </cell>
          <cell r="E85">
            <v>0</v>
          </cell>
          <cell r="F85">
            <v>0</v>
          </cell>
          <cell r="G85">
            <v>0</v>
          </cell>
          <cell r="H85">
            <v>528.52</v>
          </cell>
          <cell r="I85">
            <v>312.64999999999998</v>
          </cell>
          <cell r="J85">
            <v>0</v>
          </cell>
          <cell r="K85">
            <v>215.87</v>
          </cell>
          <cell r="L85">
            <v>40.840000000000003</v>
          </cell>
          <cell r="M85">
            <v>0.02</v>
          </cell>
        </row>
        <row r="86">
          <cell r="A86" t="str">
            <v>Max-Giro</v>
          </cell>
          <cell r="B86">
            <v>5</v>
          </cell>
          <cell r="C86">
            <v>491.27</v>
          </cell>
          <cell r="D86">
            <v>13.65</v>
          </cell>
          <cell r="E86">
            <v>0</v>
          </cell>
          <cell r="F86">
            <v>0</v>
          </cell>
          <cell r="G86">
            <v>0</v>
          </cell>
          <cell r="H86">
            <v>491.27</v>
          </cell>
          <cell r="I86">
            <v>291.24</v>
          </cell>
          <cell r="J86">
            <v>0</v>
          </cell>
          <cell r="K86">
            <v>200.03</v>
          </cell>
          <cell r="L86">
            <v>40.72</v>
          </cell>
          <cell r="M86">
            <v>0.02</v>
          </cell>
        </row>
        <row r="87">
          <cell r="A87" t="str">
            <v>ELIZABETH PORC.</v>
          </cell>
          <cell r="B87">
            <v>1</v>
          </cell>
          <cell r="C87">
            <v>488.53680000000003</v>
          </cell>
          <cell r="D87">
            <v>50.68</v>
          </cell>
          <cell r="E87">
            <v>0</v>
          </cell>
          <cell r="F87">
            <v>0</v>
          </cell>
          <cell r="G87">
            <v>290.06</v>
          </cell>
          <cell r="H87">
            <v>198.4768</v>
          </cell>
          <cell r="I87">
            <v>303.67959999999999</v>
          </cell>
          <cell r="J87">
            <v>184.5496</v>
          </cell>
          <cell r="K87">
            <v>79.346800000000002</v>
          </cell>
          <cell r="L87">
            <v>26.1</v>
          </cell>
          <cell r="M87">
            <v>0.02</v>
          </cell>
        </row>
        <row r="88">
          <cell r="A88" t="str">
            <v>VONDER</v>
          </cell>
          <cell r="B88">
            <v>4</v>
          </cell>
          <cell r="C88">
            <v>358.69</v>
          </cell>
          <cell r="D88">
            <v>25.62</v>
          </cell>
          <cell r="E88">
            <v>0</v>
          </cell>
          <cell r="F88">
            <v>0</v>
          </cell>
          <cell r="G88">
            <v>0</v>
          </cell>
          <cell r="H88">
            <v>358.69</v>
          </cell>
          <cell r="I88">
            <v>188.71</v>
          </cell>
          <cell r="J88">
            <v>0</v>
          </cell>
          <cell r="K88">
            <v>169.98</v>
          </cell>
          <cell r="L88">
            <v>47.39</v>
          </cell>
          <cell r="M88">
            <v>0.02</v>
          </cell>
        </row>
        <row r="89">
          <cell r="A89" t="str">
            <v>DISTAC</v>
          </cell>
          <cell r="B89">
            <v>3</v>
          </cell>
          <cell r="C89">
            <v>356.4</v>
          </cell>
          <cell r="D89">
            <v>9.9</v>
          </cell>
          <cell r="E89">
            <v>0</v>
          </cell>
          <cell r="F89">
            <v>0</v>
          </cell>
          <cell r="G89">
            <v>0</v>
          </cell>
          <cell r="H89">
            <v>356.4</v>
          </cell>
          <cell r="I89">
            <v>178.56</v>
          </cell>
          <cell r="J89">
            <v>0</v>
          </cell>
          <cell r="K89">
            <v>177.84</v>
          </cell>
          <cell r="L89">
            <v>49.9</v>
          </cell>
          <cell r="M89">
            <v>0.02</v>
          </cell>
        </row>
        <row r="90">
          <cell r="A90" t="str">
            <v>KDK PORTAS</v>
          </cell>
          <cell r="B90">
            <v>1</v>
          </cell>
          <cell r="C90">
            <v>317.8</v>
          </cell>
          <cell r="D90">
            <v>158.9</v>
          </cell>
          <cell r="E90">
            <v>0</v>
          </cell>
          <cell r="F90">
            <v>0</v>
          </cell>
          <cell r="G90">
            <v>0</v>
          </cell>
          <cell r="H90">
            <v>317.8</v>
          </cell>
          <cell r="I90">
            <v>181.44</v>
          </cell>
          <cell r="J90">
            <v>0</v>
          </cell>
          <cell r="K90">
            <v>136.36000000000001</v>
          </cell>
          <cell r="L90">
            <v>42.91</v>
          </cell>
          <cell r="M90">
            <v>0.01</v>
          </cell>
        </row>
        <row r="91">
          <cell r="A91" t="str">
            <v>GARDENLIFE</v>
          </cell>
          <cell r="B91">
            <v>1</v>
          </cell>
          <cell r="C91">
            <v>298.39999999999998</v>
          </cell>
          <cell r="D91">
            <v>59.68</v>
          </cell>
          <cell r="E91">
            <v>0</v>
          </cell>
          <cell r="F91">
            <v>0</v>
          </cell>
          <cell r="G91">
            <v>0</v>
          </cell>
          <cell r="H91">
            <v>298.39999999999998</v>
          </cell>
          <cell r="I91">
            <v>193.75</v>
          </cell>
          <cell r="J91">
            <v>0</v>
          </cell>
          <cell r="K91">
            <v>104.65</v>
          </cell>
          <cell r="L91">
            <v>35.07</v>
          </cell>
          <cell r="M91">
            <v>0.01</v>
          </cell>
        </row>
        <row r="92">
          <cell r="A92" t="str">
            <v>ULTRA CLEAN</v>
          </cell>
          <cell r="B92">
            <v>5</v>
          </cell>
          <cell r="C92">
            <v>295.7</v>
          </cell>
          <cell r="D92">
            <v>22.75</v>
          </cell>
          <cell r="E92">
            <v>0</v>
          </cell>
          <cell r="F92">
            <v>0</v>
          </cell>
          <cell r="G92">
            <v>0</v>
          </cell>
          <cell r="H92">
            <v>295.7</v>
          </cell>
          <cell r="I92">
            <v>183.52</v>
          </cell>
          <cell r="J92">
            <v>0</v>
          </cell>
          <cell r="K92">
            <v>112.18</v>
          </cell>
          <cell r="L92">
            <v>37.94</v>
          </cell>
          <cell r="M92">
            <v>0.01</v>
          </cell>
        </row>
        <row r="93">
          <cell r="A93" t="str">
            <v>BRASFORT</v>
          </cell>
          <cell r="B93">
            <v>3</v>
          </cell>
          <cell r="C93">
            <v>259.5</v>
          </cell>
          <cell r="D93">
            <v>14.42</v>
          </cell>
          <cell r="E93">
            <v>0</v>
          </cell>
          <cell r="F93">
            <v>0</v>
          </cell>
          <cell r="G93">
            <v>0</v>
          </cell>
          <cell r="H93">
            <v>259.5</v>
          </cell>
          <cell r="I93">
            <v>154.66</v>
          </cell>
          <cell r="J93">
            <v>0</v>
          </cell>
          <cell r="K93">
            <v>104.84</v>
          </cell>
          <cell r="L93">
            <v>40.4</v>
          </cell>
          <cell r="M93">
            <v>0.01</v>
          </cell>
        </row>
        <row r="94">
          <cell r="A94" t="str">
            <v>RHPE</v>
          </cell>
          <cell r="B94">
            <v>1</v>
          </cell>
          <cell r="C94">
            <v>257.7</v>
          </cell>
          <cell r="D94">
            <v>85.9</v>
          </cell>
          <cell r="E94">
            <v>0</v>
          </cell>
          <cell r="F94">
            <v>0</v>
          </cell>
          <cell r="G94">
            <v>0</v>
          </cell>
          <cell r="H94">
            <v>257.7</v>
          </cell>
          <cell r="I94">
            <v>160.02000000000001</v>
          </cell>
          <cell r="J94">
            <v>0</v>
          </cell>
          <cell r="K94">
            <v>97.68</v>
          </cell>
          <cell r="L94">
            <v>37.9</v>
          </cell>
          <cell r="M94">
            <v>0.01</v>
          </cell>
        </row>
        <row r="95">
          <cell r="A95" t="str">
            <v>ANJO TINTAS E SOLVENTES</v>
          </cell>
          <cell r="B95">
            <v>4</v>
          </cell>
          <cell r="C95">
            <v>238.35</v>
          </cell>
          <cell r="D95">
            <v>26.48</v>
          </cell>
          <cell r="E95">
            <v>0</v>
          </cell>
          <cell r="F95">
            <v>0</v>
          </cell>
          <cell r="G95">
            <v>0</v>
          </cell>
          <cell r="H95">
            <v>238.35</v>
          </cell>
          <cell r="I95">
            <v>156.38999999999999</v>
          </cell>
          <cell r="J95">
            <v>0</v>
          </cell>
          <cell r="K95">
            <v>81.96</v>
          </cell>
          <cell r="L95">
            <v>34.39</v>
          </cell>
          <cell r="M95">
            <v>0.01</v>
          </cell>
        </row>
        <row r="96">
          <cell r="A96" t="str">
            <v>OVERTIME</v>
          </cell>
          <cell r="B96">
            <v>3</v>
          </cell>
          <cell r="C96">
            <v>236.12</v>
          </cell>
          <cell r="D96">
            <v>19.68</v>
          </cell>
          <cell r="E96">
            <v>0</v>
          </cell>
          <cell r="F96">
            <v>0</v>
          </cell>
          <cell r="G96">
            <v>0</v>
          </cell>
          <cell r="H96">
            <v>236.12</v>
          </cell>
          <cell r="I96">
            <v>141.63999999999999</v>
          </cell>
          <cell r="J96">
            <v>0</v>
          </cell>
          <cell r="K96">
            <v>94.48</v>
          </cell>
          <cell r="L96">
            <v>40.01</v>
          </cell>
          <cell r="M96">
            <v>0.01</v>
          </cell>
        </row>
        <row r="97">
          <cell r="A97" t="str">
            <v>BOSCH</v>
          </cell>
          <cell r="B97">
            <v>3</v>
          </cell>
          <cell r="C97">
            <v>234.92</v>
          </cell>
          <cell r="D97">
            <v>46.98</v>
          </cell>
          <cell r="E97">
            <v>0</v>
          </cell>
          <cell r="F97">
            <v>0</v>
          </cell>
          <cell r="G97">
            <v>0</v>
          </cell>
          <cell r="H97">
            <v>234.92</v>
          </cell>
          <cell r="I97">
            <v>148.44999999999999</v>
          </cell>
          <cell r="J97">
            <v>0</v>
          </cell>
          <cell r="K97">
            <v>86.47</v>
          </cell>
          <cell r="L97">
            <v>36.81</v>
          </cell>
          <cell r="M97">
            <v>0.01</v>
          </cell>
        </row>
        <row r="98">
          <cell r="A98" t="str">
            <v>NAWA COM ATAC VAR PROD LAR E L</v>
          </cell>
          <cell r="B98">
            <v>1</v>
          </cell>
          <cell r="C98">
            <v>229.9</v>
          </cell>
          <cell r="D98">
            <v>229.9</v>
          </cell>
          <cell r="E98">
            <v>0</v>
          </cell>
          <cell r="F98">
            <v>0</v>
          </cell>
          <cell r="G98">
            <v>0</v>
          </cell>
          <cell r="H98">
            <v>229.9</v>
          </cell>
          <cell r="I98">
            <v>136.66999999999999</v>
          </cell>
          <cell r="J98">
            <v>0</v>
          </cell>
          <cell r="K98">
            <v>93.23</v>
          </cell>
          <cell r="L98">
            <v>40.549999999999997</v>
          </cell>
          <cell r="M98">
            <v>0.01</v>
          </cell>
        </row>
        <row r="99">
          <cell r="A99" t="str">
            <v>COMFORT DOOR</v>
          </cell>
          <cell r="B99">
            <v>3</v>
          </cell>
          <cell r="C99">
            <v>202.26</v>
          </cell>
          <cell r="D99">
            <v>33.71</v>
          </cell>
          <cell r="E99">
            <v>0</v>
          </cell>
          <cell r="F99">
            <v>0</v>
          </cell>
          <cell r="G99">
            <v>0</v>
          </cell>
          <cell r="H99">
            <v>202.26</v>
          </cell>
          <cell r="I99">
            <v>111.75</v>
          </cell>
          <cell r="J99">
            <v>0</v>
          </cell>
          <cell r="K99">
            <v>90.51</v>
          </cell>
          <cell r="L99">
            <v>44.75</v>
          </cell>
          <cell r="M99">
            <v>0.01</v>
          </cell>
        </row>
        <row r="100">
          <cell r="A100" t="str">
            <v>TRAMONTINA NORDESTE</v>
          </cell>
          <cell r="B100">
            <v>1</v>
          </cell>
          <cell r="C100">
            <v>199</v>
          </cell>
          <cell r="D100">
            <v>199</v>
          </cell>
          <cell r="E100">
            <v>0</v>
          </cell>
          <cell r="F100">
            <v>0</v>
          </cell>
          <cell r="G100">
            <v>0</v>
          </cell>
          <cell r="H100">
            <v>199</v>
          </cell>
          <cell r="I100">
            <v>166.26</v>
          </cell>
          <cell r="J100">
            <v>0</v>
          </cell>
          <cell r="K100">
            <v>32.74</v>
          </cell>
          <cell r="L100">
            <v>16.45</v>
          </cell>
          <cell r="M100">
            <v>0.01</v>
          </cell>
        </row>
        <row r="101">
          <cell r="A101" t="str">
            <v>CERBRAS</v>
          </cell>
          <cell r="B101">
            <v>1</v>
          </cell>
          <cell r="C101">
            <v>196.91</v>
          </cell>
          <cell r="D101">
            <v>67.900000000000006</v>
          </cell>
          <cell r="E101">
            <v>0</v>
          </cell>
          <cell r="F101">
            <v>0</v>
          </cell>
          <cell r="G101">
            <v>0</v>
          </cell>
          <cell r="H101">
            <v>196.91</v>
          </cell>
          <cell r="I101">
            <v>126.70099999999999</v>
          </cell>
          <cell r="J101">
            <v>0</v>
          </cell>
          <cell r="K101">
            <v>70.209000000000003</v>
          </cell>
          <cell r="L101">
            <v>35.659999999999997</v>
          </cell>
          <cell r="M101">
            <v>0.01</v>
          </cell>
        </row>
        <row r="102">
          <cell r="A102" t="str">
            <v xml:space="preserve"> RESISWAL</v>
          </cell>
          <cell r="B102">
            <v>3</v>
          </cell>
          <cell r="C102">
            <v>155.6</v>
          </cell>
          <cell r="D102">
            <v>38.9</v>
          </cell>
          <cell r="E102">
            <v>0</v>
          </cell>
          <cell r="F102">
            <v>0</v>
          </cell>
          <cell r="G102">
            <v>0</v>
          </cell>
          <cell r="H102">
            <v>155.6</v>
          </cell>
          <cell r="I102">
            <v>86.16</v>
          </cell>
          <cell r="J102">
            <v>0</v>
          </cell>
          <cell r="K102">
            <v>69.44</v>
          </cell>
          <cell r="L102">
            <v>44.63</v>
          </cell>
          <cell r="M102">
            <v>0.01</v>
          </cell>
        </row>
        <row r="103">
          <cell r="A103" t="str">
            <v>LEDAN</v>
          </cell>
          <cell r="B103">
            <v>3</v>
          </cell>
          <cell r="C103">
            <v>150.27000000000001</v>
          </cell>
          <cell r="D103">
            <v>6.01</v>
          </cell>
          <cell r="E103">
            <v>0</v>
          </cell>
          <cell r="F103">
            <v>0</v>
          </cell>
          <cell r="G103">
            <v>0</v>
          </cell>
          <cell r="H103">
            <v>150.27000000000001</v>
          </cell>
          <cell r="I103">
            <v>93.44</v>
          </cell>
          <cell r="J103">
            <v>0</v>
          </cell>
          <cell r="K103">
            <v>56.83</v>
          </cell>
          <cell r="L103">
            <v>37.82</v>
          </cell>
          <cell r="M103">
            <v>0.01</v>
          </cell>
        </row>
        <row r="104">
          <cell r="A104" t="str">
            <v>PRECON</v>
          </cell>
          <cell r="B104">
            <v>1</v>
          </cell>
          <cell r="C104">
            <v>125.9</v>
          </cell>
          <cell r="D104">
            <v>125.9</v>
          </cell>
          <cell r="E104">
            <v>0</v>
          </cell>
          <cell r="F104">
            <v>0</v>
          </cell>
          <cell r="G104">
            <v>0</v>
          </cell>
          <cell r="H104">
            <v>125.9</v>
          </cell>
          <cell r="I104">
            <v>79.319999999999993</v>
          </cell>
          <cell r="J104">
            <v>0</v>
          </cell>
          <cell r="K104">
            <v>46.58</v>
          </cell>
          <cell r="L104">
            <v>37</v>
          </cell>
          <cell r="M104">
            <v>0.01</v>
          </cell>
        </row>
        <row r="105">
          <cell r="A105" t="str">
            <v>STAM</v>
          </cell>
          <cell r="B105">
            <v>1</v>
          </cell>
          <cell r="C105">
            <v>122.9</v>
          </cell>
          <cell r="D105">
            <v>122.9</v>
          </cell>
          <cell r="E105">
            <v>0</v>
          </cell>
          <cell r="F105">
            <v>0</v>
          </cell>
          <cell r="G105">
            <v>0</v>
          </cell>
          <cell r="H105">
            <v>122.9</v>
          </cell>
          <cell r="I105">
            <v>72.8</v>
          </cell>
          <cell r="J105">
            <v>0</v>
          </cell>
          <cell r="K105">
            <v>50.1</v>
          </cell>
          <cell r="L105">
            <v>40.76</v>
          </cell>
          <cell r="M105">
            <v>0.01</v>
          </cell>
        </row>
        <row r="106">
          <cell r="A106" t="str">
            <v>RANCAN</v>
          </cell>
          <cell r="B106">
            <v>2</v>
          </cell>
          <cell r="C106">
            <v>119.8</v>
          </cell>
          <cell r="D106">
            <v>59.9</v>
          </cell>
          <cell r="E106">
            <v>0</v>
          </cell>
          <cell r="F106">
            <v>0</v>
          </cell>
          <cell r="G106">
            <v>0</v>
          </cell>
          <cell r="H106">
            <v>119.8</v>
          </cell>
          <cell r="I106">
            <v>65.13</v>
          </cell>
          <cell r="J106">
            <v>0</v>
          </cell>
          <cell r="K106">
            <v>54.67</v>
          </cell>
          <cell r="L106">
            <v>45.63</v>
          </cell>
          <cell r="M106">
            <v>0.01</v>
          </cell>
        </row>
        <row r="107">
          <cell r="A107" t="str">
            <v>OUROLUX</v>
          </cell>
          <cell r="B107">
            <v>1</v>
          </cell>
          <cell r="C107">
            <v>75.8</v>
          </cell>
          <cell r="D107">
            <v>37.9</v>
          </cell>
          <cell r="E107">
            <v>0</v>
          </cell>
          <cell r="F107">
            <v>0</v>
          </cell>
          <cell r="G107">
            <v>0</v>
          </cell>
          <cell r="H107">
            <v>75.8</v>
          </cell>
          <cell r="I107">
            <v>41.96</v>
          </cell>
          <cell r="J107">
            <v>0</v>
          </cell>
          <cell r="K107">
            <v>33.840000000000003</v>
          </cell>
          <cell r="L107">
            <v>44.64</v>
          </cell>
          <cell r="M107">
            <v>0</v>
          </cell>
        </row>
        <row r="108">
          <cell r="A108" t="str">
            <v>J LOBATO</v>
          </cell>
          <cell r="B108">
            <v>1</v>
          </cell>
          <cell r="C108">
            <v>72.16</v>
          </cell>
          <cell r="D108">
            <v>18.04</v>
          </cell>
          <cell r="E108">
            <v>0</v>
          </cell>
          <cell r="F108">
            <v>0</v>
          </cell>
          <cell r="G108">
            <v>0</v>
          </cell>
          <cell r="H108">
            <v>72.16</v>
          </cell>
          <cell r="I108">
            <v>33.72</v>
          </cell>
          <cell r="J108">
            <v>0</v>
          </cell>
          <cell r="K108">
            <v>38.44</v>
          </cell>
          <cell r="L108">
            <v>53.27</v>
          </cell>
          <cell r="M108">
            <v>0</v>
          </cell>
        </row>
        <row r="109">
          <cell r="A109" t="str">
            <v>FORTLINE</v>
          </cell>
          <cell r="B109">
            <v>1</v>
          </cell>
          <cell r="C109">
            <v>67.900000000000006</v>
          </cell>
          <cell r="D109">
            <v>67.900000000000006</v>
          </cell>
          <cell r="E109">
            <v>0</v>
          </cell>
          <cell r="F109">
            <v>0</v>
          </cell>
          <cell r="G109">
            <v>207.8</v>
          </cell>
          <cell r="H109">
            <v>-139.9</v>
          </cell>
          <cell r="I109">
            <v>40.08</v>
          </cell>
          <cell r="J109">
            <v>123.62</v>
          </cell>
          <cell r="K109">
            <v>-56.36</v>
          </cell>
          <cell r="L109">
            <v>0</v>
          </cell>
          <cell r="M109">
            <v>0</v>
          </cell>
        </row>
        <row r="110">
          <cell r="A110" t="str">
            <v>LGMAIS</v>
          </cell>
          <cell r="B110">
            <v>1</v>
          </cell>
          <cell r="C110">
            <v>61.9</v>
          </cell>
          <cell r="D110">
            <v>61.9</v>
          </cell>
          <cell r="E110">
            <v>0</v>
          </cell>
          <cell r="F110">
            <v>0</v>
          </cell>
          <cell r="G110">
            <v>0</v>
          </cell>
          <cell r="H110">
            <v>61.9</v>
          </cell>
          <cell r="I110">
            <v>37.43</v>
          </cell>
          <cell r="J110">
            <v>0</v>
          </cell>
          <cell r="K110">
            <v>24.47</v>
          </cell>
          <cell r="L110">
            <v>39.53</v>
          </cell>
          <cell r="M110">
            <v>0</v>
          </cell>
        </row>
        <row r="111">
          <cell r="A111" t="str">
            <v>EXTRALUX</v>
          </cell>
          <cell r="B111">
            <v>2</v>
          </cell>
          <cell r="C111">
            <v>57.8</v>
          </cell>
          <cell r="D111">
            <v>28.9</v>
          </cell>
          <cell r="E111">
            <v>0</v>
          </cell>
          <cell r="F111">
            <v>0</v>
          </cell>
          <cell r="G111">
            <v>0</v>
          </cell>
          <cell r="H111">
            <v>57.8</v>
          </cell>
          <cell r="I111">
            <v>34.24</v>
          </cell>
          <cell r="J111">
            <v>0</v>
          </cell>
          <cell r="K111">
            <v>23.56</v>
          </cell>
          <cell r="L111">
            <v>40.76</v>
          </cell>
          <cell r="M111">
            <v>0</v>
          </cell>
        </row>
        <row r="112">
          <cell r="A112" t="str">
            <v>EMPLAC</v>
          </cell>
          <cell r="B112">
            <v>2</v>
          </cell>
          <cell r="C112">
            <v>48.4</v>
          </cell>
          <cell r="D112">
            <v>9.68</v>
          </cell>
          <cell r="E112">
            <v>0</v>
          </cell>
          <cell r="F112">
            <v>0</v>
          </cell>
          <cell r="G112">
            <v>0</v>
          </cell>
          <cell r="H112">
            <v>48.4</v>
          </cell>
          <cell r="I112">
            <v>22.25</v>
          </cell>
          <cell r="J112">
            <v>0</v>
          </cell>
          <cell r="K112">
            <v>26.15</v>
          </cell>
          <cell r="L112">
            <v>54.03</v>
          </cell>
          <cell r="M112">
            <v>0</v>
          </cell>
        </row>
        <row r="113">
          <cell r="A113" t="str">
            <v>TRAMONTINA ELETRIK S.A.</v>
          </cell>
          <cell r="B113">
            <v>1</v>
          </cell>
          <cell r="C113">
            <v>33.880000000000003</v>
          </cell>
          <cell r="D113">
            <v>8.4700000000000006</v>
          </cell>
          <cell r="E113">
            <v>0</v>
          </cell>
          <cell r="F113">
            <v>0</v>
          </cell>
          <cell r="G113">
            <v>0</v>
          </cell>
          <cell r="H113">
            <v>33.880000000000003</v>
          </cell>
          <cell r="I113">
            <v>19.989999999999998</v>
          </cell>
          <cell r="J113">
            <v>0</v>
          </cell>
          <cell r="K113">
            <v>13.89</v>
          </cell>
          <cell r="L113">
            <v>41</v>
          </cell>
          <cell r="M113">
            <v>0</v>
          </cell>
        </row>
        <row r="114">
          <cell r="A114" t="str">
            <v>SIGMA</v>
          </cell>
          <cell r="B114">
            <v>1</v>
          </cell>
          <cell r="C114">
            <v>31.9</v>
          </cell>
          <cell r="D114">
            <v>31.9</v>
          </cell>
          <cell r="E114">
            <v>0</v>
          </cell>
          <cell r="F114">
            <v>0</v>
          </cell>
          <cell r="G114">
            <v>0</v>
          </cell>
          <cell r="H114">
            <v>31.9</v>
          </cell>
          <cell r="I114">
            <v>19.23</v>
          </cell>
          <cell r="J114">
            <v>0</v>
          </cell>
          <cell r="K114">
            <v>12.67</v>
          </cell>
          <cell r="L114">
            <v>39.72</v>
          </cell>
          <cell r="M114">
            <v>0</v>
          </cell>
        </row>
        <row r="115">
          <cell r="A115" t="str">
            <v>NOVA FIXACAO</v>
          </cell>
          <cell r="B115">
            <v>2</v>
          </cell>
          <cell r="C115">
            <v>29.1</v>
          </cell>
          <cell r="D115">
            <v>1.94</v>
          </cell>
          <cell r="E115">
            <v>0</v>
          </cell>
          <cell r="F115">
            <v>0</v>
          </cell>
          <cell r="G115">
            <v>0</v>
          </cell>
          <cell r="H115">
            <v>29.1</v>
          </cell>
          <cell r="I115">
            <v>16.71</v>
          </cell>
          <cell r="J115">
            <v>0</v>
          </cell>
          <cell r="K115">
            <v>12.39</v>
          </cell>
          <cell r="L115">
            <v>42.58</v>
          </cell>
          <cell r="M115">
            <v>0</v>
          </cell>
        </row>
        <row r="116">
          <cell r="A116" t="str">
            <v>PADOVA</v>
          </cell>
          <cell r="B116">
            <v>1</v>
          </cell>
          <cell r="C116">
            <v>23.9</v>
          </cell>
          <cell r="D116">
            <v>23.9</v>
          </cell>
          <cell r="E116">
            <v>0</v>
          </cell>
          <cell r="F116">
            <v>0</v>
          </cell>
          <cell r="G116">
            <v>0</v>
          </cell>
          <cell r="H116">
            <v>23.9</v>
          </cell>
          <cell r="I116">
            <v>14.66</v>
          </cell>
          <cell r="J116">
            <v>0</v>
          </cell>
          <cell r="K116">
            <v>9.24</v>
          </cell>
          <cell r="L116">
            <v>38.659999999999997</v>
          </cell>
          <cell r="M116">
            <v>0</v>
          </cell>
        </row>
        <row r="117">
          <cell r="A117" t="str">
            <v>PHILIPS ILUMINACAO LA</v>
          </cell>
          <cell r="B117">
            <v>1</v>
          </cell>
          <cell r="C117">
            <v>22.4</v>
          </cell>
          <cell r="D117">
            <v>11.2</v>
          </cell>
          <cell r="E117">
            <v>0</v>
          </cell>
          <cell r="F117">
            <v>0</v>
          </cell>
          <cell r="G117">
            <v>0</v>
          </cell>
          <cell r="H117">
            <v>22.4</v>
          </cell>
          <cell r="I117">
            <v>13.44</v>
          </cell>
          <cell r="J117">
            <v>0</v>
          </cell>
          <cell r="K117">
            <v>8.9600000000000009</v>
          </cell>
          <cell r="L117">
            <v>40</v>
          </cell>
          <cell r="M117">
            <v>0</v>
          </cell>
        </row>
        <row r="118">
          <cell r="A118" t="str">
            <v>EXTRALUZ</v>
          </cell>
          <cell r="B118">
            <v>1</v>
          </cell>
          <cell r="C118">
            <v>12.49</v>
          </cell>
          <cell r="D118">
            <v>12.49</v>
          </cell>
          <cell r="E118">
            <v>0</v>
          </cell>
          <cell r="F118">
            <v>0</v>
          </cell>
          <cell r="G118">
            <v>0</v>
          </cell>
          <cell r="H118">
            <v>12.49</v>
          </cell>
          <cell r="I118">
            <v>7.43</v>
          </cell>
          <cell r="J118">
            <v>0</v>
          </cell>
          <cell r="K118">
            <v>5.0599999999999996</v>
          </cell>
          <cell r="L118">
            <v>40.51</v>
          </cell>
          <cell r="M118">
            <v>0</v>
          </cell>
        </row>
        <row r="119">
          <cell r="A119" t="str">
            <v>INCA</v>
          </cell>
          <cell r="B119">
            <v>2</v>
          </cell>
          <cell r="C119">
            <v>9.8000000000000007</v>
          </cell>
          <cell r="D119">
            <v>1.96</v>
          </cell>
          <cell r="E119">
            <v>0</v>
          </cell>
          <cell r="F119">
            <v>0</v>
          </cell>
          <cell r="G119">
            <v>0</v>
          </cell>
          <cell r="H119">
            <v>9.8000000000000007</v>
          </cell>
          <cell r="I119">
            <v>4.74</v>
          </cell>
          <cell r="J119">
            <v>0</v>
          </cell>
          <cell r="K119">
            <v>5.0599999999999996</v>
          </cell>
          <cell r="L119">
            <v>51.63</v>
          </cell>
          <cell r="M119">
            <v>0</v>
          </cell>
        </row>
        <row r="120">
          <cell r="A120" t="str">
            <v>outros</v>
          </cell>
          <cell r="B120">
            <v>0</v>
          </cell>
          <cell r="C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K FORN FEV 26"/>
    </sheetNames>
    <sheetDataSet>
      <sheetData sheetId="0">
        <row r="1">
          <cell r="A1" t="str">
            <v>Fabricante</v>
          </cell>
          <cell r="B1" t="str">
            <v>Qtd. Cliente</v>
          </cell>
          <cell r="C1" t="str">
            <v>Vlr. Venda</v>
          </cell>
          <cell r="D1" t="str">
            <v>Pr. Médio</v>
          </cell>
          <cell r="E1" t="str">
            <v>Vlr. Imposto</v>
          </cell>
          <cell r="F1" t="str">
            <v>Vlr. Bonif.</v>
          </cell>
          <cell r="G1" t="str">
            <v>Vlr. Devol.</v>
          </cell>
          <cell r="H1" t="str">
            <v>Total</v>
          </cell>
          <cell r="I1" t="str">
            <v>Custo Vnd.</v>
          </cell>
          <cell r="J1" t="str">
            <v>Custo Devol.</v>
          </cell>
          <cell r="K1" t="str">
            <v>Lucro</v>
          </cell>
          <cell r="L1" t="str">
            <v>Margem(%)</v>
          </cell>
          <cell r="M1" t="str">
            <v>%</v>
          </cell>
        </row>
        <row r="2">
          <cell r="A2" t="str">
            <v>INCENOR</v>
          </cell>
          <cell r="B2">
            <v>324</v>
          </cell>
          <cell r="C2">
            <v>434042.7426</v>
          </cell>
          <cell r="D2">
            <v>29.44</v>
          </cell>
          <cell r="E2">
            <v>0</v>
          </cell>
          <cell r="F2">
            <v>0</v>
          </cell>
          <cell r="G2">
            <v>20972.6358</v>
          </cell>
          <cell r="H2">
            <v>413070.10680000001</v>
          </cell>
          <cell r="I2">
            <v>296788.27039999998</v>
          </cell>
          <cell r="J2">
            <v>14237.5789</v>
          </cell>
          <cell r="K2">
            <v>130519.41529999999</v>
          </cell>
          <cell r="L2">
            <v>31.09</v>
          </cell>
          <cell r="M2">
            <v>25.29</v>
          </cell>
        </row>
        <row r="3">
          <cell r="A3" t="str">
            <v>DO MESTRE</v>
          </cell>
          <cell r="B3">
            <v>291</v>
          </cell>
          <cell r="C3">
            <v>171323.91</v>
          </cell>
          <cell r="D3">
            <v>27.29</v>
          </cell>
          <cell r="E3">
            <v>0</v>
          </cell>
          <cell r="F3">
            <v>0</v>
          </cell>
          <cell r="G3">
            <v>9699.5504000000001</v>
          </cell>
          <cell r="H3">
            <v>161624.3596</v>
          </cell>
          <cell r="I3">
            <v>99989.42</v>
          </cell>
          <cell r="J3">
            <v>5841.07</v>
          </cell>
          <cell r="K3">
            <v>67476.009600000005</v>
          </cell>
          <cell r="L3">
            <v>40.78</v>
          </cell>
          <cell r="M3">
            <v>9.98</v>
          </cell>
        </row>
        <row r="4">
          <cell r="A4" t="str">
            <v>IQUINE</v>
          </cell>
          <cell r="B4">
            <v>58</v>
          </cell>
          <cell r="C4">
            <v>92692.361999999994</v>
          </cell>
          <cell r="D4">
            <v>27.21</v>
          </cell>
          <cell r="E4">
            <v>0</v>
          </cell>
          <cell r="F4">
            <v>0</v>
          </cell>
          <cell r="G4">
            <v>1580.249</v>
          </cell>
          <cell r="H4">
            <v>91112.112999999998</v>
          </cell>
          <cell r="I4">
            <v>54646.839399999997</v>
          </cell>
          <cell r="J4">
            <v>930.39760000000001</v>
          </cell>
          <cell r="K4">
            <v>37395.671199999997</v>
          </cell>
          <cell r="L4">
            <v>40.75</v>
          </cell>
          <cell r="M4">
            <v>5.4</v>
          </cell>
        </row>
        <row r="5">
          <cell r="A5" t="str">
            <v>ELIZABETH</v>
          </cell>
          <cell r="B5">
            <v>81</v>
          </cell>
          <cell r="C5">
            <v>89130.895099999994</v>
          </cell>
          <cell r="D5">
            <v>25.62</v>
          </cell>
          <cell r="E5">
            <v>0</v>
          </cell>
          <cell r="F5">
            <v>0</v>
          </cell>
          <cell r="G5">
            <v>2551.4688000000001</v>
          </cell>
          <cell r="H5">
            <v>86579.426300000006</v>
          </cell>
          <cell r="I5">
            <v>57002.9548</v>
          </cell>
          <cell r="J5">
            <v>1618.3299</v>
          </cell>
          <cell r="K5">
            <v>31194.8014</v>
          </cell>
          <cell r="L5">
            <v>35.65</v>
          </cell>
          <cell r="M5">
            <v>5.19</v>
          </cell>
        </row>
        <row r="6">
          <cell r="A6" t="str">
            <v>BRASILIT</v>
          </cell>
          <cell r="B6">
            <v>50</v>
          </cell>
          <cell r="C6">
            <v>83340.91</v>
          </cell>
          <cell r="D6">
            <v>66.62</v>
          </cell>
          <cell r="E6">
            <v>0</v>
          </cell>
          <cell r="F6">
            <v>0</v>
          </cell>
          <cell r="G6">
            <v>315.2</v>
          </cell>
          <cell r="H6">
            <v>83025.710000000006</v>
          </cell>
          <cell r="I6">
            <v>63372.66</v>
          </cell>
          <cell r="J6">
            <v>203.96</v>
          </cell>
          <cell r="K6">
            <v>19857.009999999998</v>
          </cell>
          <cell r="L6">
            <v>23.88</v>
          </cell>
          <cell r="M6">
            <v>4.8600000000000003</v>
          </cell>
        </row>
        <row r="7">
          <cell r="A7" t="str">
            <v>MEGAÓ</v>
          </cell>
          <cell r="B7">
            <v>61</v>
          </cell>
          <cell r="C7">
            <v>80742.98</v>
          </cell>
          <cell r="D7">
            <v>56.98</v>
          </cell>
          <cell r="E7">
            <v>0</v>
          </cell>
          <cell r="F7">
            <v>0</v>
          </cell>
          <cell r="G7">
            <v>982.57</v>
          </cell>
          <cell r="H7">
            <v>79760.41</v>
          </cell>
          <cell r="I7">
            <v>48930.83</v>
          </cell>
          <cell r="J7">
            <v>585.91</v>
          </cell>
          <cell r="K7">
            <v>31415.49</v>
          </cell>
          <cell r="L7">
            <v>39.19</v>
          </cell>
          <cell r="M7">
            <v>4.7</v>
          </cell>
        </row>
        <row r="8">
          <cell r="A8" t="str">
            <v>TECNOGRES</v>
          </cell>
          <cell r="B8">
            <v>33</v>
          </cell>
          <cell r="C8">
            <v>71504.100999999995</v>
          </cell>
          <cell r="D8">
            <v>53.74</v>
          </cell>
          <cell r="E8">
            <v>0</v>
          </cell>
          <cell r="F8">
            <v>0</v>
          </cell>
          <cell r="G8">
            <v>7338.9688999999998</v>
          </cell>
          <cell r="H8">
            <v>64165.132100000003</v>
          </cell>
          <cell r="I8">
            <v>37964.595300000001</v>
          </cell>
          <cell r="J8">
            <v>3186.2015999999999</v>
          </cell>
          <cell r="K8">
            <v>29386.738399999998</v>
          </cell>
          <cell r="L8">
            <v>43.01</v>
          </cell>
          <cell r="M8">
            <v>4.17</v>
          </cell>
        </row>
        <row r="9">
          <cell r="A9" t="str">
            <v>WEBER QUARTZOLIT</v>
          </cell>
          <cell r="B9">
            <v>96</v>
          </cell>
          <cell r="C9">
            <v>57663.38</v>
          </cell>
          <cell r="D9">
            <v>27.23</v>
          </cell>
          <cell r="E9">
            <v>0</v>
          </cell>
          <cell r="F9">
            <v>0</v>
          </cell>
          <cell r="G9">
            <v>1275.3</v>
          </cell>
          <cell r="H9">
            <v>56388.08</v>
          </cell>
          <cell r="I9">
            <v>34313.949999999997</v>
          </cell>
          <cell r="J9">
            <v>737.58</v>
          </cell>
          <cell r="K9">
            <v>22811.71</v>
          </cell>
          <cell r="L9">
            <v>40.07</v>
          </cell>
          <cell r="M9">
            <v>3.36</v>
          </cell>
        </row>
        <row r="10">
          <cell r="A10" t="str">
            <v>ROCA</v>
          </cell>
          <cell r="B10">
            <v>57</v>
          </cell>
          <cell r="C10">
            <v>54632.480000000003</v>
          </cell>
          <cell r="D10">
            <v>191.02</v>
          </cell>
          <cell r="E10">
            <v>0</v>
          </cell>
          <cell r="F10">
            <v>0</v>
          </cell>
          <cell r="G10">
            <v>2015.72</v>
          </cell>
          <cell r="H10">
            <v>52616.76</v>
          </cell>
          <cell r="I10">
            <v>38574.949999999997</v>
          </cell>
          <cell r="J10">
            <v>1461.31</v>
          </cell>
          <cell r="K10">
            <v>15503.12</v>
          </cell>
          <cell r="L10">
            <v>29.16</v>
          </cell>
          <cell r="M10">
            <v>3.18</v>
          </cell>
        </row>
        <row r="11">
          <cell r="A11" t="str">
            <v>QUALITY</v>
          </cell>
          <cell r="B11">
            <v>58</v>
          </cell>
          <cell r="C11">
            <v>53503.11</v>
          </cell>
          <cell r="D11">
            <v>207.38</v>
          </cell>
          <cell r="E11">
            <v>0</v>
          </cell>
          <cell r="F11">
            <v>0</v>
          </cell>
          <cell r="G11">
            <v>1527.99</v>
          </cell>
          <cell r="H11">
            <v>51975.12</v>
          </cell>
          <cell r="I11">
            <v>32951.699999999997</v>
          </cell>
          <cell r="J11">
            <v>928.22</v>
          </cell>
          <cell r="K11">
            <v>19951.64</v>
          </cell>
          <cell r="L11">
            <v>37.950000000000003</v>
          </cell>
          <cell r="M11">
            <v>3.12</v>
          </cell>
        </row>
        <row r="12">
          <cell r="A12" t="str">
            <v>FORTLEV</v>
          </cell>
          <cell r="B12">
            <v>67</v>
          </cell>
          <cell r="C12">
            <v>46165.3</v>
          </cell>
          <cell r="D12">
            <v>14.64</v>
          </cell>
          <cell r="E12">
            <v>0</v>
          </cell>
          <cell r="F12">
            <v>0</v>
          </cell>
          <cell r="G12">
            <v>522.48</v>
          </cell>
          <cell r="H12">
            <v>45642.82</v>
          </cell>
          <cell r="I12">
            <v>32392.52</v>
          </cell>
          <cell r="J12">
            <v>334.94</v>
          </cell>
          <cell r="K12">
            <v>13585.24</v>
          </cell>
          <cell r="L12">
            <v>29.64</v>
          </cell>
          <cell r="M12">
            <v>2.69</v>
          </cell>
        </row>
        <row r="13">
          <cell r="A13" t="str">
            <v>NORCOLA</v>
          </cell>
          <cell r="B13">
            <v>15</v>
          </cell>
          <cell r="C13">
            <v>33523.660000000003</v>
          </cell>
          <cell r="D13">
            <v>231.2</v>
          </cell>
          <cell r="E13">
            <v>0</v>
          </cell>
          <cell r="F13">
            <v>0</v>
          </cell>
          <cell r="G13">
            <v>264.58999999999997</v>
          </cell>
          <cell r="H13">
            <v>33259.07</v>
          </cell>
          <cell r="I13">
            <v>23580.07</v>
          </cell>
          <cell r="J13">
            <v>210.4</v>
          </cell>
          <cell r="K13">
            <v>9889.4</v>
          </cell>
          <cell r="L13">
            <v>29.69</v>
          </cell>
          <cell r="M13">
            <v>1.95</v>
          </cell>
        </row>
        <row r="14">
          <cell r="A14" t="str">
            <v>REALLE</v>
          </cell>
          <cell r="B14">
            <v>30</v>
          </cell>
          <cell r="C14">
            <v>30512.538799999998</v>
          </cell>
          <cell r="D14">
            <v>31.16</v>
          </cell>
          <cell r="E14">
            <v>0</v>
          </cell>
          <cell r="F14">
            <v>0</v>
          </cell>
          <cell r="G14">
            <v>791.67039999999997</v>
          </cell>
          <cell r="H14">
            <v>29720.868399999999</v>
          </cell>
          <cell r="I14">
            <v>19690.704600000001</v>
          </cell>
          <cell r="J14">
            <v>518.27160000000003</v>
          </cell>
          <cell r="K14">
            <v>10548.4354</v>
          </cell>
          <cell r="L14">
            <v>35.17</v>
          </cell>
          <cell r="M14">
            <v>1.78</v>
          </cell>
        </row>
        <row r="15">
          <cell r="A15" t="str">
            <v>ARIELLE</v>
          </cell>
          <cell r="B15">
            <v>19</v>
          </cell>
          <cell r="C15">
            <v>23987.201499999999</v>
          </cell>
          <cell r="D15">
            <v>43.18</v>
          </cell>
          <cell r="E15">
            <v>0</v>
          </cell>
          <cell r="F15">
            <v>0</v>
          </cell>
          <cell r="G15">
            <v>450.30930000000001</v>
          </cell>
          <cell r="H15">
            <v>23536.892199999998</v>
          </cell>
          <cell r="I15">
            <v>15055.9274</v>
          </cell>
          <cell r="J15">
            <v>274.70339999999999</v>
          </cell>
          <cell r="K15">
            <v>8755.6682000000001</v>
          </cell>
          <cell r="L15">
            <v>36.92</v>
          </cell>
          <cell r="M15">
            <v>1.4</v>
          </cell>
        </row>
        <row r="16">
          <cell r="A16" t="str">
            <v>POINTER</v>
          </cell>
          <cell r="B16">
            <v>28</v>
          </cell>
          <cell r="C16">
            <v>23270.219000000001</v>
          </cell>
          <cell r="D16">
            <v>44.29</v>
          </cell>
          <cell r="E16">
            <v>0</v>
          </cell>
          <cell r="F16">
            <v>0</v>
          </cell>
          <cell r="G16">
            <v>424.1103</v>
          </cell>
          <cell r="H16">
            <v>22846.108700000001</v>
          </cell>
          <cell r="I16">
            <v>14260.971799999999</v>
          </cell>
          <cell r="J16">
            <v>252.87899999999999</v>
          </cell>
          <cell r="K16">
            <v>8838.0159000000003</v>
          </cell>
          <cell r="L16">
            <v>38.4</v>
          </cell>
          <cell r="M16">
            <v>1.36</v>
          </cell>
        </row>
        <row r="17">
          <cell r="A17" t="str">
            <v>ANAUGER</v>
          </cell>
          <cell r="B17">
            <v>10</v>
          </cell>
          <cell r="C17">
            <v>22247.7</v>
          </cell>
          <cell r="D17">
            <v>419.77</v>
          </cell>
          <cell r="E17">
            <v>0</v>
          </cell>
          <cell r="F17">
            <v>0</v>
          </cell>
          <cell r="G17">
            <v>713.7</v>
          </cell>
          <cell r="H17">
            <v>21534</v>
          </cell>
          <cell r="I17">
            <v>15484.13</v>
          </cell>
          <cell r="J17">
            <v>476.74</v>
          </cell>
          <cell r="K17">
            <v>6526.61</v>
          </cell>
          <cell r="L17">
            <v>29.98</v>
          </cell>
          <cell r="M17">
            <v>1.3</v>
          </cell>
        </row>
        <row r="18">
          <cell r="A18" t="str">
            <v>LORENZETTI</v>
          </cell>
          <cell r="B18">
            <v>18</v>
          </cell>
          <cell r="C18">
            <v>19319.68</v>
          </cell>
          <cell r="D18">
            <v>101.15</v>
          </cell>
          <cell r="E18">
            <v>0</v>
          </cell>
          <cell r="F18">
            <v>0</v>
          </cell>
          <cell r="G18">
            <v>283.60000000000002</v>
          </cell>
          <cell r="H18">
            <v>19036.080000000002</v>
          </cell>
          <cell r="I18">
            <v>12201.03</v>
          </cell>
          <cell r="J18">
            <v>173.67</v>
          </cell>
          <cell r="K18">
            <v>7008.72</v>
          </cell>
          <cell r="L18">
            <v>36.61</v>
          </cell>
          <cell r="M18">
            <v>1.1299999999999999</v>
          </cell>
        </row>
        <row r="19">
          <cell r="A19" t="str">
            <v>ATLAS</v>
          </cell>
          <cell r="B19">
            <v>35</v>
          </cell>
          <cell r="C19">
            <v>17648.64</v>
          </cell>
          <cell r="D19">
            <v>16.68</v>
          </cell>
          <cell r="E19">
            <v>0</v>
          </cell>
          <cell r="F19">
            <v>0</v>
          </cell>
          <cell r="G19">
            <v>28.42</v>
          </cell>
          <cell r="H19">
            <v>17620.22</v>
          </cell>
          <cell r="I19">
            <v>9409.6</v>
          </cell>
          <cell r="J19">
            <v>17.23</v>
          </cell>
          <cell r="K19">
            <v>8227.85</v>
          </cell>
          <cell r="L19">
            <v>46.67</v>
          </cell>
          <cell r="M19">
            <v>1.03</v>
          </cell>
        </row>
        <row r="20">
          <cell r="A20" t="str">
            <v>MADELAR</v>
          </cell>
          <cell r="B20">
            <v>30</v>
          </cell>
          <cell r="C20">
            <v>16248.77</v>
          </cell>
          <cell r="D20">
            <v>180.54</v>
          </cell>
          <cell r="E20">
            <v>0</v>
          </cell>
          <cell r="F20">
            <v>0</v>
          </cell>
          <cell r="G20">
            <v>727.19</v>
          </cell>
          <cell r="H20">
            <v>15521.58</v>
          </cell>
          <cell r="I20">
            <v>8995</v>
          </cell>
          <cell r="J20">
            <v>417</v>
          </cell>
          <cell r="K20">
            <v>6943.58</v>
          </cell>
          <cell r="L20">
            <v>43.86</v>
          </cell>
          <cell r="M20">
            <v>0.95</v>
          </cell>
        </row>
        <row r="21">
          <cell r="A21" t="str">
            <v>NITROLUX</v>
          </cell>
          <cell r="B21">
            <v>29</v>
          </cell>
          <cell r="C21">
            <v>16222.37</v>
          </cell>
          <cell r="D21">
            <v>11.92</v>
          </cell>
          <cell r="E21">
            <v>0</v>
          </cell>
          <cell r="F21">
            <v>0</v>
          </cell>
          <cell r="G21">
            <v>75.5</v>
          </cell>
          <cell r="H21">
            <v>16146.87</v>
          </cell>
          <cell r="I21">
            <v>8257.52</v>
          </cell>
          <cell r="J21">
            <v>38.99</v>
          </cell>
          <cell r="K21">
            <v>7928.34</v>
          </cell>
          <cell r="L21">
            <v>48.99</v>
          </cell>
          <cell r="M21">
            <v>0.95</v>
          </cell>
        </row>
        <row r="22">
          <cell r="A22" t="str">
            <v>GRANPLAST</v>
          </cell>
          <cell r="B22">
            <v>39</v>
          </cell>
          <cell r="C22">
            <v>15331.44</v>
          </cell>
          <cell r="D22">
            <v>26.52</v>
          </cell>
          <cell r="E22">
            <v>0</v>
          </cell>
          <cell r="F22">
            <v>0</v>
          </cell>
          <cell r="G22">
            <v>232.24</v>
          </cell>
          <cell r="H22">
            <v>15099.2</v>
          </cell>
          <cell r="I22">
            <v>8895</v>
          </cell>
          <cell r="J22">
            <v>140.03</v>
          </cell>
          <cell r="K22">
            <v>6344.23</v>
          </cell>
          <cell r="L22">
            <v>41.76</v>
          </cell>
          <cell r="M22">
            <v>0.89</v>
          </cell>
        </row>
        <row r="23">
          <cell r="A23" t="str">
            <v>MEC-TRONIC</v>
          </cell>
          <cell r="B23">
            <v>31</v>
          </cell>
          <cell r="C23">
            <v>14224.15</v>
          </cell>
          <cell r="D23">
            <v>10.17</v>
          </cell>
          <cell r="E23">
            <v>0</v>
          </cell>
          <cell r="F23">
            <v>0</v>
          </cell>
          <cell r="G23">
            <v>182.31</v>
          </cell>
          <cell r="H23">
            <v>14041.84</v>
          </cell>
          <cell r="I23">
            <v>7720.56</v>
          </cell>
          <cell r="J23">
            <v>103.5</v>
          </cell>
          <cell r="K23">
            <v>6424.78</v>
          </cell>
          <cell r="L23">
            <v>45.5</v>
          </cell>
          <cell r="M23">
            <v>0.83</v>
          </cell>
        </row>
        <row r="24">
          <cell r="A24" t="str">
            <v>GHEL'PLUS</v>
          </cell>
          <cell r="B24">
            <v>16</v>
          </cell>
          <cell r="C24">
            <v>11863.6</v>
          </cell>
          <cell r="D24">
            <v>150.16999999999999</v>
          </cell>
          <cell r="E24">
            <v>0</v>
          </cell>
          <cell r="F24">
            <v>0</v>
          </cell>
          <cell r="G24">
            <v>261.8</v>
          </cell>
          <cell r="H24">
            <v>11601.8</v>
          </cell>
          <cell r="I24">
            <v>7165.27</v>
          </cell>
          <cell r="J24">
            <v>152.05000000000001</v>
          </cell>
          <cell r="K24">
            <v>4588.58</v>
          </cell>
          <cell r="L24">
            <v>39.18</v>
          </cell>
          <cell r="M24">
            <v>0.69</v>
          </cell>
        </row>
        <row r="25">
          <cell r="A25" t="str">
            <v>FERTAK COMERCIO E IMPORTAÇÃO</v>
          </cell>
          <cell r="B25">
            <v>38</v>
          </cell>
          <cell r="C25">
            <v>11274.32</v>
          </cell>
          <cell r="D25">
            <v>8.77</v>
          </cell>
          <cell r="E25">
            <v>0</v>
          </cell>
          <cell r="F25">
            <v>0</v>
          </cell>
          <cell r="G25">
            <v>361</v>
          </cell>
          <cell r="H25">
            <v>10913.32</v>
          </cell>
          <cell r="I25">
            <v>5994</v>
          </cell>
          <cell r="J25">
            <v>210.49</v>
          </cell>
          <cell r="K25">
            <v>5129.8100000000004</v>
          </cell>
          <cell r="L25">
            <v>46.37</v>
          </cell>
          <cell r="M25">
            <v>0.66</v>
          </cell>
        </row>
        <row r="26">
          <cell r="A26" t="str">
            <v>BLACK DECKER</v>
          </cell>
          <cell r="B26">
            <v>13</v>
          </cell>
          <cell r="C26">
            <v>10988.11</v>
          </cell>
          <cell r="D26">
            <v>88.61</v>
          </cell>
          <cell r="E26">
            <v>0</v>
          </cell>
          <cell r="F26">
            <v>0</v>
          </cell>
          <cell r="G26">
            <v>385.1</v>
          </cell>
          <cell r="H26">
            <v>10603.01</v>
          </cell>
          <cell r="I26">
            <v>7117.6</v>
          </cell>
          <cell r="J26">
            <v>257.95</v>
          </cell>
          <cell r="K26">
            <v>3743.36</v>
          </cell>
          <cell r="L26">
            <v>34.89</v>
          </cell>
          <cell r="M26">
            <v>0.64</v>
          </cell>
        </row>
        <row r="27">
          <cell r="A27" t="str">
            <v>SILVANA</v>
          </cell>
          <cell r="B27">
            <v>19</v>
          </cell>
          <cell r="C27">
            <v>9787.77</v>
          </cell>
          <cell r="D27">
            <v>33.630000000000003</v>
          </cell>
          <cell r="E27">
            <v>0</v>
          </cell>
          <cell r="F27">
            <v>0</v>
          </cell>
          <cell r="G27">
            <v>123.6</v>
          </cell>
          <cell r="H27">
            <v>9664.17</v>
          </cell>
          <cell r="I27">
            <v>5836.65</v>
          </cell>
          <cell r="J27">
            <v>74.790000000000006</v>
          </cell>
          <cell r="K27">
            <v>3902.31</v>
          </cell>
          <cell r="L27">
            <v>40.18</v>
          </cell>
          <cell r="M27">
            <v>0.56999999999999995</v>
          </cell>
        </row>
        <row r="28">
          <cell r="A28" t="str">
            <v>INTECH MACHINE</v>
          </cell>
          <cell r="B28">
            <v>15</v>
          </cell>
          <cell r="C28">
            <v>9674.65</v>
          </cell>
          <cell r="D28">
            <v>201.56</v>
          </cell>
          <cell r="E28">
            <v>0</v>
          </cell>
          <cell r="F28">
            <v>0</v>
          </cell>
          <cell r="G28">
            <v>189</v>
          </cell>
          <cell r="H28">
            <v>9485.65</v>
          </cell>
          <cell r="I28">
            <v>5599.03</v>
          </cell>
          <cell r="J28">
            <v>113.04</v>
          </cell>
          <cell r="K28">
            <v>3999.66</v>
          </cell>
          <cell r="L28">
            <v>41.83</v>
          </cell>
          <cell r="M28">
            <v>0.56000000000000005</v>
          </cell>
        </row>
        <row r="29">
          <cell r="A29" t="str">
            <v>PADO</v>
          </cell>
          <cell r="B29">
            <v>16</v>
          </cell>
          <cell r="C29">
            <v>9454.42</v>
          </cell>
          <cell r="D29">
            <v>39.229999999999997</v>
          </cell>
          <cell r="E29">
            <v>0</v>
          </cell>
          <cell r="F29">
            <v>0</v>
          </cell>
          <cell r="G29">
            <v>86.9</v>
          </cell>
          <cell r="H29">
            <v>9367.52</v>
          </cell>
          <cell r="I29">
            <v>5461.72</v>
          </cell>
          <cell r="J29">
            <v>54.31</v>
          </cell>
          <cell r="K29">
            <v>3960.11</v>
          </cell>
          <cell r="L29">
            <v>42.13</v>
          </cell>
          <cell r="M29">
            <v>0.55000000000000004</v>
          </cell>
        </row>
        <row r="30">
          <cell r="A30" t="str">
            <v>METAIS LEAO</v>
          </cell>
          <cell r="B30">
            <v>19</v>
          </cell>
          <cell r="C30">
            <v>9014.4599999999991</v>
          </cell>
          <cell r="D30">
            <v>68.290000000000006</v>
          </cell>
          <cell r="E30">
            <v>0</v>
          </cell>
          <cell r="F30">
            <v>0</v>
          </cell>
          <cell r="G30">
            <v>212.4</v>
          </cell>
          <cell r="H30">
            <v>8802.06</v>
          </cell>
          <cell r="I30">
            <v>5214.93</v>
          </cell>
          <cell r="J30">
            <v>122</v>
          </cell>
          <cell r="K30">
            <v>3709.13</v>
          </cell>
          <cell r="L30">
            <v>41.71</v>
          </cell>
          <cell r="M30">
            <v>0.53</v>
          </cell>
        </row>
        <row r="31">
          <cell r="A31" t="str">
            <v>BLUKIT</v>
          </cell>
          <cell r="B31">
            <v>43</v>
          </cell>
          <cell r="C31">
            <v>8995.83</v>
          </cell>
          <cell r="D31">
            <v>19.02</v>
          </cell>
          <cell r="E31">
            <v>0</v>
          </cell>
          <cell r="F31">
            <v>0</v>
          </cell>
          <cell r="G31">
            <v>347.1</v>
          </cell>
          <cell r="H31">
            <v>8648.73</v>
          </cell>
          <cell r="I31">
            <v>4774.6899999999996</v>
          </cell>
          <cell r="J31">
            <v>196.09</v>
          </cell>
          <cell r="K31">
            <v>4070.13</v>
          </cell>
          <cell r="L31">
            <v>46.25</v>
          </cell>
          <cell r="M31">
            <v>0.52</v>
          </cell>
        </row>
        <row r="32">
          <cell r="A32" t="str">
            <v>CARMELO FIOR</v>
          </cell>
          <cell r="B32">
            <v>7</v>
          </cell>
          <cell r="C32">
            <v>8417.5025000000005</v>
          </cell>
          <cell r="D32">
            <v>66.540000000000006</v>
          </cell>
          <cell r="E32">
            <v>0</v>
          </cell>
          <cell r="F32">
            <v>0</v>
          </cell>
          <cell r="G32">
            <v>0</v>
          </cell>
          <cell r="H32">
            <v>8417.5025000000005</v>
          </cell>
          <cell r="I32">
            <v>5339.5649999999996</v>
          </cell>
          <cell r="J32">
            <v>0</v>
          </cell>
          <cell r="K32">
            <v>3077.9375</v>
          </cell>
          <cell r="L32">
            <v>36.57</v>
          </cell>
          <cell r="M32">
            <v>0.49</v>
          </cell>
        </row>
        <row r="33">
          <cell r="A33" t="str">
            <v>VIQUA</v>
          </cell>
          <cell r="B33">
            <v>28</v>
          </cell>
          <cell r="C33">
            <v>7793.58</v>
          </cell>
          <cell r="D33">
            <v>37.65</v>
          </cell>
          <cell r="E33">
            <v>0</v>
          </cell>
          <cell r="F33">
            <v>0</v>
          </cell>
          <cell r="G33">
            <v>76.569999999999993</v>
          </cell>
          <cell r="H33">
            <v>7717.01</v>
          </cell>
          <cell r="I33">
            <v>4659.08</v>
          </cell>
          <cell r="J33">
            <v>47.45</v>
          </cell>
          <cell r="K33">
            <v>3105.38</v>
          </cell>
          <cell r="L33">
            <v>40.090000000000003</v>
          </cell>
          <cell r="M33">
            <v>0.45</v>
          </cell>
        </row>
        <row r="34">
          <cell r="A34" t="str">
            <v>MARNOL INDUSTRIA DE LOUCAS SAN</v>
          </cell>
          <cell r="B34">
            <v>13</v>
          </cell>
          <cell r="C34">
            <v>7731.78</v>
          </cell>
          <cell r="D34">
            <v>140.58000000000001</v>
          </cell>
          <cell r="E34">
            <v>0</v>
          </cell>
          <cell r="F34">
            <v>0</v>
          </cell>
          <cell r="G34">
            <v>106.8</v>
          </cell>
          <cell r="H34">
            <v>7624.98</v>
          </cell>
          <cell r="I34">
            <v>5816.87</v>
          </cell>
          <cell r="J34">
            <v>70.33</v>
          </cell>
          <cell r="K34">
            <v>1878.44</v>
          </cell>
          <cell r="L34">
            <v>24.52</v>
          </cell>
          <cell r="M34">
            <v>0.45</v>
          </cell>
        </row>
        <row r="35">
          <cell r="A35" t="str">
            <v>Perfilplast Industria e Comerc</v>
          </cell>
          <cell r="B35">
            <v>18</v>
          </cell>
          <cell r="C35">
            <v>7511.92</v>
          </cell>
          <cell r="D35">
            <v>74.23</v>
          </cell>
          <cell r="E35">
            <v>0</v>
          </cell>
          <cell r="F35">
            <v>0</v>
          </cell>
          <cell r="G35">
            <v>0</v>
          </cell>
          <cell r="H35">
            <v>7511.92</v>
          </cell>
          <cell r="I35">
            <v>4489.3580000000002</v>
          </cell>
          <cell r="J35">
            <v>0</v>
          </cell>
          <cell r="K35">
            <v>3022.5619999999999</v>
          </cell>
          <cell r="L35">
            <v>40.24</v>
          </cell>
          <cell r="M35">
            <v>0.44</v>
          </cell>
        </row>
        <row r="36">
          <cell r="A36" t="str">
            <v>LEGRAND</v>
          </cell>
          <cell r="B36">
            <v>13</v>
          </cell>
          <cell r="C36">
            <v>7164.86</v>
          </cell>
          <cell r="D36">
            <v>15.44</v>
          </cell>
          <cell r="E36">
            <v>0</v>
          </cell>
          <cell r="F36">
            <v>0</v>
          </cell>
          <cell r="G36">
            <v>0</v>
          </cell>
          <cell r="H36">
            <v>7164.86</v>
          </cell>
          <cell r="I36">
            <v>4565.9399999999996</v>
          </cell>
          <cell r="J36">
            <v>0</v>
          </cell>
          <cell r="K36">
            <v>2598.92</v>
          </cell>
          <cell r="L36">
            <v>36.270000000000003</v>
          </cell>
          <cell r="M36">
            <v>0.42</v>
          </cell>
        </row>
        <row r="37">
          <cell r="A37" t="str">
            <v>LUZARTE</v>
          </cell>
          <cell r="B37">
            <v>11</v>
          </cell>
          <cell r="C37">
            <v>6673.65</v>
          </cell>
          <cell r="D37">
            <v>175.62</v>
          </cell>
          <cell r="E37">
            <v>0</v>
          </cell>
          <cell r="F37">
            <v>0</v>
          </cell>
          <cell r="G37">
            <v>74.900000000000006</v>
          </cell>
          <cell r="H37">
            <v>6598.75</v>
          </cell>
          <cell r="I37">
            <v>4784.62</v>
          </cell>
          <cell r="J37">
            <v>49.77</v>
          </cell>
          <cell r="K37">
            <v>1863.9</v>
          </cell>
          <cell r="L37">
            <v>28.14</v>
          </cell>
          <cell r="M37">
            <v>0.39</v>
          </cell>
        </row>
        <row r="38">
          <cell r="A38" t="str">
            <v>MGM</v>
          </cell>
          <cell r="B38">
            <v>11</v>
          </cell>
          <cell r="C38">
            <v>6438.77</v>
          </cell>
          <cell r="D38">
            <v>459.91</v>
          </cell>
          <cell r="E38">
            <v>0</v>
          </cell>
          <cell r="F38">
            <v>0</v>
          </cell>
          <cell r="G38">
            <v>639</v>
          </cell>
          <cell r="H38">
            <v>5799.77</v>
          </cell>
          <cell r="I38">
            <v>3921.31</v>
          </cell>
          <cell r="J38">
            <v>357.12</v>
          </cell>
          <cell r="K38">
            <v>2235.58</v>
          </cell>
          <cell r="L38">
            <v>36.76</v>
          </cell>
          <cell r="M38">
            <v>0.38</v>
          </cell>
        </row>
        <row r="39">
          <cell r="A39" t="str">
            <v>VEDACIT</v>
          </cell>
          <cell r="B39">
            <v>10</v>
          </cell>
          <cell r="C39">
            <v>6041.2</v>
          </cell>
          <cell r="D39">
            <v>58.09</v>
          </cell>
          <cell r="E39">
            <v>0</v>
          </cell>
          <cell r="F39">
            <v>0</v>
          </cell>
          <cell r="G39">
            <v>0</v>
          </cell>
          <cell r="H39">
            <v>6041.2</v>
          </cell>
          <cell r="I39">
            <v>3444.55</v>
          </cell>
          <cell r="J39">
            <v>0</v>
          </cell>
          <cell r="K39">
            <v>2596.65</v>
          </cell>
          <cell r="L39">
            <v>42.98</v>
          </cell>
          <cell r="M39">
            <v>0.35</v>
          </cell>
        </row>
        <row r="40">
          <cell r="A40" t="str">
            <v>MULT MIX IMPORTADORA</v>
          </cell>
          <cell r="B40">
            <v>19</v>
          </cell>
          <cell r="C40">
            <v>5028.0200000000004</v>
          </cell>
          <cell r="D40">
            <v>16.38</v>
          </cell>
          <cell r="E40">
            <v>0</v>
          </cell>
          <cell r="F40">
            <v>0</v>
          </cell>
          <cell r="G40">
            <v>25.9</v>
          </cell>
          <cell r="H40">
            <v>5002.12</v>
          </cell>
          <cell r="I40">
            <v>2565.81</v>
          </cell>
          <cell r="J40">
            <v>12.44</v>
          </cell>
          <cell r="K40">
            <v>2448.75</v>
          </cell>
          <cell r="L40">
            <v>48.82</v>
          </cell>
          <cell r="M40">
            <v>0.28999999999999998</v>
          </cell>
        </row>
        <row r="41">
          <cell r="A41" t="str">
            <v>LEDVANCE</v>
          </cell>
          <cell r="B41">
            <v>18</v>
          </cell>
          <cell r="C41">
            <v>4923.2299999999996</v>
          </cell>
          <cell r="D41">
            <v>8.64</v>
          </cell>
          <cell r="E41">
            <v>0</v>
          </cell>
          <cell r="F41">
            <v>0</v>
          </cell>
          <cell r="G41">
            <v>0</v>
          </cell>
          <cell r="H41">
            <v>4923.2299999999996</v>
          </cell>
          <cell r="I41">
            <v>2801.07</v>
          </cell>
          <cell r="J41">
            <v>0</v>
          </cell>
          <cell r="K41">
            <v>2122.16</v>
          </cell>
          <cell r="L41">
            <v>43.11</v>
          </cell>
          <cell r="M41">
            <v>0.28999999999999998</v>
          </cell>
        </row>
        <row r="42">
          <cell r="A42" t="str">
            <v>TRAMONTINA</v>
          </cell>
          <cell r="B42">
            <v>10</v>
          </cell>
          <cell r="C42">
            <v>4905.83</v>
          </cell>
          <cell r="D42">
            <v>60.57</v>
          </cell>
          <cell r="E42">
            <v>0</v>
          </cell>
          <cell r="F42">
            <v>0</v>
          </cell>
          <cell r="G42">
            <v>0</v>
          </cell>
          <cell r="H42">
            <v>4905.83</v>
          </cell>
          <cell r="I42">
            <v>3145.89</v>
          </cell>
          <cell r="J42">
            <v>0</v>
          </cell>
          <cell r="K42">
            <v>1759.94</v>
          </cell>
          <cell r="L42">
            <v>35.869999999999997</v>
          </cell>
          <cell r="M42">
            <v>0.28999999999999998</v>
          </cell>
        </row>
        <row r="43">
          <cell r="A43" t="str">
            <v>DOCOL METAIS</v>
          </cell>
          <cell r="B43">
            <v>8</v>
          </cell>
          <cell r="C43">
            <v>4561.71</v>
          </cell>
          <cell r="D43">
            <v>97.06</v>
          </cell>
          <cell r="E43">
            <v>0</v>
          </cell>
          <cell r="F43">
            <v>0</v>
          </cell>
          <cell r="G43">
            <v>313.58999999999997</v>
          </cell>
          <cell r="H43">
            <v>4248.12</v>
          </cell>
          <cell r="I43">
            <v>2712.33</v>
          </cell>
          <cell r="J43">
            <v>182.85</v>
          </cell>
          <cell r="K43">
            <v>1718.64</v>
          </cell>
          <cell r="L43">
            <v>39.25</v>
          </cell>
          <cell r="M43">
            <v>0.27</v>
          </cell>
        </row>
        <row r="44">
          <cell r="A44" t="str">
            <v>LUCONI</v>
          </cell>
          <cell r="B44">
            <v>38</v>
          </cell>
          <cell r="C44">
            <v>4509.6899999999996</v>
          </cell>
          <cell r="D44">
            <v>11.71</v>
          </cell>
          <cell r="E44">
            <v>0</v>
          </cell>
          <cell r="F44">
            <v>0</v>
          </cell>
          <cell r="G44">
            <v>8.5</v>
          </cell>
          <cell r="H44">
            <v>4501.1899999999996</v>
          </cell>
          <cell r="I44">
            <v>2116.71</v>
          </cell>
          <cell r="J44">
            <v>4.5999999999999996</v>
          </cell>
          <cell r="K44">
            <v>2389.08</v>
          </cell>
          <cell r="L44">
            <v>53.03</v>
          </cell>
          <cell r="M44">
            <v>0.26</v>
          </cell>
        </row>
        <row r="45">
          <cell r="A45" t="str">
            <v>HERC</v>
          </cell>
          <cell r="B45">
            <v>19</v>
          </cell>
          <cell r="C45">
            <v>4509.5200000000004</v>
          </cell>
          <cell r="D45">
            <v>25.33</v>
          </cell>
          <cell r="E45">
            <v>0</v>
          </cell>
          <cell r="F45">
            <v>0</v>
          </cell>
          <cell r="G45">
            <v>121.7</v>
          </cell>
          <cell r="H45">
            <v>4387.82</v>
          </cell>
          <cell r="I45">
            <v>2660.28</v>
          </cell>
          <cell r="J45">
            <v>75.47</v>
          </cell>
          <cell r="K45">
            <v>1803.01</v>
          </cell>
          <cell r="L45">
            <v>40.659999999999997</v>
          </cell>
          <cell r="M45">
            <v>0.26</v>
          </cell>
        </row>
        <row r="46">
          <cell r="A46" t="str">
            <v>INCESA</v>
          </cell>
          <cell r="B46">
            <v>6</v>
          </cell>
          <cell r="C46">
            <v>4057.0920000000001</v>
          </cell>
          <cell r="D46">
            <v>84.17</v>
          </cell>
          <cell r="E46">
            <v>0</v>
          </cell>
          <cell r="F46">
            <v>0</v>
          </cell>
          <cell r="G46">
            <v>0</v>
          </cell>
          <cell r="H46">
            <v>4057.0920000000001</v>
          </cell>
          <cell r="I46">
            <v>2496.2460000000001</v>
          </cell>
          <cell r="J46">
            <v>0</v>
          </cell>
          <cell r="K46">
            <v>1560.846</v>
          </cell>
          <cell r="L46">
            <v>38.47</v>
          </cell>
          <cell r="M46">
            <v>0.24</v>
          </cell>
        </row>
        <row r="47">
          <cell r="A47" t="str">
            <v>BELLA PIA</v>
          </cell>
          <cell r="B47">
            <v>11</v>
          </cell>
          <cell r="C47">
            <v>4015.93</v>
          </cell>
          <cell r="D47">
            <v>236.23</v>
          </cell>
          <cell r="E47">
            <v>0</v>
          </cell>
          <cell r="F47">
            <v>0</v>
          </cell>
          <cell r="G47">
            <v>0</v>
          </cell>
          <cell r="H47">
            <v>4015.93</v>
          </cell>
          <cell r="I47">
            <v>2256.91</v>
          </cell>
          <cell r="J47">
            <v>0</v>
          </cell>
          <cell r="K47">
            <v>1759.02</v>
          </cell>
          <cell r="L47">
            <v>43.8</v>
          </cell>
          <cell r="M47">
            <v>0.23</v>
          </cell>
        </row>
        <row r="48">
          <cell r="A48" t="str">
            <v>CORTAG</v>
          </cell>
          <cell r="B48">
            <v>24</v>
          </cell>
          <cell r="C48">
            <v>3729.15</v>
          </cell>
          <cell r="D48">
            <v>17.11</v>
          </cell>
          <cell r="E48">
            <v>0</v>
          </cell>
          <cell r="F48">
            <v>0</v>
          </cell>
          <cell r="G48">
            <v>29.8</v>
          </cell>
          <cell r="H48">
            <v>3699.35</v>
          </cell>
          <cell r="I48">
            <v>2056.98</v>
          </cell>
          <cell r="J48">
            <v>13.85</v>
          </cell>
          <cell r="K48">
            <v>1656.22</v>
          </cell>
          <cell r="L48">
            <v>44.58</v>
          </cell>
          <cell r="M48">
            <v>0.22</v>
          </cell>
        </row>
        <row r="49">
          <cell r="A49" t="str">
            <v>METALURGICA MOR S/A</v>
          </cell>
          <cell r="B49">
            <v>8</v>
          </cell>
          <cell r="C49">
            <v>3601.2</v>
          </cell>
          <cell r="D49">
            <v>85.74</v>
          </cell>
          <cell r="E49">
            <v>0</v>
          </cell>
          <cell r="F49">
            <v>0</v>
          </cell>
          <cell r="G49">
            <v>104.9</v>
          </cell>
          <cell r="H49">
            <v>3496.3</v>
          </cell>
          <cell r="I49">
            <v>2178.15</v>
          </cell>
          <cell r="J49">
            <v>61.21</v>
          </cell>
          <cell r="K49">
            <v>1379.36</v>
          </cell>
          <cell r="L49">
            <v>38.97</v>
          </cell>
          <cell r="M49">
            <v>0.21</v>
          </cell>
        </row>
        <row r="50">
          <cell r="A50" t="str">
            <v>NORTON</v>
          </cell>
          <cell r="B50">
            <v>18</v>
          </cell>
          <cell r="C50">
            <v>3175.31</v>
          </cell>
          <cell r="D50">
            <v>3.66</v>
          </cell>
          <cell r="E50">
            <v>0</v>
          </cell>
          <cell r="F50">
            <v>0</v>
          </cell>
          <cell r="G50">
            <v>18.3</v>
          </cell>
          <cell r="H50">
            <v>3157.01</v>
          </cell>
          <cell r="I50">
            <v>1601.1</v>
          </cell>
          <cell r="J50">
            <v>8.58</v>
          </cell>
          <cell r="K50">
            <v>1564.49</v>
          </cell>
          <cell r="L50">
            <v>49.4</v>
          </cell>
          <cell r="M50">
            <v>0.19</v>
          </cell>
        </row>
        <row r="51">
          <cell r="A51" t="str">
            <v>PRATEFIX</v>
          </cell>
          <cell r="B51">
            <v>8</v>
          </cell>
          <cell r="C51">
            <v>3146.8</v>
          </cell>
          <cell r="D51">
            <v>34.96</v>
          </cell>
          <cell r="E51">
            <v>0</v>
          </cell>
          <cell r="F51">
            <v>0</v>
          </cell>
          <cell r="G51">
            <v>143.36000000000001</v>
          </cell>
          <cell r="H51">
            <v>3003.44</v>
          </cell>
          <cell r="I51">
            <v>1766.06</v>
          </cell>
          <cell r="J51">
            <v>83.42</v>
          </cell>
          <cell r="K51">
            <v>1320.8</v>
          </cell>
          <cell r="L51">
            <v>43.12</v>
          </cell>
          <cell r="M51">
            <v>0.18</v>
          </cell>
        </row>
        <row r="52">
          <cell r="A52" t="str">
            <v>PADRAO FORTE</v>
          </cell>
          <cell r="B52">
            <v>8</v>
          </cell>
          <cell r="C52">
            <v>3053.48</v>
          </cell>
          <cell r="D52">
            <v>17.96</v>
          </cell>
          <cell r="E52">
            <v>0</v>
          </cell>
          <cell r="F52">
            <v>0</v>
          </cell>
          <cell r="G52">
            <v>169</v>
          </cell>
          <cell r="H52">
            <v>2884.48</v>
          </cell>
          <cell r="I52">
            <v>1755.37</v>
          </cell>
          <cell r="J52">
            <v>101.86</v>
          </cell>
          <cell r="K52">
            <v>1230.97</v>
          </cell>
          <cell r="L52">
            <v>41.7</v>
          </cell>
          <cell r="M52">
            <v>0.18</v>
          </cell>
        </row>
        <row r="53">
          <cell r="A53" t="str">
            <v>BEMFIXA</v>
          </cell>
          <cell r="B53">
            <v>13</v>
          </cell>
          <cell r="C53">
            <v>2819.6</v>
          </cell>
          <cell r="D53">
            <v>13.43</v>
          </cell>
          <cell r="E53">
            <v>0</v>
          </cell>
          <cell r="F53">
            <v>0</v>
          </cell>
          <cell r="G53">
            <v>0</v>
          </cell>
          <cell r="H53">
            <v>2819.6</v>
          </cell>
          <cell r="I53">
            <v>1535.22</v>
          </cell>
          <cell r="J53">
            <v>0</v>
          </cell>
          <cell r="K53">
            <v>1284.3800000000001</v>
          </cell>
          <cell r="L53">
            <v>45.55</v>
          </cell>
          <cell r="M53">
            <v>0.16</v>
          </cell>
        </row>
        <row r="54">
          <cell r="A54" t="str">
            <v>ADERE</v>
          </cell>
          <cell r="B54">
            <v>13</v>
          </cell>
          <cell r="C54">
            <v>2698.96</v>
          </cell>
          <cell r="D54">
            <v>10.88</v>
          </cell>
          <cell r="E54">
            <v>0</v>
          </cell>
          <cell r="F54">
            <v>0</v>
          </cell>
          <cell r="G54">
            <v>0</v>
          </cell>
          <cell r="H54">
            <v>2698.96</v>
          </cell>
          <cell r="I54">
            <v>1531.55</v>
          </cell>
          <cell r="J54">
            <v>0</v>
          </cell>
          <cell r="K54">
            <v>1167.4100000000001</v>
          </cell>
          <cell r="L54">
            <v>43.25</v>
          </cell>
          <cell r="M54">
            <v>0.16</v>
          </cell>
        </row>
        <row r="55">
          <cell r="A55" t="str">
            <v>PRATIMIX</v>
          </cell>
          <cell r="B55">
            <v>18</v>
          </cell>
          <cell r="C55">
            <v>2514.0700000000002</v>
          </cell>
          <cell r="D55">
            <v>11.12</v>
          </cell>
          <cell r="E55">
            <v>0</v>
          </cell>
          <cell r="F55">
            <v>0</v>
          </cell>
          <cell r="G55">
            <v>35.4</v>
          </cell>
          <cell r="H55">
            <v>2478.67</v>
          </cell>
          <cell r="I55">
            <v>1340.64</v>
          </cell>
          <cell r="J55">
            <v>18.2</v>
          </cell>
          <cell r="K55">
            <v>1156.23</v>
          </cell>
          <cell r="L55">
            <v>46.33</v>
          </cell>
          <cell r="M55">
            <v>0.15</v>
          </cell>
        </row>
        <row r="56">
          <cell r="A56" t="str">
            <v>MARLUVAS</v>
          </cell>
          <cell r="B56">
            <v>4</v>
          </cell>
          <cell r="C56">
            <v>2449.06</v>
          </cell>
          <cell r="D56">
            <v>81.64</v>
          </cell>
          <cell r="E56">
            <v>0</v>
          </cell>
          <cell r="F56">
            <v>0</v>
          </cell>
          <cell r="G56">
            <v>0</v>
          </cell>
          <cell r="H56">
            <v>2449.06</v>
          </cell>
          <cell r="I56">
            <v>1352.86</v>
          </cell>
          <cell r="J56">
            <v>0</v>
          </cell>
          <cell r="K56">
            <v>1096.2</v>
          </cell>
          <cell r="L56">
            <v>44.76</v>
          </cell>
          <cell r="M56">
            <v>0.14000000000000001</v>
          </cell>
        </row>
        <row r="57">
          <cell r="A57" t="str">
            <v>TOP MIX</v>
          </cell>
          <cell r="B57">
            <v>2</v>
          </cell>
          <cell r="C57">
            <v>2414.66</v>
          </cell>
          <cell r="D57">
            <v>603.66999999999996</v>
          </cell>
          <cell r="E57">
            <v>0</v>
          </cell>
          <cell r="F57">
            <v>0</v>
          </cell>
          <cell r="G57">
            <v>1118.9000000000001</v>
          </cell>
          <cell r="H57">
            <v>1295.76</v>
          </cell>
          <cell r="I57">
            <v>1161.32</v>
          </cell>
          <cell r="J57">
            <v>551.55999999999995</v>
          </cell>
          <cell r="K57">
            <v>686</v>
          </cell>
          <cell r="L57">
            <v>36.82</v>
          </cell>
          <cell r="M57">
            <v>0.14000000000000001</v>
          </cell>
        </row>
        <row r="58">
          <cell r="A58" t="str">
            <v>CENSI</v>
          </cell>
          <cell r="B58">
            <v>16</v>
          </cell>
          <cell r="C58">
            <v>2363.41</v>
          </cell>
          <cell r="D58">
            <v>29.92</v>
          </cell>
          <cell r="E58">
            <v>0</v>
          </cell>
          <cell r="F58">
            <v>0</v>
          </cell>
          <cell r="G58">
            <v>0</v>
          </cell>
          <cell r="H58">
            <v>2363.41</v>
          </cell>
          <cell r="I58">
            <v>1299.43</v>
          </cell>
          <cell r="J58">
            <v>0</v>
          </cell>
          <cell r="K58">
            <v>1063.98</v>
          </cell>
          <cell r="L58">
            <v>45.02</v>
          </cell>
          <cell r="M58">
            <v>0.14000000000000001</v>
          </cell>
        </row>
        <row r="59">
          <cell r="A59" t="str">
            <v>AVANT</v>
          </cell>
          <cell r="B59">
            <v>6</v>
          </cell>
          <cell r="C59">
            <v>2279.08</v>
          </cell>
          <cell r="D59">
            <v>26.5</v>
          </cell>
          <cell r="E59">
            <v>0</v>
          </cell>
          <cell r="F59">
            <v>0</v>
          </cell>
          <cell r="G59">
            <v>236.1</v>
          </cell>
          <cell r="H59">
            <v>2042.98</v>
          </cell>
          <cell r="I59">
            <v>1357.32</v>
          </cell>
          <cell r="J59">
            <v>113.64</v>
          </cell>
          <cell r="K59">
            <v>799.3</v>
          </cell>
          <cell r="L59">
            <v>36.909999999999997</v>
          </cell>
          <cell r="M59">
            <v>0.13</v>
          </cell>
        </row>
        <row r="60">
          <cell r="A60" t="str">
            <v>ALIANÇA</v>
          </cell>
          <cell r="B60">
            <v>5</v>
          </cell>
          <cell r="C60">
            <v>2263.6999999999998</v>
          </cell>
          <cell r="D60">
            <v>68.599999999999994</v>
          </cell>
          <cell r="E60">
            <v>0</v>
          </cell>
          <cell r="F60">
            <v>0</v>
          </cell>
          <cell r="G60">
            <v>0</v>
          </cell>
          <cell r="H60">
            <v>2263.6999999999998</v>
          </cell>
          <cell r="I60">
            <v>1351.38</v>
          </cell>
          <cell r="J60">
            <v>0</v>
          </cell>
          <cell r="K60">
            <v>912.32</v>
          </cell>
          <cell r="L60">
            <v>40.299999999999997</v>
          </cell>
          <cell r="M60">
            <v>0.13</v>
          </cell>
        </row>
        <row r="61">
          <cell r="A61" t="str">
            <v>KRONA</v>
          </cell>
          <cell r="B61">
            <v>8</v>
          </cell>
          <cell r="C61">
            <v>2248.38</v>
          </cell>
          <cell r="D61">
            <v>21.62</v>
          </cell>
          <cell r="E61">
            <v>0</v>
          </cell>
          <cell r="F61">
            <v>0</v>
          </cell>
          <cell r="G61">
            <v>4.9000000000000004</v>
          </cell>
          <cell r="H61">
            <v>2243.48</v>
          </cell>
          <cell r="I61">
            <v>1184.48</v>
          </cell>
          <cell r="J61">
            <v>2.67</v>
          </cell>
          <cell r="K61">
            <v>1061.67</v>
          </cell>
          <cell r="L61">
            <v>47.28</v>
          </cell>
          <cell r="M61">
            <v>0.13</v>
          </cell>
        </row>
        <row r="62">
          <cell r="A62" t="str">
            <v>PAMESA</v>
          </cell>
          <cell r="B62">
            <v>4</v>
          </cell>
          <cell r="C62">
            <v>2214.3296</v>
          </cell>
          <cell r="D62">
            <v>30.89</v>
          </cell>
          <cell r="E62">
            <v>0</v>
          </cell>
          <cell r="F62">
            <v>0</v>
          </cell>
          <cell r="G62">
            <v>0</v>
          </cell>
          <cell r="H62">
            <v>2214.3296</v>
          </cell>
          <cell r="I62">
            <v>1711.7292</v>
          </cell>
          <cell r="J62">
            <v>0</v>
          </cell>
          <cell r="K62">
            <v>502.60039999999998</v>
          </cell>
          <cell r="L62">
            <v>22.7</v>
          </cell>
          <cell r="M62">
            <v>0.13</v>
          </cell>
        </row>
        <row r="63">
          <cell r="A63" t="str">
            <v>PULVITEC</v>
          </cell>
          <cell r="B63">
            <v>20</v>
          </cell>
          <cell r="C63">
            <v>2091.61</v>
          </cell>
          <cell r="D63">
            <v>9.64</v>
          </cell>
          <cell r="E63">
            <v>0</v>
          </cell>
          <cell r="F63">
            <v>0</v>
          </cell>
          <cell r="G63">
            <v>26.9</v>
          </cell>
          <cell r="H63">
            <v>2064.71</v>
          </cell>
          <cell r="I63">
            <v>1011.06</v>
          </cell>
          <cell r="J63">
            <v>9.44</v>
          </cell>
          <cell r="K63">
            <v>1063.0899999999999</v>
          </cell>
          <cell r="L63">
            <v>51.06</v>
          </cell>
          <cell r="M63">
            <v>0.12</v>
          </cell>
        </row>
        <row r="64">
          <cell r="A64" t="str">
            <v>BRASFORMA</v>
          </cell>
          <cell r="B64">
            <v>5</v>
          </cell>
          <cell r="C64">
            <v>2079.5500000000002</v>
          </cell>
          <cell r="D64">
            <v>41.59</v>
          </cell>
          <cell r="E64">
            <v>0</v>
          </cell>
          <cell r="F64">
            <v>0</v>
          </cell>
          <cell r="G64">
            <v>62.9</v>
          </cell>
          <cell r="H64">
            <v>2016.65</v>
          </cell>
          <cell r="I64">
            <v>1338.83</v>
          </cell>
          <cell r="J64">
            <v>58.79</v>
          </cell>
          <cell r="K64">
            <v>736.61</v>
          </cell>
          <cell r="L64">
            <v>36.450000000000003</v>
          </cell>
          <cell r="M64">
            <v>0.12</v>
          </cell>
        </row>
        <row r="65">
          <cell r="A65" t="str">
            <v>EXATRON</v>
          </cell>
          <cell r="B65">
            <v>7</v>
          </cell>
          <cell r="C65">
            <v>2058.71</v>
          </cell>
          <cell r="D65">
            <v>50.21</v>
          </cell>
          <cell r="E65">
            <v>0</v>
          </cell>
          <cell r="F65">
            <v>0</v>
          </cell>
          <cell r="G65">
            <v>101.2</v>
          </cell>
          <cell r="H65">
            <v>1957.51</v>
          </cell>
          <cell r="I65">
            <v>1117.98</v>
          </cell>
          <cell r="J65">
            <v>60.39</v>
          </cell>
          <cell r="K65">
            <v>899.92</v>
          </cell>
          <cell r="L65">
            <v>45.03</v>
          </cell>
          <cell r="M65">
            <v>0.12</v>
          </cell>
        </row>
        <row r="66">
          <cell r="A66" t="str">
            <v>PLASTMAR IND E COM</v>
          </cell>
          <cell r="B66">
            <v>6</v>
          </cell>
          <cell r="C66">
            <v>1830.81</v>
          </cell>
          <cell r="D66">
            <v>52.31</v>
          </cell>
          <cell r="E66">
            <v>0</v>
          </cell>
          <cell r="F66">
            <v>0</v>
          </cell>
          <cell r="G66">
            <v>0</v>
          </cell>
          <cell r="H66">
            <v>1830.81</v>
          </cell>
          <cell r="I66">
            <v>1039.94</v>
          </cell>
          <cell r="J66">
            <v>0</v>
          </cell>
          <cell r="K66">
            <v>790.87</v>
          </cell>
          <cell r="L66">
            <v>43.2</v>
          </cell>
          <cell r="M66">
            <v>0.11</v>
          </cell>
        </row>
        <row r="67">
          <cell r="A67" t="str">
            <v>BOGNAR</v>
          </cell>
          <cell r="B67">
            <v>7</v>
          </cell>
          <cell r="C67">
            <v>1814.04</v>
          </cell>
          <cell r="D67">
            <v>62.55</v>
          </cell>
          <cell r="E67">
            <v>0</v>
          </cell>
          <cell r="F67">
            <v>0</v>
          </cell>
          <cell r="G67">
            <v>0</v>
          </cell>
          <cell r="H67">
            <v>1814.04</v>
          </cell>
          <cell r="I67">
            <v>1067.95</v>
          </cell>
          <cell r="J67">
            <v>0</v>
          </cell>
          <cell r="K67">
            <v>746.09</v>
          </cell>
          <cell r="L67">
            <v>41.13</v>
          </cell>
          <cell r="M67">
            <v>0.11</v>
          </cell>
        </row>
        <row r="68">
          <cell r="A68" t="str">
            <v>TAF</v>
          </cell>
          <cell r="B68">
            <v>12</v>
          </cell>
          <cell r="C68">
            <v>1742.44</v>
          </cell>
          <cell r="D68">
            <v>18.739999999999998</v>
          </cell>
          <cell r="E68">
            <v>0</v>
          </cell>
          <cell r="F68">
            <v>0</v>
          </cell>
          <cell r="G68">
            <v>9.3000000000000007</v>
          </cell>
          <cell r="H68">
            <v>1733.14</v>
          </cell>
          <cell r="I68">
            <v>962.86</v>
          </cell>
          <cell r="J68">
            <v>5.38</v>
          </cell>
          <cell r="K68">
            <v>775.66</v>
          </cell>
          <cell r="L68">
            <v>44.65</v>
          </cell>
          <cell r="M68">
            <v>0.1</v>
          </cell>
        </row>
        <row r="69">
          <cell r="A69" t="str">
            <v>FRANKLIN</v>
          </cell>
          <cell r="B69">
            <v>2</v>
          </cell>
          <cell r="C69">
            <v>1702.7</v>
          </cell>
          <cell r="D69">
            <v>567.57000000000005</v>
          </cell>
          <cell r="E69">
            <v>0</v>
          </cell>
          <cell r="F69">
            <v>0</v>
          </cell>
          <cell r="G69">
            <v>0</v>
          </cell>
          <cell r="H69">
            <v>1702.7</v>
          </cell>
          <cell r="I69">
            <v>1019.84</v>
          </cell>
          <cell r="J69">
            <v>0</v>
          </cell>
          <cell r="K69">
            <v>682.86</v>
          </cell>
          <cell r="L69">
            <v>40.1</v>
          </cell>
          <cell r="M69">
            <v>0.1</v>
          </cell>
        </row>
        <row r="70">
          <cell r="A70" t="str">
            <v>ORBI QUIMICA LTDA</v>
          </cell>
          <cell r="B70">
            <v>10</v>
          </cell>
          <cell r="C70">
            <v>1618.68</v>
          </cell>
          <cell r="D70">
            <v>14.99</v>
          </cell>
          <cell r="E70">
            <v>0</v>
          </cell>
          <cell r="F70">
            <v>0</v>
          </cell>
          <cell r="G70">
            <v>0</v>
          </cell>
          <cell r="H70">
            <v>1618.68</v>
          </cell>
          <cell r="I70">
            <v>897.36</v>
          </cell>
          <cell r="J70">
            <v>0</v>
          </cell>
          <cell r="K70">
            <v>721.32</v>
          </cell>
          <cell r="L70">
            <v>44.56</v>
          </cell>
          <cell r="M70">
            <v>0.09</v>
          </cell>
        </row>
        <row r="71">
          <cell r="A71" t="str">
            <v>METALOSA</v>
          </cell>
          <cell r="B71">
            <v>3</v>
          </cell>
          <cell r="C71">
            <v>1613.7</v>
          </cell>
          <cell r="D71">
            <v>179.3</v>
          </cell>
          <cell r="E71">
            <v>0</v>
          </cell>
          <cell r="F71">
            <v>0</v>
          </cell>
          <cell r="G71">
            <v>0</v>
          </cell>
          <cell r="H71">
            <v>1613.7</v>
          </cell>
          <cell r="I71">
            <v>943.09</v>
          </cell>
          <cell r="J71">
            <v>0</v>
          </cell>
          <cell r="K71">
            <v>670.61</v>
          </cell>
          <cell r="L71">
            <v>41.56</v>
          </cell>
          <cell r="M71">
            <v>0.09</v>
          </cell>
        </row>
        <row r="72">
          <cell r="A72" t="str">
            <v>COBRECOM</v>
          </cell>
          <cell r="B72">
            <v>5</v>
          </cell>
          <cell r="C72">
            <v>1557.87</v>
          </cell>
          <cell r="D72">
            <v>119.84</v>
          </cell>
          <cell r="E72">
            <v>0</v>
          </cell>
          <cell r="F72">
            <v>0</v>
          </cell>
          <cell r="G72">
            <v>0</v>
          </cell>
          <cell r="H72">
            <v>1557.87</v>
          </cell>
          <cell r="I72">
            <v>910.85</v>
          </cell>
          <cell r="J72">
            <v>0</v>
          </cell>
          <cell r="K72">
            <v>647.02</v>
          </cell>
          <cell r="L72">
            <v>41.53</v>
          </cell>
          <cell r="M72">
            <v>0.09</v>
          </cell>
        </row>
        <row r="73">
          <cell r="A73" t="str">
            <v>Momfort</v>
          </cell>
          <cell r="B73">
            <v>7</v>
          </cell>
          <cell r="C73">
            <v>1253.8800000000001</v>
          </cell>
          <cell r="D73">
            <v>31.35</v>
          </cell>
          <cell r="E73">
            <v>0</v>
          </cell>
          <cell r="F73">
            <v>0</v>
          </cell>
          <cell r="G73">
            <v>0</v>
          </cell>
          <cell r="H73">
            <v>1253.8800000000001</v>
          </cell>
          <cell r="I73">
            <v>755.21</v>
          </cell>
          <cell r="J73">
            <v>0</v>
          </cell>
          <cell r="K73">
            <v>498.67</v>
          </cell>
          <cell r="L73">
            <v>39.770000000000003</v>
          </cell>
          <cell r="M73">
            <v>7.0000000000000007E-2</v>
          </cell>
        </row>
        <row r="74">
          <cell r="A74" t="str">
            <v>ONDULINE</v>
          </cell>
          <cell r="B74">
            <v>1</v>
          </cell>
          <cell r="C74">
            <v>1209.3</v>
          </cell>
          <cell r="D74">
            <v>80.62</v>
          </cell>
          <cell r="E74">
            <v>0</v>
          </cell>
          <cell r="F74">
            <v>0</v>
          </cell>
          <cell r="G74">
            <v>0</v>
          </cell>
          <cell r="H74">
            <v>1209.3</v>
          </cell>
          <cell r="I74">
            <v>811.77</v>
          </cell>
          <cell r="J74">
            <v>0</v>
          </cell>
          <cell r="K74">
            <v>397.53</v>
          </cell>
          <cell r="L74">
            <v>32.869999999999997</v>
          </cell>
          <cell r="M74">
            <v>7.0000000000000007E-2</v>
          </cell>
        </row>
        <row r="75">
          <cell r="A75" t="str">
            <v>MYPA</v>
          </cell>
          <cell r="B75">
            <v>8</v>
          </cell>
          <cell r="C75">
            <v>1190.24</v>
          </cell>
          <cell r="D75">
            <v>14.88</v>
          </cell>
          <cell r="E75">
            <v>0</v>
          </cell>
          <cell r="F75">
            <v>0</v>
          </cell>
          <cell r="G75">
            <v>0</v>
          </cell>
          <cell r="H75">
            <v>1190.24</v>
          </cell>
          <cell r="I75">
            <v>646.6</v>
          </cell>
          <cell r="J75">
            <v>0</v>
          </cell>
          <cell r="K75">
            <v>543.64</v>
          </cell>
          <cell r="L75">
            <v>45.67</v>
          </cell>
          <cell r="M75">
            <v>7.0000000000000007E-2</v>
          </cell>
        </row>
        <row r="76">
          <cell r="A76" t="str">
            <v>ULTRA CLEAN</v>
          </cell>
          <cell r="B76">
            <v>5</v>
          </cell>
          <cell r="C76">
            <v>930.2</v>
          </cell>
          <cell r="D76">
            <v>24.48</v>
          </cell>
          <cell r="E76">
            <v>0</v>
          </cell>
          <cell r="F76">
            <v>0</v>
          </cell>
          <cell r="G76">
            <v>0</v>
          </cell>
          <cell r="H76">
            <v>930.2</v>
          </cell>
          <cell r="I76">
            <v>593.97</v>
          </cell>
          <cell r="J76">
            <v>0</v>
          </cell>
          <cell r="K76">
            <v>336.23</v>
          </cell>
          <cell r="L76">
            <v>36.15</v>
          </cell>
          <cell r="M76">
            <v>0.05</v>
          </cell>
        </row>
        <row r="77">
          <cell r="A77" t="str">
            <v>COZIMAX</v>
          </cell>
          <cell r="B77">
            <v>3</v>
          </cell>
          <cell r="C77">
            <v>766.9</v>
          </cell>
          <cell r="D77">
            <v>127.82</v>
          </cell>
          <cell r="E77">
            <v>0</v>
          </cell>
          <cell r="F77">
            <v>0</v>
          </cell>
          <cell r="G77">
            <v>0</v>
          </cell>
          <cell r="H77">
            <v>766.9</v>
          </cell>
          <cell r="I77">
            <v>445.78</v>
          </cell>
          <cell r="J77">
            <v>0</v>
          </cell>
          <cell r="K77">
            <v>321.12</v>
          </cell>
          <cell r="L77">
            <v>41.87</v>
          </cell>
          <cell r="M77">
            <v>0.04</v>
          </cell>
        </row>
        <row r="78">
          <cell r="A78" t="str">
            <v>KALIPSO</v>
          </cell>
          <cell r="B78">
            <v>4</v>
          </cell>
          <cell r="C78">
            <v>763.92</v>
          </cell>
          <cell r="D78">
            <v>8.2100000000000009</v>
          </cell>
          <cell r="E78">
            <v>0</v>
          </cell>
          <cell r="F78">
            <v>0</v>
          </cell>
          <cell r="G78">
            <v>6.3</v>
          </cell>
          <cell r="H78">
            <v>757.62</v>
          </cell>
          <cell r="I78">
            <v>367.96</v>
          </cell>
          <cell r="J78">
            <v>3.03</v>
          </cell>
          <cell r="K78">
            <v>392.69</v>
          </cell>
          <cell r="L78">
            <v>51.61</v>
          </cell>
          <cell r="M78">
            <v>0.04</v>
          </cell>
        </row>
        <row r="79">
          <cell r="A79" t="str">
            <v>Max-Giro</v>
          </cell>
          <cell r="B79">
            <v>9</v>
          </cell>
          <cell r="C79">
            <v>757.26</v>
          </cell>
          <cell r="D79">
            <v>12.41</v>
          </cell>
          <cell r="E79">
            <v>0</v>
          </cell>
          <cell r="F79">
            <v>0</v>
          </cell>
          <cell r="G79">
            <v>0</v>
          </cell>
          <cell r="H79">
            <v>757.26</v>
          </cell>
          <cell r="I79">
            <v>456.08</v>
          </cell>
          <cell r="J79">
            <v>0</v>
          </cell>
          <cell r="K79">
            <v>301.18</v>
          </cell>
          <cell r="L79">
            <v>39.770000000000003</v>
          </cell>
          <cell r="M79">
            <v>0.04</v>
          </cell>
        </row>
        <row r="80">
          <cell r="A80" t="str">
            <v>ASTRA</v>
          </cell>
          <cell r="B80">
            <v>11</v>
          </cell>
          <cell r="C80">
            <v>713.88</v>
          </cell>
          <cell r="D80">
            <v>14.57</v>
          </cell>
          <cell r="E80">
            <v>0</v>
          </cell>
          <cell r="F80">
            <v>0</v>
          </cell>
          <cell r="G80">
            <v>0</v>
          </cell>
          <cell r="H80">
            <v>713.88</v>
          </cell>
          <cell r="I80">
            <v>435.05</v>
          </cell>
          <cell r="J80">
            <v>0</v>
          </cell>
          <cell r="K80">
            <v>278.83</v>
          </cell>
          <cell r="L80">
            <v>39.06</v>
          </cell>
          <cell r="M80">
            <v>0.04</v>
          </cell>
        </row>
        <row r="81">
          <cell r="A81" t="str">
            <v>ULTRACLEAN</v>
          </cell>
          <cell r="B81">
            <v>7</v>
          </cell>
          <cell r="C81">
            <v>658.9</v>
          </cell>
          <cell r="D81">
            <v>21.25</v>
          </cell>
          <cell r="E81">
            <v>0</v>
          </cell>
          <cell r="F81">
            <v>0</v>
          </cell>
          <cell r="G81">
            <v>0</v>
          </cell>
          <cell r="H81">
            <v>658.9</v>
          </cell>
          <cell r="I81">
            <v>401.27</v>
          </cell>
          <cell r="J81">
            <v>0</v>
          </cell>
          <cell r="K81">
            <v>257.63</v>
          </cell>
          <cell r="L81">
            <v>39.1</v>
          </cell>
          <cell r="M81">
            <v>0.04</v>
          </cell>
        </row>
        <row r="82">
          <cell r="A82" t="str">
            <v>BOTAFOGO</v>
          </cell>
          <cell r="B82">
            <v>1</v>
          </cell>
          <cell r="C82">
            <v>628.9</v>
          </cell>
          <cell r="D82">
            <v>628.9</v>
          </cell>
          <cell r="E82">
            <v>0</v>
          </cell>
          <cell r="F82">
            <v>0</v>
          </cell>
          <cell r="G82">
            <v>0</v>
          </cell>
          <cell r="H82">
            <v>628.9</v>
          </cell>
          <cell r="I82">
            <v>397.64</v>
          </cell>
          <cell r="J82">
            <v>0</v>
          </cell>
          <cell r="K82">
            <v>231.26</v>
          </cell>
          <cell r="L82">
            <v>36.770000000000003</v>
          </cell>
          <cell r="M82">
            <v>0.04</v>
          </cell>
        </row>
        <row r="83">
          <cell r="A83" t="str">
            <v>HIDRACOR</v>
          </cell>
          <cell r="B83">
            <v>5</v>
          </cell>
          <cell r="C83">
            <v>549.74</v>
          </cell>
          <cell r="D83">
            <v>3.9</v>
          </cell>
          <cell r="E83">
            <v>0</v>
          </cell>
          <cell r="F83">
            <v>0</v>
          </cell>
          <cell r="G83">
            <v>11.7</v>
          </cell>
          <cell r="H83">
            <v>538.04</v>
          </cell>
          <cell r="I83">
            <v>255.28</v>
          </cell>
          <cell r="J83">
            <v>5.32</v>
          </cell>
          <cell r="K83">
            <v>288.08</v>
          </cell>
          <cell r="L83">
            <v>52.92</v>
          </cell>
          <cell r="M83">
            <v>0.03</v>
          </cell>
        </row>
        <row r="84">
          <cell r="A84" t="str">
            <v>RHPE</v>
          </cell>
          <cell r="B84">
            <v>3</v>
          </cell>
          <cell r="C84">
            <v>515.4</v>
          </cell>
          <cell r="D84">
            <v>85.9</v>
          </cell>
          <cell r="E84">
            <v>0</v>
          </cell>
          <cell r="F84">
            <v>0</v>
          </cell>
          <cell r="G84">
            <v>85.9</v>
          </cell>
          <cell r="H84">
            <v>429.5</v>
          </cell>
          <cell r="I84">
            <v>320.04000000000002</v>
          </cell>
          <cell r="J84">
            <v>53.34</v>
          </cell>
          <cell r="K84">
            <v>162.80000000000001</v>
          </cell>
          <cell r="L84">
            <v>35.229999999999997</v>
          </cell>
          <cell r="M84">
            <v>0.03</v>
          </cell>
        </row>
        <row r="85">
          <cell r="A85" t="str">
            <v>SECALUX</v>
          </cell>
          <cell r="B85">
            <v>4</v>
          </cell>
          <cell r="C85">
            <v>492.7</v>
          </cell>
          <cell r="D85">
            <v>44.79</v>
          </cell>
          <cell r="E85">
            <v>0</v>
          </cell>
          <cell r="F85">
            <v>0</v>
          </cell>
          <cell r="G85">
            <v>130.6</v>
          </cell>
          <cell r="H85">
            <v>362.1</v>
          </cell>
          <cell r="I85">
            <v>305.43</v>
          </cell>
          <cell r="J85">
            <v>76.88</v>
          </cell>
          <cell r="K85">
            <v>133.55000000000001</v>
          </cell>
          <cell r="L85">
            <v>32.119999999999997</v>
          </cell>
          <cell r="M85">
            <v>0.03</v>
          </cell>
        </row>
        <row r="86">
          <cell r="A86" t="str">
            <v>ILUMI</v>
          </cell>
          <cell r="B86">
            <v>5</v>
          </cell>
          <cell r="C86">
            <v>429.66</v>
          </cell>
          <cell r="D86">
            <v>12.64</v>
          </cell>
          <cell r="E86">
            <v>0</v>
          </cell>
          <cell r="F86">
            <v>0</v>
          </cell>
          <cell r="G86">
            <v>0</v>
          </cell>
          <cell r="H86">
            <v>429.66</v>
          </cell>
          <cell r="I86">
            <v>233.27</v>
          </cell>
          <cell r="J86">
            <v>0</v>
          </cell>
          <cell r="K86">
            <v>196.39</v>
          </cell>
          <cell r="L86">
            <v>45.71</v>
          </cell>
          <cell r="M86">
            <v>0.03</v>
          </cell>
        </row>
        <row r="87">
          <cell r="A87" t="str">
            <v>STARRETT INDUSTRIA E COMERCIO</v>
          </cell>
          <cell r="B87">
            <v>5</v>
          </cell>
          <cell r="C87">
            <v>407.38</v>
          </cell>
          <cell r="D87">
            <v>17.71</v>
          </cell>
          <cell r="E87">
            <v>0</v>
          </cell>
          <cell r="F87">
            <v>0</v>
          </cell>
          <cell r="G87">
            <v>0</v>
          </cell>
          <cell r="H87">
            <v>407.38</v>
          </cell>
          <cell r="I87">
            <v>235.31</v>
          </cell>
          <cell r="J87">
            <v>0</v>
          </cell>
          <cell r="K87">
            <v>172.07</v>
          </cell>
          <cell r="L87">
            <v>42.24</v>
          </cell>
          <cell r="M87">
            <v>0.02</v>
          </cell>
        </row>
        <row r="88">
          <cell r="A88" t="str">
            <v>GERDAU</v>
          </cell>
          <cell r="B88">
            <v>4</v>
          </cell>
          <cell r="C88">
            <v>385.75</v>
          </cell>
          <cell r="D88">
            <v>25.72</v>
          </cell>
          <cell r="E88">
            <v>0</v>
          </cell>
          <cell r="F88">
            <v>0</v>
          </cell>
          <cell r="G88">
            <v>0</v>
          </cell>
          <cell r="H88">
            <v>385.75</v>
          </cell>
          <cell r="I88">
            <v>198.82</v>
          </cell>
          <cell r="J88">
            <v>0</v>
          </cell>
          <cell r="K88">
            <v>186.93</v>
          </cell>
          <cell r="L88">
            <v>48.46</v>
          </cell>
          <cell r="M88">
            <v>0.02</v>
          </cell>
        </row>
        <row r="89">
          <cell r="A89" t="str">
            <v>BRASFORT</v>
          </cell>
          <cell r="B89">
            <v>3</v>
          </cell>
          <cell r="C89">
            <v>289.17</v>
          </cell>
          <cell r="D89">
            <v>19.28</v>
          </cell>
          <cell r="E89">
            <v>0</v>
          </cell>
          <cell r="F89">
            <v>0</v>
          </cell>
          <cell r="G89">
            <v>32.5</v>
          </cell>
          <cell r="H89">
            <v>256.67</v>
          </cell>
          <cell r="I89">
            <v>171.16</v>
          </cell>
          <cell r="J89">
            <v>19.190000000000001</v>
          </cell>
          <cell r="K89">
            <v>104.7</v>
          </cell>
          <cell r="L89">
            <v>38.78</v>
          </cell>
          <cell r="M89">
            <v>0.02</v>
          </cell>
        </row>
        <row r="90">
          <cell r="A90" t="str">
            <v>VONDER</v>
          </cell>
          <cell r="B90">
            <v>3</v>
          </cell>
          <cell r="C90">
            <v>281.24</v>
          </cell>
          <cell r="D90">
            <v>31.25</v>
          </cell>
          <cell r="E90">
            <v>0</v>
          </cell>
          <cell r="F90">
            <v>0</v>
          </cell>
          <cell r="G90">
            <v>0</v>
          </cell>
          <cell r="H90">
            <v>281.24</v>
          </cell>
          <cell r="I90">
            <v>160.1</v>
          </cell>
          <cell r="J90">
            <v>0</v>
          </cell>
          <cell r="K90">
            <v>121.14</v>
          </cell>
          <cell r="L90">
            <v>43.07</v>
          </cell>
          <cell r="M90">
            <v>0.02</v>
          </cell>
        </row>
        <row r="91">
          <cell r="A91" t="str">
            <v>LGMAIS</v>
          </cell>
          <cell r="B91">
            <v>1</v>
          </cell>
          <cell r="C91">
            <v>232.7</v>
          </cell>
          <cell r="D91">
            <v>232.7</v>
          </cell>
          <cell r="E91">
            <v>0</v>
          </cell>
          <cell r="F91">
            <v>0</v>
          </cell>
          <cell r="G91">
            <v>0</v>
          </cell>
          <cell r="H91">
            <v>232.7</v>
          </cell>
          <cell r="I91">
            <v>146.66</v>
          </cell>
          <cell r="J91">
            <v>0</v>
          </cell>
          <cell r="K91">
            <v>86.04</v>
          </cell>
          <cell r="L91">
            <v>36.97</v>
          </cell>
          <cell r="M91">
            <v>0.01</v>
          </cell>
        </row>
        <row r="92">
          <cell r="A92" t="str">
            <v>ARAFORROS</v>
          </cell>
          <cell r="B92">
            <v>1</v>
          </cell>
          <cell r="C92">
            <v>199.9</v>
          </cell>
          <cell r="D92">
            <v>199.9</v>
          </cell>
          <cell r="E92">
            <v>0</v>
          </cell>
          <cell r="F92">
            <v>0</v>
          </cell>
          <cell r="G92">
            <v>0</v>
          </cell>
          <cell r="H92">
            <v>199.9</v>
          </cell>
          <cell r="I92">
            <v>123.39</v>
          </cell>
          <cell r="J92">
            <v>0</v>
          </cell>
          <cell r="K92">
            <v>76.510000000000005</v>
          </cell>
          <cell r="L92">
            <v>38.270000000000003</v>
          </cell>
          <cell r="M92">
            <v>0.01</v>
          </cell>
        </row>
        <row r="93">
          <cell r="A93" t="str">
            <v>ROCA SANITARIOS BRASIL LTDA</v>
          </cell>
          <cell r="B93">
            <v>1</v>
          </cell>
          <cell r="C93">
            <v>199.9</v>
          </cell>
          <cell r="D93">
            <v>199.9</v>
          </cell>
          <cell r="E93">
            <v>0</v>
          </cell>
          <cell r="F93">
            <v>0</v>
          </cell>
          <cell r="G93">
            <v>0</v>
          </cell>
          <cell r="H93">
            <v>199.9</v>
          </cell>
          <cell r="I93">
            <v>128.56</v>
          </cell>
          <cell r="J93">
            <v>0</v>
          </cell>
          <cell r="K93">
            <v>71.34</v>
          </cell>
          <cell r="L93">
            <v>35.69</v>
          </cell>
          <cell r="M93">
            <v>0.01</v>
          </cell>
        </row>
        <row r="94">
          <cell r="A94" t="str">
            <v>ARCELORMITTAL</v>
          </cell>
          <cell r="B94">
            <v>2</v>
          </cell>
          <cell r="C94">
            <v>191.1</v>
          </cell>
          <cell r="D94">
            <v>27.3</v>
          </cell>
          <cell r="E94">
            <v>0</v>
          </cell>
          <cell r="F94">
            <v>0</v>
          </cell>
          <cell r="G94">
            <v>0</v>
          </cell>
          <cell r="H94">
            <v>191.1</v>
          </cell>
          <cell r="I94">
            <v>105.63</v>
          </cell>
          <cell r="J94">
            <v>0</v>
          </cell>
          <cell r="K94">
            <v>85.47</v>
          </cell>
          <cell r="L94">
            <v>44.73</v>
          </cell>
          <cell r="M94">
            <v>0.01</v>
          </cell>
        </row>
        <row r="95">
          <cell r="A95" t="str">
            <v>COMFORT DOOR</v>
          </cell>
          <cell r="B95">
            <v>2</v>
          </cell>
          <cell r="C95">
            <v>172.4</v>
          </cell>
          <cell r="D95">
            <v>28.73</v>
          </cell>
          <cell r="E95">
            <v>0</v>
          </cell>
          <cell r="F95">
            <v>0</v>
          </cell>
          <cell r="G95">
            <v>0</v>
          </cell>
          <cell r="H95">
            <v>172.4</v>
          </cell>
          <cell r="I95">
            <v>92.62</v>
          </cell>
          <cell r="J95">
            <v>0</v>
          </cell>
          <cell r="K95">
            <v>79.78</v>
          </cell>
          <cell r="L95">
            <v>46.28</v>
          </cell>
          <cell r="M95">
            <v>0.01</v>
          </cell>
        </row>
        <row r="96">
          <cell r="A96" t="str">
            <v>EXTRALUZ</v>
          </cell>
          <cell r="B96">
            <v>2</v>
          </cell>
          <cell r="C96">
            <v>149.5</v>
          </cell>
          <cell r="D96">
            <v>29.9</v>
          </cell>
          <cell r="E96">
            <v>0</v>
          </cell>
          <cell r="F96">
            <v>0</v>
          </cell>
          <cell r="G96">
            <v>0</v>
          </cell>
          <cell r="H96">
            <v>149.5</v>
          </cell>
          <cell r="I96">
            <v>87.55</v>
          </cell>
          <cell r="J96">
            <v>0</v>
          </cell>
          <cell r="K96">
            <v>61.95</v>
          </cell>
          <cell r="L96">
            <v>41.44</v>
          </cell>
          <cell r="M96">
            <v>0.01</v>
          </cell>
        </row>
        <row r="97">
          <cell r="A97" t="str">
            <v>J LOBATO</v>
          </cell>
          <cell r="B97">
            <v>3</v>
          </cell>
          <cell r="C97">
            <v>143.54</v>
          </cell>
          <cell r="D97">
            <v>28.71</v>
          </cell>
          <cell r="E97">
            <v>0</v>
          </cell>
          <cell r="F97">
            <v>0</v>
          </cell>
          <cell r="G97">
            <v>0</v>
          </cell>
          <cell r="H97">
            <v>143.54</v>
          </cell>
          <cell r="I97">
            <v>64.430000000000007</v>
          </cell>
          <cell r="J97">
            <v>0</v>
          </cell>
          <cell r="K97">
            <v>79.11</v>
          </cell>
          <cell r="L97">
            <v>55.11</v>
          </cell>
          <cell r="M97">
            <v>0.01</v>
          </cell>
        </row>
        <row r="98">
          <cell r="A98" t="str">
            <v>ATTENA</v>
          </cell>
          <cell r="B98">
            <v>1</v>
          </cell>
          <cell r="C98">
            <v>134.85</v>
          </cell>
          <cell r="D98">
            <v>44.95</v>
          </cell>
          <cell r="E98">
            <v>0</v>
          </cell>
          <cell r="F98">
            <v>0</v>
          </cell>
          <cell r="G98">
            <v>0</v>
          </cell>
          <cell r="H98">
            <v>134.85</v>
          </cell>
          <cell r="I98">
            <v>269.7</v>
          </cell>
          <cell r="J98">
            <v>0</v>
          </cell>
          <cell r="K98">
            <v>-134.85</v>
          </cell>
          <cell r="L98">
            <v>0</v>
          </cell>
          <cell r="M98">
            <v>0.01</v>
          </cell>
        </row>
        <row r="99">
          <cell r="A99" t="str">
            <v>TRAMONTINA ELETRIK S.A.</v>
          </cell>
          <cell r="B99">
            <v>3</v>
          </cell>
          <cell r="C99">
            <v>119.96</v>
          </cell>
          <cell r="D99">
            <v>13.33</v>
          </cell>
          <cell r="E99">
            <v>0</v>
          </cell>
          <cell r="F99">
            <v>0</v>
          </cell>
          <cell r="G99">
            <v>0</v>
          </cell>
          <cell r="H99">
            <v>119.96</v>
          </cell>
          <cell r="I99">
            <v>75.34</v>
          </cell>
          <cell r="J99">
            <v>0</v>
          </cell>
          <cell r="K99">
            <v>44.62</v>
          </cell>
          <cell r="L99">
            <v>37.200000000000003</v>
          </cell>
          <cell r="M99">
            <v>0.01</v>
          </cell>
        </row>
        <row r="100">
          <cell r="A100" t="str">
            <v>EXTRALUX</v>
          </cell>
          <cell r="B100">
            <v>2</v>
          </cell>
          <cell r="C100">
            <v>119.6</v>
          </cell>
          <cell r="D100">
            <v>29.9</v>
          </cell>
          <cell r="E100">
            <v>0</v>
          </cell>
          <cell r="F100">
            <v>0</v>
          </cell>
          <cell r="G100">
            <v>0</v>
          </cell>
          <cell r="H100">
            <v>119.6</v>
          </cell>
          <cell r="I100">
            <v>70.55</v>
          </cell>
          <cell r="J100">
            <v>0</v>
          </cell>
          <cell r="K100">
            <v>49.05</v>
          </cell>
          <cell r="L100">
            <v>41.01</v>
          </cell>
          <cell r="M100">
            <v>0.01</v>
          </cell>
        </row>
        <row r="101">
          <cell r="A101" t="str">
            <v>ANJO TINTAS E SOLVENTES</v>
          </cell>
          <cell r="B101">
            <v>1</v>
          </cell>
          <cell r="C101">
            <v>117.7</v>
          </cell>
          <cell r="D101">
            <v>39.229999999999997</v>
          </cell>
          <cell r="E101">
            <v>0</v>
          </cell>
          <cell r="F101">
            <v>0</v>
          </cell>
          <cell r="G101">
            <v>0</v>
          </cell>
          <cell r="H101">
            <v>117.7</v>
          </cell>
          <cell r="I101">
            <v>56.99</v>
          </cell>
          <cell r="J101">
            <v>0</v>
          </cell>
          <cell r="K101">
            <v>60.71</v>
          </cell>
          <cell r="L101">
            <v>51.58</v>
          </cell>
          <cell r="M101">
            <v>0.01</v>
          </cell>
        </row>
        <row r="102">
          <cell r="A102" t="str">
            <v>BLACK ELEPHANT</v>
          </cell>
          <cell r="B102">
            <v>2</v>
          </cell>
          <cell r="C102">
            <v>99.5</v>
          </cell>
          <cell r="D102">
            <v>19.899999999999999</v>
          </cell>
          <cell r="E102">
            <v>0</v>
          </cell>
          <cell r="F102">
            <v>0</v>
          </cell>
          <cell r="G102">
            <v>0</v>
          </cell>
          <cell r="H102">
            <v>99.5</v>
          </cell>
          <cell r="I102">
            <v>59.25</v>
          </cell>
          <cell r="J102">
            <v>0</v>
          </cell>
          <cell r="K102">
            <v>40.25</v>
          </cell>
          <cell r="L102">
            <v>40.450000000000003</v>
          </cell>
          <cell r="M102">
            <v>0.01</v>
          </cell>
        </row>
        <row r="103">
          <cell r="A103" t="str">
            <v>BOSCH</v>
          </cell>
          <cell r="B103">
            <v>1</v>
          </cell>
          <cell r="C103">
            <v>85.8</v>
          </cell>
          <cell r="D103">
            <v>42.9</v>
          </cell>
          <cell r="E103">
            <v>0</v>
          </cell>
          <cell r="F103">
            <v>0</v>
          </cell>
          <cell r="G103">
            <v>0</v>
          </cell>
          <cell r="H103">
            <v>85.8</v>
          </cell>
          <cell r="I103">
            <v>54.92</v>
          </cell>
          <cell r="J103">
            <v>0</v>
          </cell>
          <cell r="K103">
            <v>30.88</v>
          </cell>
          <cell r="L103">
            <v>35.99</v>
          </cell>
          <cell r="M103">
            <v>0</v>
          </cell>
        </row>
        <row r="104">
          <cell r="A104" t="str">
            <v>GARDENLIFE</v>
          </cell>
          <cell r="B104">
            <v>1</v>
          </cell>
          <cell r="C104">
            <v>81.900000000000006</v>
          </cell>
          <cell r="D104">
            <v>81.900000000000006</v>
          </cell>
          <cell r="E104">
            <v>0</v>
          </cell>
          <cell r="F104">
            <v>0</v>
          </cell>
          <cell r="G104">
            <v>0</v>
          </cell>
          <cell r="H104">
            <v>81.900000000000006</v>
          </cell>
          <cell r="I104">
            <v>50.78</v>
          </cell>
          <cell r="J104">
            <v>0</v>
          </cell>
          <cell r="K104">
            <v>31.12</v>
          </cell>
          <cell r="L104">
            <v>38</v>
          </cell>
          <cell r="M104">
            <v>0</v>
          </cell>
        </row>
        <row r="105">
          <cell r="A105" t="str">
            <v>LEDAN</v>
          </cell>
          <cell r="B105">
            <v>4</v>
          </cell>
          <cell r="C105">
            <v>77.099999999999994</v>
          </cell>
          <cell r="D105">
            <v>12.85</v>
          </cell>
          <cell r="E105">
            <v>0</v>
          </cell>
          <cell r="F105">
            <v>0</v>
          </cell>
          <cell r="G105">
            <v>0</v>
          </cell>
          <cell r="H105">
            <v>77.099999999999994</v>
          </cell>
          <cell r="I105">
            <v>46.78</v>
          </cell>
          <cell r="J105">
            <v>0</v>
          </cell>
          <cell r="K105">
            <v>30.32</v>
          </cell>
          <cell r="L105">
            <v>39.33</v>
          </cell>
          <cell r="M105">
            <v>0</v>
          </cell>
        </row>
        <row r="106">
          <cell r="A106" t="str">
            <v>PADOVA</v>
          </cell>
          <cell r="B106">
            <v>3</v>
          </cell>
          <cell r="C106">
            <v>60.7</v>
          </cell>
          <cell r="D106">
            <v>20.23</v>
          </cell>
          <cell r="E106">
            <v>0</v>
          </cell>
          <cell r="F106">
            <v>0</v>
          </cell>
          <cell r="G106">
            <v>0</v>
          </cell>
          <cell r="H106">
            <v>60.7</v>
          </cell>
          <cell r="I106">
            <v>37.32</v>
          </cell>
          <cell r="J106">
            <v>0</v>
          </cell>
          <cell r="K106">
            <v>23.38</v>
          </cell>
          <cell r="L106">
            <v>38.520000000000003</v>
          </cell>
          <cell r="M106">
            <v>0</v>
          </cell>
        </row>
        <row r="107">
          <cell r="A107" t="str">
            <v>RANCAN</v>
          </cell>
          <cell r="B107">
            <v>1</v>
          </cell>
          <cell r="C107">
            <v>59.9</v>
          </cell>
          <cell r="D107">
            <v>59.9</v>
          </cell>
          <cell r="E107">
            <v>0</v>
          </cell>
          <cell r="F107">
            <v>0</v>
          </cell>
          <cell r="G107">
            <v>0</v>
          </cell>
          <cell r="H107">
            <v>59.9</v>
          </cell>
          <cell r="I107">
            <v>33.78</v>
          </cell>
          <cell r="J107">
            <v>0</v>
          </cell>
          <cell r="K107">
            <v>26.12</v>
          </cell>
          <cell r="L107">
            <v>43.61</v>
          </cell>
          <cell r="M107">
            <v>0</v>
          </cell>
        </row>
        <row r="108">
          <cell r="A108" t="str">
            <v>OVERTIME</v>
          </cell>
          <cell r="B108">
            <v>3</v>
          </cell>
          <cell r="C108">
            <v>50.27</v>
          </cell>
          <cell r="D108">
            <v>5.03</v>
          </cell>
          <cell r="E108">
            <v>0</v>
          </cell>
          <cell r="F108">
            <v>0</v>
          </cell>
          <cell r="G108">
            <v>0</v>
          </cell>
          <cell r="H108">
            <v>50.27</v>
          </cell>
          <cell r="I108">
            <v>28.95</v>
          </cell>
          <cell r="J108">
            <v>0</v>
          </cell>
          <cell r="K108">
            <v>21.32</v>
          </cell>
          <cell r="L108">
            <v>42.41</v>
          </cell>
          <cell r="M108">
            <v>0</v>
          </cell>
        </row>
        <row r="109">
          <cell r="A109" t="str">
            <v xml:space="preserve"> RESISWAL</v>
          </cell>
          <cell r="B109">
            <v>1</v>
          </cell>
          <cell r="C109">
            <v>38.9</v>
          </cell>
          <cell r="D109">
            <v>38.9</v>
          </cell>
          <cell r="E109">
            <v>0</v>
          </cell>
          <cell r="F109">
            <v>0</v>
          </cell>
          <cell r="G109">
            <v>0</v>
          </cell>
          <cell r="H109">
            <v>38.9</v>
          </cell>
          <cell r="I109">
            <v>21.54</v>
          </cell>
          <cell r="J109">
            <v>0</v>
          </cell>
          <cell r="K109">
            <v>17.36</v>
          </cell>
          <cell r="L109">
            <v>44.63</v>
          </cell>
          <cell r="M109">
            <v>0</v>
          </cell>
        </row>
        <row r="110">
          <cell r="A110" t="str">
            <v>INJEPLAST</v>
          </cell>
          <cell r="B110">
            <v>2</v>
          </cell>
          <cell r="C110">
            <v>16.8</v>
          </cell>
          <cell r="D110">
            <v>0.4</v>
          </cell>
          <cell r="E110">
            <v>0</v>
          </cell>
          <cell r="F110">
            <v>0</v>
          </cell>
          <cell r="G110">
            <v>0</v>
          </cell>
          <cell r="H110">
            <v>16.8</v>
          </cell>
          <cell r="I110">
            <v>7.56</v>
          </cell>
          <cell r="J110">
            <v>0</v>
          </cell>
          <cell r="K110">
            <v>9.24</v>
          </cell>
          <cell r="L110">
            <v>55</v>
          </cell>
          <cell r="M110">
            <v>0</v>
          </cell>
        </row>
        <row r="111">
          <cell r="A111" t="str">
            <v>EMPLAC</v>
          </cell>
          <cell r="B111">
            <v>1</v>
          </cell>
          <cell r="C111">
            <v>14.9</v>
          </cell>
          <cell r="D111">
            <v>14.9</v>
          </cell>
          <cell r="E111">
            <v>0</v>
          </cell>
          <cell r="F111">
            <v>0</v>
          </cell>
          <cell r="G111">
            <v>0</v>
          </cell>
          <cell r="H111">
            <v>14.9</v>
          </cell>
          <cell r="I111">
            <v>6.5</v>
          </cell>
          <cell r="J111">
            <v>0</v>
          </cell>
          <cell r="K111">
            <v>8.4</v>
          </cell>
          <cell r="L111">
            <v>56.38</v>
          </cell>
          <cell r="M111">
            <v>0</v>
          </cell>
        </row>
        <row r="112">
          <cell r="A112" t="str">
            <v>PHILIPS ILUMINACAO LA</v>
          </cell>
          <cell r="B112">
            <v>1</v>
          </cell>
          <cell r="C112">
            <v>7.9</v>
          </cell>
          <cell r="D112">
            <v>7.9</v>
          </cell>
          <cell r="E112">
            <v>0</v>
          </cell>
          <cell r="F112">
            <v>0</v>
          </cell>
          <cell r="G112">
            <v>0</v>
          </cell>
          <cell r="H112">
            <v>7.9</v>
          </cell>
          <cell r="I112">
            <v>4.8899999999999997</v>
          </cell>
          <cell r="J112">
            <v>0</v>
          </cell>
          <cell r="K112">
            <v>3.01</v>
          </cell>
          <cell r="L112">
            <v>38.1</v>
          </cell>
          <cell r="M112">
            <v>0</v>
          </cell>
        </row>
        <row r="113">
          <cell r="A113" t="str">
            <v>INCA</v>
          </cell>
          <cell r="B113">
            <v>2</v>
          </cell>
          <cell r="C113">
            <v>6.2</v>
          </cell>
          <cell r="D113">
            <v>3.1</v>
          </cell>
          <cell r="E113">
            <v>0</v>
          </cell>
          <cell r="F113">
            <v>0</v>
          </cell>
          <cell r="G113">
            <v>0</v>
          </cell>
          <cell r="H113">
            <v>6.2</v>
          </cell>
          <cell r="I113">
            <v>3.28</v>
          </cell>
          <cell r="J113">
            <v>0</v>
          </cell>
          <cell r="K113">
            <v>2.92</v>
          </cell>
          <cell r="L113">
            <v>47.1</v>
          </cell>
          <cell r="M113">
            <v>0</v>
          </cell>
        </row>
        <row r="114">
          <cell r="A114" t="str">
            <v>OUROLUX</v>
          </cell>
          <cell r="B114">
            <v>1</v>
          </cell>
          <cell r="C114">
            <v>5.3</v>
          </cell>
          <cell r="D114">
            <v>5.3</v>
          </cell>
          <cell r="E114">
            <v>0</v>
          </cell>
          <cell r="F114">
            <v>0</v>
          </cell>
          <cell r="G114">
            <v>0</v>
          </cell>
          <cell r="H114">
            <v>5.3</v>
          </cell>
          <cell r="I114">
            <v>2.95</v>
          </cell>
          <cell r="J114">
            <v>0</v>
          </cell>
          <cell r="K114">
            <v>2.35</v>
          </cell>
          <cell r="L114">
            <v>44.34</v>
          </cell>
          <cell r="M114">
            <v>0</v>
          </cell>
        </row>
        <row r="115">
          <cell r="A115" t="str">
            <v>outros</v>
          </cell>
          <cell r="B115">
            <v>0</v>
          </cell>
          <cell r="C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024C-D35F-4625-B810-0E146844055F}">
  <dimension ref="A1:X43"/>
  <sheetViews>
    <sheetView showGridLines="0" zoomScale="90" zoomScaleNormal="90" workbookViewId="0">
      <pane ySplit="2" topLeftCell="A27" activePane="bottomLeft" state="frozen"/>
      <selection activeCell="AB1" sqref="AB1"/>
      <selection pane="bottomLeft" activeCell="H43" sqref="H43:I43"/>
    </sheetView>
  </sheetViews>
  <sheetFormatPr defaultRowHeight="15" x14ac:dyDescent="0.25"/>
  <cols>
    <col min="1" max="1" width="8.5703125" style="2" customWidth="1"/>
    <col min="2" max="2" width="14.85546875" bestFit="1" customWidth="1"/>
    <col min="3" max="3" width="8.140625" style="1" customWidth="1"/>
    <col min="4" max="4" width="7.7109375" style="1" customWidth="1"/>
    <col min="5" max="5" width="9.28515625" style="1" bestFit="1" customWidth="1"/>
    <col min="6" max="6" width="10.140625" style="1" customWidth="1"/>
    <col min="7" max="7" width="14.42578125" customWidth="1"/>
    <col min="8" max="8" width="8.140625" style="1" customWidth="1"/>
    <col min="9" max="9" width="7.7109375" style="1" customWidth="1"/>
    <col min="10" max="10" width="9.28515625" style="1" bestFit="1" customWidth="1"/>
    <col min="11" max="11" width="10.140625" style="1" customWidth="1"/>
    <col min="12" max="12" width="14.42578125" style="10" customWidth="1"/>
    <col min="13" max="13" width="8.140625" style="1" customWidth="1"/>
    <col min="14" max="14" width="7.7109375" style="1" customWidth="1"/>
    <col min="15" max="15" width="9.28515625" style="1" bestFit="1" customWidth="1"/>
    <col min="16" max="16" width="10.140625" style="1" customWidth="1"/>
    <col min="17" max="17" width="14.42578125" style="10" customWidth="1"/>
    <col min="18" max="18" width="8.140625" style="1" customWidth="1"/>
    <col min="19" max="19" width="7.7109375" style="1" customWidth="1"/>
    <col min="20" max="20" width="9.28515625" style="1" bestFit="1" customWidth="1"/>
    <col min="21" max="21" width="10.140625" style="1" customWidth="1"/>
    <col min="22" max="22" width="19.140625" style="28" customWidth="1"/>
    <col min="23" max="23" width="9.28515625" style="1" bestFit="1" customWidth="1"/>
    <col min="24" max="24" width="10.140625" style="1" bestFit="1" customWidth="1"/>
  </cols>
  <sheetData>
    <row r="1" spans="1:24" x14ac:dyDescent="0.25">
      <c r="B1" s="42" t="s">
        <v>17</v>
      </c>
      <c r="C1" s="43"/>
      <c r="D1" s="43"/>
      <c r="E1" s="43"/>
      <c r="F1" s="44"/>
      <c r="G1" s="42" t="s">
        <v>18</v>
      </c>
      <c r="H1" s="43"/>
      <c r="I1" s="43"/>
      <c r="J1" s="43"/>
      <c r="K1" s="44"/>
      <c r="L1" s="42" t="s">
        <v>19</v>
      </c>
      <c r="M1" s="43"/>
      <c r="N1" s="43"/>
      <c r="O1" s="43"/>
      <c r="P1" s="44"/>
      <c r="Q1" s="42" t="s">
        <v>21</v>
      </c>
      <c r="R1" s="43"/>
      <c r="S1" s="43"/>
      <c r="T1" s="43"/>
      <c r="U1" s="44"/>
      <c r="V1" s="45" t="s">
        <v>63</v>
      </c>
      <c r="W1" s="45"/>
      <c r="X1" s="45"/>
    </row>
    <row r="2" spans="1:24" x14ac:dyDescent="0.25">
      <c r="B2" s="8" t="s">
        <v>1</v>
      </c>
      <c r="C2" s="8" t="s">
        <v>20</v>
      </c>
      <c r="D2" s="8" t="s">
        <v>16</v>
      </c>
      <c r="E2" s="8" t="s">
        <v>4</v>
      </c>
      <c r="F2" s="8" t="s">
        <v>3</v>
      </c>
      <c r="G2" s="8" t="s">
        <v>1</v>
      </c>
      <c r="H2" s="8" t="s">
        <v>20</v>
      </c>
      <c r="I2" s="8" t="s">
        <v>16</v>
      </c>
      <c r="J2" s="8" t="s">
        <v>4</v>
      </c>
      <c r="K2" s="8" t="s">
        <v>3</v>
      </c>
      <c r="L2" s="8" t="s">
        <v>1</v>
      </c>
      <c r="M2" s="8" t="s">
        <v>20</v>
      </c>
      <c r="N2" s="8" t="s">
        <v>16</v>
      </c>
      <c r="O2" s="8" t="s">
        <v>4</v>
      </c>
      <c r="P2" s="8" t="s">
        <v>3</v>
      </c>
      <c r="Q2" s="8" t="s">
        <v>1</v>
      </c>
      <c r="R2" s="8" t="s">
        <v>20</v>
      </c>
      <c r="S2" s="8" t="s">
        <v>16</v>
      </c>
      <c r="T2" s="8" t="s">
        <v>4</v>
      </c>
      <c r="U2" s="8" t="s">
        <v>3</v>
      </c>
      <c r="V2" s="8" t="s">
        <v>1</v>
      </c>
      <c r="W2" s="8" t="s">
        <v>4</v>
      </c>
      <c r="X2" s="8" t="s">
        <v>3</v>
      </c>
    </row>
    <row r="3" spans="1:24" x14ac:dyDescent="0.25">
      <c r="A3" s="6">
        <v>44835</v>
      </c>
      <c r="B3" s="3">
        <v>582330.74</v>
      </c>
      <c r="C3" s="11">
        <v>0.40110000000000001</v>
      </c>
      <c r="D3" s="11">
        <v>0.66959999999999997</v>
      </c>
      <c r="E3" s="4" t="s">
        <v>0</v>
      </c>
      <c r="F3" s="4" t="s">
        <v>0</v>
      </c>
      <c r="G3" s="9">
        <v>414867.79000000004</v>
      </c>
      <c r="H3" s="11">
        <v>0.38109999999999999</v>
      </c>
      <c r="I3" s="11">
        <v>0.61580000000000001</v>
      </c>
      <c r="J3" s="4" t="s">
        <v>0</v>
      </c>
      <c r="K3" s="4" t="s">
        <v>0</v>
      </c>
      <c r="L3" s="3">
        <v>687418.77</v>
      </c>
      <c r="M3" s="11">
        <v>0.40670000000000001</v>
      </c>
      <c r="N3" s="11">
        <v>0.6855</v>
      </c>
      <c r="O3" s="4" t="s">
        <v>0</v>
      </c>
      <c r="P3" s="4" t="s">
        <v>0</v>
      </c>
      <c r="Q3" s="13"/>
      <c r="R3" s="14"/>
      <c r="S3" s="14"/>
      <c r="T3" s="15" t="s">
        <v>0</v>
      </c>
      <c r="U3" s="15" t="s">
        <v>0</v>
      </c>
      <c r="V3" s="3">
        <f>B3+G3+L3+Q3</f>
        <v>1684617.3</v>
      </c>
      <c r="W3" s="27" t="s">
        <v>0</v>
      </c>
      <c r="X3" s="27" t="s">
        <v>0</v>
      </c>
    </row>
    <row r="4" spans="1:24" x14ac:dyDescent="0.25">
      <c r="A4" s="6">
        <v>44866</v>
      </c>
      <c r="B4" s="3">
        <v>584604.37</v>
      </c>
      <c r="C4" s="11">
        <v>0.38819999999999999</v>
      </c>
      <c r="D4" s="11">
        <v>0.63460000000000005</v>
      </c>
      <c r="E4" s="4">
        <f t="shared" ref="E4:E37" si="0">(B4/B3)-1</f>
        <v>3.9043619782119787E-3</v>
      </c>
      <c r="F4" s="4" t="s">
        <v>0</v>
      </c>
      <c r="G4" s="9">
        <v>447784.45999999996</v>
      </c>
      <c r="H4" s="11">
        <v>0.38150000000000001</v>
      </c>
      <c r="I4" s="11">
        <v>0.6169</v>
      </c>
      <c r="J4" s="4">
        <f t="shared" ref="J4:J38" si="1">(G4/G3)-1</f>
        <v>7.9342553925432213E-2</v>
      </c>
      <c r="K4" s="4" t="s">
        <v>0</v>
      </c>
      <c r="L4" s="3">
        <v>721021.52</v>
      </c>
      <c r="M4" s="11">
        <v>0.40010000000000001</v>
      </c>
      <c r="N4" s="11">
        <v>0.66690000000000005</v>
      </c>
      <c r="O4" s="4">
        <f t="shared" ref="O4:O38" si="2">(L4/L3)-1</f>
        <v>4.8882502873757616E-2</v>
      </c>
      <c r="P4" s="4" t="s">
        <v>0</v>
      </c>
      <c r="Q4" s="13"/>
      <c r="R4" s="14"/>
      <c r="S4" s="14"/>
      <c r="T4" s="15" t="e">
        <f>(Q4/Q3)-1</f>
        <v>#DIV/0!</v>
      </c>
      <c r="U4" s="15" t="s">
        <v>0</v>
      </c>
      <c r="V4" s="3">
        <f t="shared" ref="V4:V37" si="3">B4+G4+L4+Q4</f>
        <v>1753410.35</v>
      </c>
      <c r="W4" s="4">
        <f>(V4/V3)-1</f>
        <v>4.0836010647640864E-2</v>
      </c>
      <c r="X4" s="4" t="s">
        <v>0</v>
      </c>
    </row>
    <row r="5" spans="1:24" x14ac:dyDescent="0.25">
      <c r="A5" s="6">
        <v>44896</v>
      </c>
      <c r="B5" s="3">
        <v>425373.81</v>
      </c>
      <c r="C5" s="11">
        <v>0.40089999999999998</v>
      </c>
      <c r="D5" s="11">
        <v>0.66910000000000003</v>
      </c>
      <c r="E5" s="4">
        <f t="shared" si="0"/>
        <v>-0.27237319488391787</v>
      </c>
      <c r="F5" s="4" t="s">
        <v>0</v>
      </c>
      <c r="G5" s="9">
        <v>334996.62</v>
      </c>
      <c r="H5" s="11">
        <v>0.3906</v>
      </c>
      <c r="I5" s="11">
        <v>0.64090000000000003</v>
      </c>
      <c r="J5" s="4">
        <f t="shared" si="1"/>
        <v>-0.25187975482668601</v>
      </c>
      <c r="K5" s="4" t="s">
        <v>0</v>
      </c>
      <c r="L5" s="3">
        <v>678693.09</v>
      </c>
      <c r="M5" s="11">
        <v>0.40339999999999998</v>
      </c>
      <c r="N5" s="11">
        <v>0.67610000000000003</v>
      </c>
      <c r="O5" s="4">
        <f t="shared" si="2"/>
        <v>-5.8706195066133504E-2</v>
      </c>
      <c r="P5" s="4" t="s">
        <v>0</v>
      </c>
      <c r="Q5" s="13"/>
      <c r="R5" s="14"/>
      <c r="S5" s="14"/>
      <c r="T5" s="15" t="e">
        <f t="shared" ref="T5:T30" si="4">(Q5/Q4)-1</f>
        <v>#DIV/0!</v>
      </c>
      <c r="U5" s="15" t="s">
        <v>0</v>
      </c>
      <c r="V5" s="3">
        <f t="shared" si="3"/>
        <v>1439063.52</v>
      </c>
      <c r="W5" s="4">
        <f t="shared" ref="W5:W37" si="5">(V5/V4)-1</f>
        <v>-0.17927738934585391</v>
      </c>
      <c r="X5" s="4" t="s">
        <v>0</v>
      </c>
    </row>
    <row r="6" spans="1:24" x14ac:dyDescent="0.25">
      <c r="A6" s="6">
        <v>44927</v>
      </c>
      <c r="B6" s="3">
        <v>360312.68</v>
      </c>
      <c r="C6" s="11">
        <v>0.38840000000000002</v>
      </c>
      <c r="D6" s="11">
        <v>0.6351</v>
      </c>
      <c r="E6" s="4">
        <f t="shared" si="0"/>
        <v>-0.15295048371689834</v>
      </c>
      <c r="F6" s="4" t="s">
        <v>0</v>
      </c>
      <c r="G6" s="9">
        <v>325976.36</v>
      </c>
      <c r="H6" s="11">
        <v>0.38419999999999999</v>
      </c>
      <c r="I6" s="11">
        <v>0.62380000000000002</v>
      </c>
      <c r="J6" s="4">
        <f t="shared" si="1"/>
        <v>-2.6926420929261896E-2</v>
      </c>
      <c r="K6" s="4" t="s">
        <v>0</v>
      </c>
      <c r="L6" s="3">
        <v>491986.83</v>
      </c>
      <c r="M6" s="11">
        <v>0.39379999999999998</v>
      </c>
      <c r="N6" s="11">
        <v>0.64970000000000006</v>
      </c>
      <c r="O6" s="4">
        <f t="shared" si="2"/>
        <v>-0.27509674512819915</v>
      </c>
      <c r="P6" s="4" t="s">
        <v>0</v>
      </c>
      <c r="Q6" s="13"/>
      <c r="R6" s="14"/>
      <c r="S6" s="14"/>
      <c r="T6" s="15" t="e">
        <f t="shared" si="4"/>
        <v>#DIV/0!</v>
      </c>
      <c r="U6" s="15" t="s">
        <v>0</v>
      </c>
      <c r="V6" s="3">
        <f t="shared" si="3"/>
        <v>1178275.8700000001</v>
      </c>
      <c r="W6" s="4">
        <f t="shared" si="5"/>
        <v>-0.18122038838146626</v>
      </c>
      <c r="X6" s="4" t="s">
        <v>0</v>
      </c>
    </row>
    <row r="7" spans="1:24" x14ac:dyDescent="0.25">
      <c r="A7" s="6">
        <v>44958</v>
      </c>
      <c r="B7" s="3">
        <v>355236.93</v>
      </c>
      <c r="C7" s="11">
        <v>0.37459999999999999</v>
      </c>
      <c r="D7" s="11">
        <v>0.59899999999999998</v>
      </c>
      <c r="E7" s="4">
        <f t="shared" si="0"/>
        <v>-1.4087070152513093E-2</v>
      </c>
      <c r="F7" s="4" t="s">
        <v>0</v>
      </c>
      <c r="G7" s="9">
        <v>304267.98</v>
      </c>
      <c r="H7" s="11">
        <v>0.36780000000000002</v>
      </c>
      <c r="I7" s="11">
        <v>0.58189999999999997</v>
      </c>
      <c r="J7" s="4">
        <f t="shared" si="1"/>
        <v>-6.6594951854790918E-2</v>
      </c>
      <c r="K7" s="4" t="s">
        <v>0</v>
      </c>
      <c r="L7" s="3">
        <v>407820.01</v>
      </c>
      <c r="M7" s="11">
        <v>0.3921</v>
      </c>
      <c r="N7" s="11">
        <v>0.64490000000000003</v>
      </c>
      <c r="O7" s="4">
        <f t="shared" si="2"/>
        <v>-0.17107535175281019</v>
      </c>
      <c r="P7" s="4" t="s">
        <v>0</v>
      </c>
      <c r="Q7" s="13"/>
      <c r="R7" s="14"/>
      <c r="S7" s="14"/>
      <c r="T7" s="15" t="e">
        <f t="shared" si="4"/>
        <v>#DIV/0!</v>
      </c>
      <c r="U7" s="15" t="s">
        <v>0</v>
      </c>
      <c r="V7" s="3">
        <f t="shared" si="3"/>
        <v>1067324.92</v>
      </c>
      <c r="W7" s="4">
        <f t="shared" si="5"/>
        <v>-9.416381411595931E-2</v>
      </c>
      <c r="X7" s="4" t="s">
        <v>0</v>
      </c>
    </row>
    <row r="8" spans="1:24" x14ac:dyDescent="0.25">
      <c r="A8" s="6">
        <v>44986</v>
      </c>
      <c r="B8" s="3">
        <v>473208.49</v>
      </c>
      <c r="C8" s="11">
        <v>0.4007</v>
      </c>
      <c r="D8" s="11">
        <v>0.66849999999999998</v>
      </c>
      <c r="E8" s="4">
        <f t="shared" si="0"/>
        <v>0.33209261210539109</v>
      </c>
      <c r="F8" s="4" t="s">
        <v>0</v>
      </c>
      <c r="G8" s="3">
        <v>423163.64</v>
      </c>
      <c r="H8" s="11">
        <v>0.37890000000000001</v>
      </c>
      <c r="I8" s="11">
        <v>0.61</v>
      </c>
      <c r="J8" s="4">
        <f t="shared" si="1"/>
        <v>0.39075968493299906</v>
      </c>
      <c r="K8" s="4" t="s">
        <v>0</v>
      </c>
      <c r="L8" s="9">
        <v>484333.07</v>
      </c>
      <c r="M8" s="11">
        <v>0.38590000000000002</v>
      </c>
      <c r="N8" s="11">
        <v>0.62829999999999997</v>
      </c>
      <c r="O8" s="4">
        <f t="shared" si="2"/>
        <v>0.18761477643041591</v>
      </c>
      <c r="P8" s="4" t="s">
        <v>0</v>
      </c>
      <c r="Q8" s="16"/>
      <c r="R8" s="14"/>
      <c r="S8" s="14"/>
      <c r="T8" s="15" t="e">
        <f t="shared" si="4"/>
        <v>#DIV/0!</v>
      </c>
      <c r="U8" s="15" t="s">
        <v>0</v>
      </c>
      <c r="V8" s="3">
        <f t="shared" si="3"/>
        <v>1380705.2</v>
      </c>
      <c r="W8" s="4">
        <f t="shared" si="5"/>
        <v>0.29361282035839653</v>
      </c>
      <c r="X8" s="4" t="s">
        <v>0</v>
      </c>
    </row>
    <row r="9" spans="1:24" x14ac:dyDescent="0.25">
      <c r="A9" s="6">
        <v>45017</v>
      </c>
      <c r="B9" s="3">
        <v>434408.97000000003</v>
      </c>
      <c r="C9" s="11">
        <v>0.3821</v>
      </c>
      <c r="D9" s="11">
        <v>0.61850000000000005</v>
      </c>
      <c r="E9" s="4">
        <f t="shared" si="0"/>
        <v>-8.1992442696875445E-2</v>
      </c>
      <c r="F9" s="4" t="s">
        <v>0</v>
      </c>
      <c r="G9" s="3">
        <v>437724.14</v>
      </c>
      <c r="H9" s="11">
        <v>0.3765</v>
      </c>
      <c r="I9" s="11">
        <v>0.60399999999999998</v>
      </c>
      <c r="J9" s="4">
        <f t="shared" si="1"/>
        <v>3.4408674620532098E-2</v>
      </c>
      <c r="K9" s="4" t="s">
        <v>0</v>
      </c>
      <c r="L9" s="9">
        <v>426547.12</v>
      </c>
      <c r="M9" s="11">
        <v>0.37869999999999998</v>
      </c>
      <c r="N9" s="11">
        <v>0.60960000000000003</v>
      </c>
      <c r="O9" s="4">
        <f t="shared" si="2"/>
        <v>-0.11931035392648293</v>
      </c>
      <c r="P9" s="4" t="s">
        <v>0</v>
      </c>
      <c r="Q9" s="16"/>
      <c r="R9" s="14"/>
      <c r="S9" s="14"/>
      <c r="T9" s="15" t="e">
        <f t="shared" si="4"/>
        <v>#DIV/0!</v>
      </c>
      <c r="U9" s="15" t="s">
        <v>0</v>
      </c>
      <c r="V9" s="3">
        <f t="shared" si="3"/>
        <v>1298680.23</v>
      </c>
      <c r="W9" s="4">
        <f t="shared" si="5"/>
        <v>-5.9408025695854572E-2</v>
      </c>
      <c r="X9" s="4" t="s">
        <v>0</v>
      </c>
    </row>
    <row r="10" spans="1:24" x14ac:dyDescent="0.25">
      <c r="A10" s="6">
        <v>45047</v>
      </c>
      <c r="B10" s="3">
        <v>449679.72000000003</v>
      </c>
      <c r="C10" s="11">
        <v>0.38340000000000002</v>
      </c>
      <c r="D10" s="11">
        <v>0.62180000000000002</v>
      </c>
      <c r="E10" s="4">
        <f t="shared" si="0"/>
        <v>3.5152934342032482E-2</v>
      </c>
      <c r="F10" s="4" t="s">
        <v>0</v>
      </c>
      <c r="G10" s="3">
        <v>452329.24</v>
      </c>
      <c r="H10" s="11">
        <v>0.38540000000000002</v>
      </c>
      <c r="I10" s="11">
        <v>0.627</v>
      </c>
      <c r="J10" s="4">
        <f t="shared" si="1"/>
        <v>3.336599164944376E-2</v>
      </c>
      <c r="K10" s="4" t="s">
        <v>0</v>
      </c>
      <c r="L10" s="9">
        <v>491051.27</v>
      </c>
      <c r="M10" s="11">
        <v>0.38279999999999997</v>
      </c>
      <c r="N10" s="11">
        <v>0.62019999999999997</v>
      </c>
      <c r="O10" s="4">
        <f t="shared" si="2"/>
        <v>0.15122397262933118</v>
      </c>
      <c r="P10" s="4" t="s">
        <v>0</v>
      </c>
      <c r="Q10" s="16"/>
      <c r="R10" s="14"/>
      <c r="S10" s="14"/>
      <c r="T10" s="15" t="e">
        <f t="shared" si="4"/>
        <v>#DIV/0!</v>
      </c>
      <c r="U10" s="15" t="s">
        <v>0</v>
      </c>
      <c r="V10" s="3">
        <f t="shared" si="3"/>
        <v>1393060.23</v>
      </c>
      <c r="W10" s="4">
        <f t="shared" si="5"/>
        <v>7.2673778979448933E-2</v>
      </c>
      <c r="X10" s="4" t="s">
        <v>0</v>
      </c>
    </row>
    <row r="11" spans="1:24" x14ac:dyDescent="0.25">
      <c r="A11" s="6">
        <v>45078</v>
      </c>
      <c r="B11" s="3">
        <v>466083.84000000003</v>
      </c>
      <c r="C11" s="11">
        <v>0.37090000000000001</v>
      </c>
      <c r="D11" s="11">
        <v>0.58960000000000001</v>
      </c>
      <c r="E11" s="4">
        <f t="shared" si="0"/>
        <v>3.6479563721486086E-2</v>
      </c>
      <c r="F11" s="4" t="s">
        <v>0</v>
      </c>
      <c r="G11" s="3">
        <v>411517.99</v>
      </c>
      <c r="H11" s="11">
        <v>0.3569</v>
      </c>
      <c r="I11" s="11">
        <v>0.55500000000000005</v>
      </c>
      <c r="J11" s="4">
        <f t="shared" si="1"/>
        <v>-9.0224655828130884E-2</v>
      </c>
      <c r="K11" s="4" t="s">
        <v>0</v>
      </c>
      <c r="L11" s="9">
        <v>450458.52999999997</v>
      </c>
      <c r="M11" s="11">
        <v>0.37640000000000001</v>
      </c>
      <c r="N11" s="11">
        <v>0.60360000000000003</v>
      </c>
      <c r="O11" s="4">
        <f t="shared" si="2"/>
        <v>-8.2664973048537371E-2</v>
      </c>
      <c r="P11" s="4" t="s">
        <v>0</v>
      </c>
      <c r="Q11" s="16"/>
      <c r="R11" s="14"/>
      <c r="S11" s="14"/>
      <c r="T11" s="15" t="e">
        <f t="shared" si="4"/>
        <v>#DIV/0!</v>
      </c>
      <c r="U11" s="15" t="s">
        <v>0</v>
      </c>
      <c r="V11" s="3">
        <f t="shared" si="3"/>
        <v>1328060.3600000001</v>
      </c>
      <c r="W11" s="4">
        <f t="shared" si="5"/>
        <v>-4.6659770051722615E-2</v>
      </c>
      <c r="X11" s="4" t="s">
        <v>0</v>
      </c>
    </row>
    <row r="12" spans="1:24" x14ac:dyDescent="0.25">
      <c r="A12" s="6">
        <v>45108</v>
      </c>
      <c r="B12" s="3">
        <v>551196.92000000004</v>
      </c>
      <c r="C12" s="11">
        <v>0.37719999999999998</v>
      </c>
      <c r="D12" s="11">
        <v>0.60560000000000003</v>
      </c>
      <c r="E12" s="4">
        <f t="shared" si="0"/>
        <v>0.18261323971240895</v>
      </c>
      <c r="F12" s="4" t="s">
        <v>0</v>
      </c>
      <c r="G12" s="3">
        <v>579154.71</v>
      </c>
      <c r="H12" s="11">
        <v>0.35549999999999998</v>
      </c>
      <c r="I12" s="11">
        <v>0.55149999999999999</v>
      </c>
      <c r="J12" s="4">
        <f t="shared" si="1"/>
        <v>0.4073618263930574</v>
      </c>
      <c r="K12" s="4" t="s">
        <v>0</v>
      </c>
      <c r="L12" s="9">
        <v>606889.18000000005</v>
      </c>
      <c r="M12" s="11">
        <v>0.37169999999999997</v>
      </c>
      <c r="N12" s="11">
        <v>0.59150000000000003</v>
      </c>
      <c r="O12" s="4">
        <f t="shared" si="2"/>
        <v>0.34726981416025149</v>
      </c>
      <c r="P12" s="4" t="s">
        <v>0</v>
      </c>
      <c r="Q12" s="16"/>
      <c r="R12" s="14"/>
      <c r="S12" s="14"/>
      <c r="T12" s="15" t="e">
        <f t="shared" si="4"/>
        <v>#DIV/0!</v>
      </c>
      <c r="U12" s="15" t="s">
        <v>0</v>
      </c>
      <c r="V12" s="3">
        <f t="shared" si="3"/>
        <v>1737240.81</v>
      </c>
      <c r="W12" s="4">
        <f t="shared" si="5"/>
        <v>0.30810380486019473</v>
      </c>
      <c r="X12" s="4" t="s">
        <v>0</v>
      </c>
    </row>
    <row r="13" spans="1:24" x14ac:dyDescent="0.25">
      <c r="A13" s="6">
        <v>45139</v>
      </c>
      <c r="B13" s="3">
        <v>659198.85</v>
      </c>
      <c r="C13" s="11">
        <v>0.3861</v>
      </c>
      <c r="D13" s="11">
        <v>0.62890000000000001</v>
      </c>
      <c r="E13" s="4">
        <f t="shared" si="0"/>
        <v>0.19594073566303649</v>
      </c>
      <c r="F13" s="4" t="s">
        <v>0</v>
      </c>
      <c r="G13" s="3">
        <v>505364.02</v>
      </c>
      <c r="H13" s="11">
        <v>0.3821</v>
      </c>
      <c r="I13" s="11">
        <v>0.61829999999999996</v>
      </c>
      <c r="J13" s="4">
        <f t="shared" si="1"/>
        <v>-0.12741101596152082</v>
      </c>
      <c r="K13" s="4" t="s">
        <v>0</v>
      </c>
      <c r="L13" s="9">
        <v>547615.13</v>
      </c>
      <c r="M13" s="11">
        <v>0.39169999999999999</v>
      </c>
      <c r="N13" s="11">
        <v>0.64400000000000002</v>
      </c>
      <c r="O13" s="4">
        <f t="shared" si="2"/>
        <v>-9.7668655091198153E-2</v>
      </c>
      <c r="P13" s="4" t="s">
        <v>0</v>
      </c>
      <c r="Q13" s="16"/>
      <c r="R13" s="14"/>
      <c r="S13" s="14"/>
      <c r="T13" s="15" t="e">
        <f t="shared" si="4"/>
        <v>#DIV/0!</v>
      </c>
      <c r="U13" s="15" t="s">
        <v>0</v>
      </c>
      <c r="V13" s="3">
        <f t="shared" si="3"/>
        <v>1712178</v>
      </c>
      <c r="W13" s="4">
        <f t="shared" si="5"/>
        <v>-1.4426790952487445E-2</v>
      </c>
      <c r="X13" s="4" t="s">
        <v>0</v>
      </c>
    </row>
    <row r="14" spans="1:24" x14ac:dyDescent="0.25">
      <c r="A14" s="6">
        <v>45170</v>
      </c>
      <c r="B14" s="3">
        <v>604862.39</v>
      </c>
      <c r="C14" s="11">
        <v>0.38269999999999998</v>
      </c>
      <c r="D14" s="11">
        <v>0.61990000000000001</v>
      </c>
      <c r="E14" s="4">
        <f t="shared" si="0"/>
        <v>-8.2428026080445971E-2</v>
      </c>
      <c r="F14" s="4" t="s">
        <v>0</v>
      </c>
      <c r="G14" s="3">
        <v>459005.63</v>
      </c>
      <c r="H14" s="11">
        <v>0.37519999999999998</v>
      </c>
      <c r="I14" s="11">
        <v>0.60050000000000003</v>
      </c>
      <c r="J14" s="4">
        <f t="shared" si="1"/>
        <v>-9.1732668265540607E-2</v>
      </c>
      <c r="K14" s="4" t="s">
        <v>0</v>
      </c>
      <c r="L14" s="9">
        <v>571402.88</v>
      </c>
      <c r="M14" s="11">
        <v>0.39100000000000001</v>
      </c>
      <c r="N14" s="11">
        <v>0.64200000000000002</v>
      </c>
      <c r="O14" s="4">
        <f t="shared" si="2"/>
        <v>4.3438810757474799E-2</v>
      </c>
      <c r="P14" s="4" t="s">
        <v>0</v>
      </c>
      <c r="Q14" s="16"/>
      <c r="R14" s="14"/>
      <c r="S14" s="14"/>
      <c r="T14" s="15" t="e">
        <f t="shared" si="4"/>
        <v>#DIV/0!</v>
      </c>
      <c r="U14" s="15" t="s">
        <v>0</v>
      </c>
      <c r="V14" s="3">
        <f t="shared" si="3"/>
        <v>1635270.9</v>
      </c>
      <c r="W14" s="4">
        <f t="shared" si="5"/>
        <v>-4.4917701313765379E-2</v>
      </c>
      <c r="X14" s="4" t="s">
        <v>0</v>
      </c>
    </row>
    <row r="15" spans="1:24" x14ac:dyDescent="0.25">
      <c r="A15" s="6">
        <v>45200</v>
      </c>
      <c r="B15" s="3">
        <v>624498.27</v>
      </c>
      <c r="C15" s="4">
        <v>0.377</v>
      </c>
      <c r="D15" s="4">
        <v>0.60519999999999996</v>
      </c>
      <c r="E15" s="4">
        <f t="shared" si="0"/>
        <v>3.2463383944238977E-2</v>
      </c>
      <c r="F15" s="4">
        <f t="shared" ref="F15:F37" si="6">(B15/B3)-1</f>
        <v>7.2411650465163513E-2</v>
      </c>
      <c r="G15" s="3">
        <v>397820.97</v>
      </c>
      <c r="H15" s="4">
        <v>0.37719999999999998</v>
      </c>
      <c r="I15" s="4">
        <v>0.60560000000000003</v>
      </c>
      <c r="J15" s="4">
        <f t="shared" si="1"/>
        <v>-0.13329827784465309</v>
      </c>
      <c r="K15" s="4">
        <f t="shared" ref="K15:K38" si="7">(G15/G3)-1</f>
        <v>-4.1089765006823153E-2</v>
      </c>
      <c r="L15" s="9">
        <v>552271.31000000006</v>
      </c>
      <c r="M15" s="4">
        <v>0.37809999999999999</v>
      </c>
      <c r="N15" s="4">
        <v>0.60809999999999997</v>
      </c>
      <c r="O15" s="4">
        <f t="shared" si="2"/>
        <v>-3.3481752839607526E-2</v>
      </c>
      <c r="P15" s="4">
        <f t="shared" ref="P15:P38" si="8">(L15/L3)-1</f>
        <v>-0.19660135262236145</v>
      </c>
      <c r="Q15" s="16"/>
      <c r="R15" s="15"/>
      <c r="S15" s="15"/>
      <c r="T15" s="15" t="e">
        <f t="shared" si="4"/>
        <v>#DIV/0!</v>
      </c>
      <c r="U15" s="15" t="e">
        <f>(Q15/Q3)-1</f>
        <v>#DIV/0!</v>
      </c>
      <c r="V15" s="3">
        <f t="shared" si="3"/>
        <v>1574590.55</v>
      </c>
      <c r="W15" s="4">
        <f t="shared" si="5"/>
        <v>-3.7107215691296047E-2</v>
      </c>
      <c r="X15" s="4">
        <f>(V15/V3)-1</f>
        <v>-6.5312608388860771E-2</v>
      </c>
    </row>
    <row r="16" spans="1:24" x14ac:dyDescent="0.25">
      <c r="A16" s="6">
        <v>45231</v>
      </c>
      <c r="B16" s="3">
        <v>717471</v>
      </c>
      <c r="C16" s="4">
        <v>0.36380000000000001</v>
      </c>
      <c r="D16" s="4">
        <v>0.57189999999999996</v>
      </c>
      <c r="E16" s="4">
        <f t="shared" si="0"/>
        <v>0.14887588079307257</v>
      </c>
      <c r="F16" s="4">
        <f t="shared" si="6"/>
        <v>0.22727614916734207</v>
      </c>
      <c r="G16" s="3">
        <v>378748.33</v>
      </c>
      <c r="H16" s="4">
        <v>0.36320000000000002</v>
      </c>
      <c r="I16" s="4">
        <v>0.57040000000000002</v>
      </c>
      <c r="J16" s="4">
        <f t="shared" si="1"/>
        <v>-4.7942771845335241E-2</v>
      </c>
      <c r="K16" s="4">
        <f t="shared" si="7"/>
        <v>-0.15417267941812884</v>
      </c>
      <c r="L16" s="9">
        <v>667037.41</v>
      </c>
      <c r="M16" s="4">
        <v>0.36980000000000002</v>
      </c>
      <c r="N16" s="4">
        <v>0.58689999999999998</v>
      </c>
      <c r="O16" s="4">
        <f t="shared" si="2"/>
        <v>0.20780746332812394</v>
      </c>
      <c r="P16" s="4">
        <f t="shared" si="8"/>
        <v>-7.4871704245387805E-2</v>
      </c>
      <c r="Q16" s="16"/>
      <c r="R16" s="15"/>
      <c r="S16" s="15"/>
      <c r="T16" s="15" t="e">
        <f t="shared" si="4"/>
        <v>#DIV/0!</v>
      </c>
      <c r="U16" s="15" t="e">
        <f t="shared" ref="U16:U30" si="9">(Q16/Q4)-1</f>
        <v>#DIV/0!</v>
      </c>
      <c r="V16" s="3">
        <f t="shared" si="3"/>
        <v>1763256.7400000002</v>
      </c>
      <c r="W16" s="4">
        <f t="shared" si="5"/>
        <v>0.11981920633271947</v>
      </c>
      <c r="X16" s="4">
        <f t="shared" ref="X16:X37" si="10">(V16/V4)-1</f>
        <v>5.6155651185703093E-3</v>
      </c>
    </row>
    <row r="17" spans="1:24" x14ac:dyDescent="0.25">
      <c r="A17" s="6">
        <v>45261</v>
      </c>
      <c r="B17" s="3">
        <v>531896.65</v>
      </c>
      <c r="C17" s="4">
        <v>0.377</v>
      </c>
      <c r="D17" s="4">
        <v>0.60519999999999996</v>
      </c>
      <c r="E17" s="4">
        <f t="shared" si="0"/>
        <v>-0.25865066323238151</v>
      </c>
      <c r="F17" s="4">
        <f t="shared" si="6"/>
        <v>0.25042171731259155</v>
      </c>
      <c r="G17" s="3">
        <v>307560.82</v>
      </c>
      <c r="H17" s="4">
        <v>0.37159999999999999</v>
      </c>
      <c r="I17" s="4">
        <v>0.59130000000000005</v>
      </c>
      <c r="J17" s="4">
        <f t="shared" si="1"/>
        <v>-0.18795465051951521</v>
      </c>
      <c r="K17" s="4">
        <f t="shared" si="7"/>
        <v>-8.1898736769344116E-2</v>
      </c>
      <c r="L17" s="9">
        <v>609037.47</v>
      </c>
      <c r="M17" s="4">
        <v>0.37930000000000003</v>
      </c>
      <c r="N17" s="4">
        <v>0.61109999999999998</v>
      </c>
      <c r="O17" s="4">
        <f t="shared" si="2"/>
        <v>-8.6951554936026798E-2</v>
      </c>
      <c r="P17" s="4">
        <f t="shared" si="8"/>
        <v>-0.10263198642555793</v>
      </c>
      <c r="Q17" s="16"/>
      <c r="R17" s="15"/>
      <c r="S17" s="15"/>
      <c r="T17" s="15" t="e">
        <f t="shared" si="4"/>
        <v>#DIV/0!</v>
      </c>
      <c r="U17" s="15" t="e">
        <f t="shared" si="9"/>
        <v>#DIV/0!</v>
      </c>
      <c r="V17" s="3">
        <f t="shared" si="3"/>
        <v>1448494.94</v>
      </c>
      <c r="W17" s="4">
        <f t="shared" si="5"/>
        <v>-0.17851161028314022</v>
      </c>
      <c r="X17" s="4">
        <f t="shared" si="10"/>
        <v>6.5538594154619378E-3</v>
      </c>
    </row>
    <row r="18" spans="1:24" x14ac:dyDescent="0.25">
      <c r="A18" s="6">
        <v>45292</v>
      </c>
      <c r="B18" s="3">
        <v>423186.5</v>
      </c>
      <c r="C18" s="4">
        <v>0.37540000000000001</v>
      </c>
      <c r="D18" s="4">
        <v>0.60099999999999998</v>
      </c>
      <c r="E18" s="4">
        <f t="shared" si="0"/>
        <v>-0.20438209189698797</v>
      </c>
      <c r="F18" s="4">
        <f t="shared" si="6"/>
        <v>0.17449793884578257</v>
      </c>
      <c r="G18" s="3">
        <v>280583.96000000002</v>
      </c>
      <c r="H18" s="4">
        <v>0.36070000000000002</v>
      </c>
      <c r="I18" s="4">
        <v>0.56420000000000003</v>
      </c>
      <c r="J18" s="4">
        <f t="shared" si="1"/>
        <v>-8.7712277526116544E-2</v>
      </c>
      <c r="K18" s="4">
        <f t="shared" si="7"/>
        <v>-0.13925058860096473</v>
      </c>
      <c r="L18" s="9">
        <v>514916.42</v>
      </c>
      <c r="M18" s="4">
        <v>0.36570000000000003</v>
      </c>
      <c r="N18" s="4">
        <v>0.5766</v>
      </c>
      <c r="O18" s="4">
        <f t="shared" si="2"/>
        <v>-0.15454065576622078</v>
      </c>
      <c r="P18" s="4">
        <f t="shared" si="8"/>
        <v>4.6606105289444422E-2</v>
      </c>
      <c r="Q18" s="16"/>
      <c r="R18" s="15"/>
      <c r="S18" s="15"/>
      <c r="T18" s="15" t="e">
        <f t="shared" si="4"/>
        <v>#DIV/0!</v>
      </c>
      <c r="U18" s="15" t="e">
        <f t="shared" si="9"/>
        <v>#DIV/0!</v>
      </c>
      <c r="V18" s="3">
        <f t="shared" si="3"/>
        <v>1218686.8799999999</v>
      </c>
      <c r="W18" s="4">
        <f t="shared" si="5"/>
        <v>-0.15865299467321581</v>
      </c>
      <c r="X18" s="4">
        <f t="shared" si="10"/>
        <v>3.4296730527121566E-2</v>
      </c>
    </row>
    <row r="19" spans="1:24" x14ac:dyDescent="0.25">
      <c r="A19" s="6">
        <v>45323</v>
      </c>
      <c r="B19" s="3">
        <v>367704.72000000003</v>
      </c>
      <c r="C19" s="4">
        <v>0.36270000000000002</v>
      </c>
      <c r="D19" s="4">
        <v>0.56910000000000005</v>
      </c>
      <c r="E19" s="4">
        <f t="shared" si="0"/>
        <v>-0.13110479658495711</v>
      </c>
      <c r="F19" s="4">
        <f t="shared" si="6"/>
        <v>3.5097111102722511E-2</v>
      </c>
      <c r="G19" s="3">
        <v>200449.21000000002</v>
      </c>
      <c r="H19" s="4">
        <v>0.35070000000000001</v>
      </c>
      <c r="I19" s="4">
        <v>0.54020000000000001</v>
      </c>
      <c r="J19" s="4">
        <f t="shared" si="1"/>
        <v>-0.28559989672966335</v>
      </c>
      <c r="K19" s="4">
        <f t="shared" si="7"/>
        <v>-0.34120833220768076</v>
      </c>
      <c r="L19" s="9">
        <v>406064.52</v>
      </c>
      <c r="M19" s="4">
        <v>0.36980000000000002</v>
      </c>
      <c r="N19" s="4">
        <v>0.58679999999999999</v>
      </c>
      <c r="O19" s="4">
        <f t="shared" si="2"/>
        <v>-0.21139722054309318</v>
      </c>
      <c r="P19" s="4">
        <f t="shared" si="8"/>
        <v>-4.3045705383607524E-3</v>
      </c>
      <c r="Q19" s="16"/>
      <c r="R19" s="15"/>
      <c r="S19" s="15"/>
      <c r="T19" s="15" t="e">
        <f t="shared" si="4"/>
        <v>#DIV/0!</v>
      </c>
      <c r="U19" s="15" t="e">
        <f t="shared" si="9"/>
        <v>#DIV/0!</v>
      </c>
      <c r="V19" s="3">
        <f t="shared" si="3"/>
        <v>974218.45000000007</v>
      </c>
      <c r="W19" s="4">
        <f t="shared" si="5"/>
        <v>-0.20059987024722858</v>
      </c>
      <c r="X19" s="4">
        <f t="shared" si="10"/>
        <v>-8.7233482752374858E-2</v>
      </c>
    </row>
    <row r="20" spans="1:24" x14ac:dyDescent="0.25">
      <c r="A20" s="6">
        <v>45352</v>
      </c>
      <c r="B20" s="3">
        <v>534584.59000000008</v>
      </c>
      <c r="C20" s="4">
        <v>0.35980000000000001</v>
      </c>
      <c r="D20" s="4">
        <v>0.56200000000000006</v>
      </c>
      <c r="E20" s="4">
        <f t="shared" si="0"/>
        <v>0.45384206653643178</v>
      </c>
      <c r="F20" s="4">
        <f t="shared" si="6"/>
        <v>0.12970202626753391</v>
      </c>
      <c r="G20" s="3">
        <v>235285.29</v>
      </c>
      <c r="H20" s="4">
        <v>0.35709999999999997</v>
      </c>
      <c r="I20" s="4">
        <v>0.55549999999999999</v>
      </c>
      <c r="J20" s="4">
        <f t="shared" si="1"/>
        <v>0.17379005883834608</v>
      </c>
      <c r="K20" s="4">
        <f t="shared" si="7"/>
        <v>-0.44398509758541638</v>
      </c>
      <c r="L20" s="9">
        <v>499557.97000000003</v>
      </c>
      <c r="M20" s="4">
        <v>0.36430000000000001</v>
      </c>
      <c r="N20" s="4">
        <v>0.57320000000000004</v>
      </c>
      <c r="O20" s="4">
        <f t="shared" si="2"/>
        <v>0.23024284416673479</v>
      </c>
      <c r="P20" s="4">
        <f t="shared" si="8"/>
        <v>3.1434772769078245E-2</v>
      </c>
      <c r="Q20" s="16"/>
      <c r="R20" s="15"/>
      <c r="S20" s="15"/>
      <c r="T20" s="15" t="e">
        <f t="shared" si="4"/>
        <v>#DIV/0!</v>
      </c>
      <c r="U20" s="15" t="e">
        <f t="shared" si="9"/>
        <v>#DIV/0!</v>
      </c>
      <c r="V20" s="3">
        <f t="shared" si="3"/>
        <v>1269427.8500000001</v>
      </c>
      <c r="W20" s="4">
        <f t="shared" si="5"/>
        <v>0.30302177093854055</v>
      </c>
      <c r="X20" s="4">
        <f t="shared" si="10"/>
        <v>-8.059457587325658E-2</v>
      </c>
    </row>
    <row r="21" spans="1:24" x14ac:dyDescent="0.25">
      <c r="A21" s="6">
        <v>45383</v>
      </c>
      <c r="B21" s="3">
        <v>472369.7</v>
      </c>
      <c r="C21" s="4">
        <v>0.36670000000000003</v>
      </c>
      <c r="D21" s="4">
        <v>0.57899999999999996</v>
      </c>
      <c r="E21" s="4">
        <f t="shared" si="0"/>
        <v>-0.11637987918806281</v>
      </c>
      <c r="F21" s="4">
        <f t="shared" si="6"/>
        <v>8.738477476650619E-2</v>
      </c>
      <c r="G21" s="3">
        <v>345848.57</v>
      </c>
      <c r="H21" s="4">
        <v>0.36220000000000002</v>
      </c>
      <c r="I21" s="4">
        <v>0.56789999999999996</v>
      </c>
      <c r="J21" s="4">
        <f t="shared" si="1"/>
        <v>0.46991156990732397</v>
      </c>
      <c r="K21" s="4">
        <f t="shared" si="7"/>
        <v>-0.20989377008085508</v>
      </c>
      <c r="L21" s="9">
        <v>518460.15999999997</v>
      </c>
      <c r="M21" s="4">
        <v>0.37040000000000001</v>
      </c>
      <c r="N21" s="4">
        <v>0.58819999999999995</v>
      </c>
      <c r="O21" s="4">
        <f t="shared" si="2"/>
        <v>3.7837830912796688E-2</v>
      </c>
      <c r="P21" s="4">
        <f t="shared" si="8"/>
        <v>0.21548156274036034</v>
      </c>
      <c r="Q21" s="16"/>
      <c r="R21" s="15"/>
      <c r="S21" s="15"/>
      <c r="T21" s="15" t="e">
        <f t="shared" si="4"/>
        <v>#DIV/0!</v>
      </c>
      <c r="U21" s="15" t="e">
        <f t="shared" si="9"/>
        <v>#DIV/0!</v>
      </c>
      <c r="V21" s="3">
        <f t="shared" si="3"/>
        <v>1336678.43</v>
      </c>
      <c r="W21" s="4">
        <f t="shared" si="5"/>
        <v>5.2977079398407678E-2</v>
      </c>
      <c r="X21" s="4">
        <f t="shared" si="10"/>
        <v>2.9259088667269451E-2</v>
      </c>
    </row>
    <row r="22" spans="1:24" x14ac:dyDescent="0.25">
      <c r="A22" s="6">
        <v>45413</v>
      </c>
      <c r="B22" s="3">
        <v>595701.07999999996</v>
      </c>
      <c r="C22" s="4">
        <v>0.36520000000000002</v>
      </c>
      <c r="D22" s="4">
        <v>0.57530000000000003</v>
      </c>
      <c r="E22" s="4">
        <f t="shared" si="0"/>
        <v>0.2610907939268754</v>
      </c>
      <c r="F22" s="4">
        <f t="shared" si="6"/>
        <v>0.32472302731375113</v>
      </c>
      <c r="G22" s="3">
        <v>244943.09</v>
      </c>
      <c r="H22" s="4">
        <v>0.37669999999999998</v>
      </c>
      <c r="I22" s="4">
        <v>0.60450000000000004</v>
      </c>
      <c r="J22" s="4">
        <f t="shared" si="1"/>
        <v>-0.29176202752551506</v>
      </c>
      <c r="K22" s="4">
        <f t="shared" si="7"/>
        <v>-0.45848495224407781</v>
      </c>
      <c r="L22" s="9">
        <v>505297.26</v>
      </c>
      <c r="M22" s="4">
        <v>0.37459999999999999</v>
      </c>
      <c r="N22" s="4">
        <v>0.59889999999999999</v>
      </c>
      <c r="O22" s="4">
        <f t="shared" si="2"/>
        <v>-2.5388450290953823E-2</v>
      </c>
      <c r="P22" s="4">
        <f t="shared" si="8"/>
        <v>2.9011206915318555E-2</v>
      </c>
      <c r="Q22" s="16"/>
      <c r="R22" s="15"/>
      <c r="S22" s="15"/>
      <c r="T22" s="15" t="e">
        <f t="shared" si="4"/>
        <v>#DIV/0!</v>
      </c>
      <c r="U22" s="15" t="e">
        <f t="shared" si="9"/>
        <v>#DIV/0!</v>
      </c>
      <c r="V22" s="3">
        <f t="shared" si="3"/>
        <v>1345941.43</v>
      </c>
      <c r="W22" s="4">
        <f t="shared" si="5"/>
        <v>6.9298642007711297E-3</v>
      </c>
      <c r="X22" s="4">
        <f t="shared" si="10"/>
        <v>-3.3823950311179352E-2</v>
      </c>
    </row>
    <row r="23" spans="1:24" x14ac:dyDescent="0.25">
      <c r="A23" s="6">
        <v>45444</v>
      </c>
      <c r="B23" s="3">
        <v>495705.28</v>
      </c>
      <c r="C23" s="4">
        <v>0.36049999999999999</v>
      </c>
      <c r="D23" s="4">
        <v>0.56379999999999997</v>
      </c>
      <c r="E23" s="4">
        <f t="shared" si="0"/>
        <v>-0.16786237822499828</v>
      </c>
      <c r="F23" s="4">
        <f t="shared" si="6"/>
        <v>6.355388764390546E-2</v>
      </c>
      <c r="G23" s="3">
        <v>224033.92000000001</v>
      </c>
      <c r="H23" s="4">
        <v>0.36280000000000001</v>
      </c>
      <c r="I23" s="4">
        <v>0.56930000000000003</v>
      </c>
      <c r="J23" s="4">
        <f t="shared" si="1"/>
        <v>-8.5363379714038845E-2</v>
      </c>
      <c r="K23" s="4">
        <f t="shared" si="7"/>
        <v>-0.45559143113038625</v>
      </c>
      <c r="L23" s="9">
        <v>499507.23</v>
      </c>
      <c r="M23" s="4">
        <v>0.3679</v>
      </c>
      <c r="N23" s="4">
        <v>0.58199999999999996</v>
      </c>
      <c r="O23" s="4">
        <f t="shared" si="2"/>
        <v>-1.1458660987000102E-2</v>
      </c>
      <c r="P23" s="4">
        <f t="shared" si="8"/>
        <v>0.1088861609524856</v>
      </c>
      <c r="Q23" s="16"/>
      <c r="R23" s="15"/>
      <c r="S23" s="15"/>
      <c r="T23" s="15" t="e">
        <f t="shared" si="4"/>
        <v>#DIV/0!</v>
      </c>
      <c r="U23" s="15" t="e">
        <f t="shared" si="9"/>
        <v>#DIV/0!</v>
      </c>
      <c r="V23" s="3">
        <f t="shared" si="3"/>
        <v>1219246.4300000002</v>
      </c>
      <c r="W23" s="4">
        <f t="shared" si="5"/>
        <v>-9.4131139123936336E-2</v>
      </c>
      <c r="X23" s="4">
        <f t="shared" si="10"/>
        <v>-8.193447623118566E-2</v>
      </c>
    </row>
    <row r="24" spans="1:24" x14ac:dyDescent="0.25">
      <c r="A24" s="6">
        <v>45474</v>
      </c>
      <c r="B24" s="3">
        <v>602451.56000000006</v>
      </c>
      <c r="C24" s="4">
        <v>0.35260000000000002</v>
      </c>
      <c r="D24" s="4">
        <v>0.54459999999999997</v>
      </c>
      <c r="E24" s="4">
        <f t="shared" si="0"/>
        <v>0.21534222915680878</v>
      </c>
      <c r="F24" s="4">
        <f t="shared" si="6"/>
        <v>9.2987892602883315E-2</v>
      </c>
      <c r="G24" s="3">
        <v>307639.95</v>
      </c>
      <c r="H24" s="4">
        <v>0.3634</v>
      </c>
      <c r="I24" s="4">
        <v>0.57069999999999999</v>
      </c>
      <c r="J24" s="4">
        <f t="shared" si="1"/>
        <v>0.37318469453197078</v>
      </c>
      <c r="K24" s="4">
        <f t="shared" si="7"/>
        <v>-0.46881214175051766</v>
      </c>
      <c r="L24" s="9">
        <v>532749.36</v>
      </c>
      <c r="M24" s="4">
        <v>0.36720000000000003</v>
      </c>
      <c r="N24" s="4">
        <v>0.58030000000000004</v>
      </c>
      <c r="O24" s="4">
        <f t="shared" si="2"/>
        <v>6.6549847536741424E-2</v>
      </c>
      <c r="P24" s="4">
        <f t="shared" si="8"/>
        <v>-0.12216368728142435</v>
      </c>
      <c r="Q24" s="16"/>
      <c r="R24" s="15"/>
      <c r="S24" s="15"/>
      <c r="T24" s="15" t="e">
        <f t="shared" si="4"/>
        <v>#DIV/0!</v>
      </c>
      <c r="U24" s="15" t="e">
        <f t="shared" si="9"/>
        <v>#DIV/0!</v>
      </c>
      <c r="V24" s="3">
        <f t="shared" si="3"/>
        <v>1442840.87</v>
      </c>
      <c r="W24" s="4">
        <f t="shared" si="5"/>
        <v>0.18338740594056935</v>
      </c>
      <c r="X24" s="4">
        <f t="shared" si="10"/>
        <v>-0.16946409404232221</v>
      </c>
    </row>
    <row r="25" spans="1:24" x14ac:dyDescent="0.25">
      <c r="A25" s="6">
        <v>45505</v>
      </c>
      <c r="B25" s="3">
        <v>680053.46</v>
      </c>
      <c r="C25" s="4">
        <v>0.3644</v>
      </c>
      <c r="D25" s="4">
        <v>0.57320000000000004</v>
      </c>
      <c r="E25" s="4">
        <f t="shared" si="0"/>
        <v>0.1288101901503913</v>
      </c>
      <c r="F25" s="4">
        <f t="shared" si="6"/>
        <v>3.1636296088805249E-2</v>
      </c>
      <c r="G25" s="3">
        <v>302526.26</v>
      </c>
      <c r="H25" s="4">
        <v>0.36199999999999999</v>
      </c>
      <c r="I25" s="4">
        <v>0.56740000000000002</v>
      </c>
      <c r="J25" s="4">
        <f t="shared" si="1"/>
        <v>-1.6622320995696382E-2</v>
      </c>
      <c r="K25" s="4">
        <f t="shared" si="7"/>
        <v>-0.40136961076097188</v>
      </c>
      <c r="L25" s="9">
        <v>533134.4</v>
      </c>
      <c r="M25" s="4">
        <v>0.38350000000000001</v>
      </c>
      <c r="N25" s="4">
        <v>0.62209999999999999</v>
      </c>
      <c r="O25" s="4">
        <f t="shared" si="2"/>
        <v>7.2274136565830815E-4</v>
      </c>
      <c r="P25" s="4">
        <f t="shared" si="8"/>
        <v>-2.6443261346705271E-2</v>
      </c>
      <c r="Q25" s="16"/>
      <c r="R25" s="15"/>
      <c r="S25" s="15"/>
      <c r="T25" s="15" t="e">
        <f t="shared" si="4"/>
        <v>#DIV/0!</v>
      </c>
      <c r="U25" s="15" t="e">
        <f t="shared" si="9"/>
        <v>#DIV/0!</v>
      </c>
      <c r="V25" s="3">
        <f t="shared" si="3"/>
        <v>1515714.12</v>
      </c>
      <c r="W25" s="4">
        <f t="shared" si="5"/>
        <v>5.0506782497781622E-2</v>
      </c>
      <c r="X25" s="4">
        <f t="shared" si="10"/>
        <v>-0.11474500898855133</v>
      </c>
    </row>
    <row r="26" spans="1:24" x14ac:dyDescent="0.25">
      <c r="A26" s="6">
        <v>45536</v>
      </c>
      <c r="B26" s="3">
        <v>594586.27</v>
      </c>
      <c r="C26" s="4">
        <v>0.36859999999999998</v>
      </c>
      <c r="D26" s="4">
        <v>0.58379999999999999</v>
      </c>
      <c r="E26" s="4">
        <f t="shared" si="0"/>
        <v>-0.1256771636747499</v>
      </c>
      <c r="F26" s="4">
        <f t="shared" si="6"/>
        <v>-1.6989186581761184E-2</v>
      </c>
      <c r="G26" s="3">
        <v>318210.40999999997</v>
      </c>
      <c r="H26" s="4">
        <v>0.3735</v>
      </c>
      <c r="I26" s="4">
        <v>0.59619999999999995</v>
      </c>
      <c r="J26" s="4">
        <f t="shared" si="1"/>
        <v>5.1843929184858029E-2</v>
      </c>
      <c r="K26" s="4">
        <f t="shared" si="7"/>
        <v>-0.30673963628724998</v>
      </c>
      <c r="L26" s="9">
        <v>551366.67000000004</v>
      </c>
      <c r="M26" s="4">
        <v>0.37680000000000002</v>
      </c>
      <c r="N26" s="4">
        <v>0.60450000000000004</v>
      </c>
      <c r="O26" s="4">
        <f t="shared" si="2"/>
        <v>3.4198262201801333E-2</v>
      </c>
      <c r="P26" s="4">
        <f t="shared" si="8"/>
        <v>-3.5064944019883026E-2</v>
      </c>
      <c r="Q26" s="16"/>
      <c r="R26" s="15"/>
      <c r="S26" s="15"/>
      <c r="T26" s="15" t="e">
        <f t="shared" si="4"/>
        <v>#DIV/0!</v>
      </c>
      <c r="U26" s="15" t="e">
        <f t="shared" si="9"/>
        <v>#DIV/0!</v>
      </c>
      <c r="V26" s="3">
        <f t="shared" si="3"/>
        <v>1464163.35</v>
      </c>
      <c r="W26" s="4">
        <f t="shared" si="5"/>
        <v>-3.4010879307504238E-2</v>
      </c>
      <c r="X26" s="4">
        <f t="shared" si="10"/>
        <v>-0.10463559890902474</v>
      </c>
    </row>
    <row r="27" spans="1:24" x14ac:dyDescent="0.25">
      <c r="A27" s="6">
        <v>45566</v>
      </c>
      <c r="B27" s="3">
        <v>573783.52999999991</v>
      </c>
      <c r="C27" s="4">
        <v>0.37140000000000001</v>
      </c>
      <c r="D27" s="4">
        <v>0.59089999999999998</v>
      </c>
      <c r="E27" s="4">
        <f t="shared" si="0"/>
        <v>-3.4986916196366402E-2</v>
      </c>
      <c r="F27" s="4">
        <f t="shared" si="6"/>
        <v>-8.1208775806536848E-2</v>
      </c>
      <c r="G27" s="3">
        <v>350832.24</v>
      </c>
      <c r="H27" s="4">
        <v>0.37169999999999997</v>
      </c>
      <c r="I27" s="4">
        <v>0.59160000000000001</v>
      </c>
      <c r="J27" s="4">
        <f t="shared" si="1"/>
        <v>0.10251653929235061</v>
      </c>
      <c r="K27" s="4">
        <f t="shared" si="7"/>
        <v>-0.11811526677439854</v>
      </c>
      <c r="L27" s="9">
        <v>593047.74</v>
      </c>
      <c r="M27" s="4">
        <v>0.37659999999999999</v>
      </c>
      <c r="N27" s="4">
        <v>0.60399999999999998</v>
      </c>
      <c r="O27" s="4">
        <f t="shared" si="2"/>
        <v>7.5595918773980308E-2</v>
      </c>
      <c r="P27" s="4">
        <f t="shared" si="8"/>
        <v>7.3834054497598167E-2</v>
      </c>
      <c r="Q27" s="16"/>
      <c r="R27" s="15"/>
      <c r="S27" s="15"/>
      <c r="T27" s="15" t="e">
        <f t="shared" si="4"/>
        <v>#DIV/0!</v>
      </c>
      <c r="U27" s="15" t="e">
        <f t="shared" si="9"/>
        <v>#DIV/0!</v>
      </c>
      <c r="V27" s="3">
        <f t="shared" si="3"/>
        <v>1517663.5099999998</v>
      </c>
      <c r="W27" s="4">
        <f t="shared" si="5"/>
        <v>3.6539748109389425E-2</v>
      </c>
      <c r="X27" s="4">
        <f t="shared" si="10"/>
        <v>-3.6153551156521413E-2</v>
      </c>
    </row>
    <row r="28" spans="1:24" x14ac:dyDescent="0.25">
      <c r="A28" s="6">
        <v>45597</v>
      </c>
      <c r="B28" s="3">
        <v>693750.90999999992</v>
      </c>
      <c r="C28" s="4">
        <v>0.377</v>
      </c>
      <c r="D28" s="4">
        <v>0.60509999999999997</v>
      </c>
      <c r="E28" s="4">
        <f t="shared" si="0"/>
        <v>0.20908125404017786</v>
      </c>
      <c r="F28" s="4">
        <f t="shared" si="6"/>
        <v>-3.3060695136110096E-2</v>
      </c>
      <c r="G28" s="3">
        <v>420133.76</v>
      </c>
      <c r="H28" s="4">
        <v>0.378</v>
      </c>
      <c r="I28" s="4">
        <v>0.60770000000000002</v>
      </c>
      <c r="J28" s="4">
        <f t="shared" si="1"/>
        <v>0.19753463934785476</v>
      </c>
      <c r="K28" s="4">
        <f t="shared" si="7"/>
        <v>0.10926894383930352</v>
      </c>
      <c r="L28" s="9">
        <v>717964.04</v>
      </c>
      <c r="M28" s="4">
        <v>0.38469999999999999</v>
      </c>
      <c r="N28" s="4">
        <v>0.62539999999999996</v>
      </c>
      <c r="O28" s="4">
        <f t="shared" si="2"/>
        <v>0.21063447607101593</v>
      </c>
      <c r="P28" s="4">
        <f t="shared" si="8"/>
        <v>7.6347487017257354E-2</v>
      </c>
      <c r="Q28" s="16"/>
      <c r="R28" s="15"/>
      <c r="S28" s="15"/>
      <c r="T28" s="15" t="e">
        <f t="shared" si="4"/>
        <v>#DIV/0!</v>
      </c>
      <c r="U28" s="15" t="e">
        <f t="shared" si="9"/>
        <v>#DIV/0!</v>
      </c>
      <c r="V28" s="3">
        <f t="shared" si="3"/>
        <v>1831848.71</v>
      </c>
      <c r="W28" s="4">
        <f t="shared" si="5"/>
        <v>0.20701901174391435</v>
      </c>
      <c r="X28" s="4">
        <f t="shared" si="10"/>
        <v>3.8900727525362999E-2</v>
      </c>
    </row>
    <row r="29" spans="1:24" x14ac:dyDescent="0.25">
      <c r="A29" s="6">
        <v>45627</v>
      </c>
      <c r="B29" s="3">
        <v>500622.91</v>
      </c>
      <c r="C29" s="4">
        <v>0.37630000000000002</v>
      </c>
      <c r="D29" s="4">
        <v>0.60340000000000005</v>
      </c>
      <c r="E29" s="4">
        <f t="shared" si="0"/>
        <v>-0.27838233754533015</v>
      </c>
      <c r="F29" s="4">
        <f t="shared" si="6"/>
        <v>-5.879664780742655E-2</v>
      </c>
      <c r="G29" s="9">
        <v>397167.03</v>
      </c>
      <c r="H29" s="4">
        <v>0.37830000000000003</v>
      </c>
      <c r="I29" s="4">
        <v>0.60860000000000003</v>
      </c>
      <c r="J29" s="4">
        <f t="shared" si="1"/>
        <v>-5.4665280885782597E-2</v>
      </c>
      <c r="K29" s="4">
        <f t="shared" si="7"/>
        <v>0.29134468428065707</v>
      </c>
      <c r="L29" s="3">
        <v>747699.19</v>
      </c>
      <c r="M29" s="4">
        <v>0.39650000000000002</v>
      </c>
      <c r="N29" s="4">
        <v>0.65710000000000002</v>
      </c>
      <c r="O29" s="4">
        <f t="shared" si="2"/>
        <v>4.1415932196269711E-2</v>
      </c>
      <c r="P29" s="4">
        <f t="shared" si="8"/>
        <v>0.22767354527464456</v>
      </c>
      <c r="Q29" s="13"/>
      <c r="R29" s="15"/>
      <c r="S29" s="15"/>
      <c r="T29" s="15" t="e">
        <f t="shared" si="4"/>
        <v>#DIV/0!</v>
      </c>
      <c r="U29" s="15" t="e">
        <f t="shared" si="9"/>
        <v>#DIV/0!</v>
      </c>
      <c r="V29" s="3">
        <f t="shared" si="3"/>
        <v>1645489.13</v>
      </c>
      <c r="W29" s="4">
        <f t="shared" si="5"/>
        <v>-0.10173306287941219</v>
      </c>
      <c r="X29" s="4">
        <f t="shared" si="10"/>
        <v>0.13599922551334553</v>
      </c>
    </row>
    <row r="30" spans="1:24" x14ac:dyDescent="0.25">
      <c r="A30" s="6">
        <v>45658</v>
      </c>
      <c r="B30" s="3">
        <v>497684.97</v>
      </c>
      <c r="C30" s="4">
        <v>0.37730000000000002</v>
      </c>
      <c r="D30" s="4">
        <v>0.60589999999999999</v>
      </c>
      <c r="E30" s="4">
        <f t="shared" si="0"/>
        <v>-5.8685688195931895E-3</v>
      </c>
      <c r="F30" s="4">
        <f t="shared" si="6"/>
        <v>0.17604169792750946</v>
      </c>
      <c r="G30" s="9">
        <v>388072.81</v>
      </c>
      <c r="H30" s="4">
        <v>0.37730000000000002</v>
      </c>
      <c r="I30" s="4">
        <v>0.60599999999999998</v>
      </c>
      <c r="J30" s="4">
        <f t="shared" si="1"/>
        <v>-2.2897721394447124E-2</v>
      </c>
      <c r="K30" s="4">
        <f t="shared" si="7"/>
        <v>0.38308978888173062</v>
      </c>
      <c r="L30" s="3">
        <v>510596.02</v>
      </c>
      <c r="M30" s="4">
        <v>0.37790000000000001</v>
      </c>
      <c r="N30" s="4">
        <v>0.60740000000000005</v>
      </c>
      <c r="O30" s="4">
        <f t="shared" si="2"/>
        <v>-0.31711037429370481</v>
      </c>
      <c r="P30" s="4">
        <f t="shared" si="8"/>
        <v>-8.3904879164660162E-3</v>
      </c>
      <c r="Q30" s="13"/>
      <c r="R30" s="15"/>
      <c r="S30" s="15"/>
      <c r="T30" s="15" t="e">
        <f t="shared" si="4"/>
        <v>#DIV/0!</v>
      </c>
      <c r="U30" s="15" t="e">
        <f t="shared" si="9"/>
        <v>#DIV/0!</v>
      </c>
      <c r="V30" s="3">
        <f t="shared" si="3"/>
        <v>1396353.8</v>
      </c>
      <c r="W30" s="4">
        <f t="shared" si="5"/>
        <v>-0.15140502933617062</v>
      </c>
      <c r="X30" s="4">
        <f t="shared" si="10"/>
        <v>0.14578553598607713</v>
      </c>
    </row>
    <row r="31" spans="1:24" x14ac:dyDescent="0.25">
      <c r="A31" s="6">
        <v>45689</v>
      </c>
      <c r="B31" s="3">
        <v>447296.93</v>
      </c>
      <c r="C31" s="4">
        <v>0.36890000000000001</v>
      </c>
      <c r="D31" s="4">
        <v>0.58450000000000002</v>
      </c>
      <c r="E31" s="4">
        <f t="shared" si="0"/>
        <v>-0.10124484972893588</v>
      </c>
      <c r="F31" s="4">
        <f t="shared" si="6"/>
        <v>0.21645686245202378</v>
      </c>
      <c r="G31" s="9">
        <v>348046.54</v>
      </c>
      <c r="H31" s="4">
        <v>0.35749999999999998</v>
      </c>
      <c r="I31" s="4">
        <v>0.55649999999999999</v>
      </c>
      <c r="J31" s="4">
        <f t="shared" si="1"/>
        <v>-0.10314113477829079</v>
      </c>
      <c r="K31" s="4">
        <f t="shared" si="7"/>
        <v>0.73633280969278925</v>
      </c>
      <c r="L31" s="3">
        <v>540991.1</v>
      </c>
      <c r="M31" s="4">
        <v>0.37490000000000001</v>
      </c>
      <c r="N31" s="4">
        <v>0.59970000000000001</v>
      </c>
      <c r="O31" s="4">
        <f t="shared" si="2"/>
        <v>5.9528626956394826E-2</v>
      </c>
      <c r="P31" s="4">
        <f t="shared" si="8"/>
        <v>0.33227867334974248</v>
      </c>
      <c r="Q31" s="13"/>
      <c r="R31" s="15"/>
      <c r="S31" s="15"/>
      <c r="T31" s="15" t="e">
        <f t="shared" ref="T31:T35" si="11">(Q31/Q30)-1</f>
        <v>#DIV/0!</v>
      </c>
      <c r="U31" s="15" t="e">
        <f t="shared" ref="U31:U35" si="12">(Q31/Q19)-1</f>
        <v>#DIV/0!</v>
      </c>
      <c r="V31" s="3">
        <f t="shared" si="3"/>
        <v>1336334.5699999998</v>
      </c>
      <c r="W31" s="4">
        <f t="shared" si="5"/>
        <v>-4.2982824267030484E-2</v>
      </c>
      <c r="X31" s="4">
        <f t="shared" si="10"/>
        <v>0.37169909890333086</v>
      </c>
    </row>
    <row r="32" spans="1:24" x14ac:dyDescent="0.25">
      <c r="A32" s="6">
        <v>45717</v>
      </c>
      <c r="B32" s="3">
        <v>430626.88</v>
      </c>
      <c r="C32" s="4">
        <v>0.36849999999999999</v>
      </c>
      <c r="D32" s="4">
        <v>0.58340000000000003</v>
      </c>
      <c r="E32" s="4">
        <f t="shared" si="0"/>
        <v>-3.7268420330986873E-2</v>
      </c>
      <c r="F32" s="4">
        <f t="shared" si="6"/>
        <v>-0.19446447193698579</v>
      </c>
      <c r="G32" s="9">
        <v>322322.18</v>
      </c>
      <c r="H32" s="4">
        <v>0.371</v>
      </c>
      <c r="I32" s="4">
        <v>0.58979999999999999</v>
      </c>
      <c r="J32" s="4">
        <f t="shared" si="1"/>
        <v>-7.3910690219761932E-2</v>
      </c>
      <c r="K32" s="4">
        <f t="shared" si="7"/>
        <v>0.36992066099839893</v>
      </c>
      <c r="L32" s="3">
        <v>507892.53</v>
      </c>
      <c r="M32" s="4">
        <v>0.37369999999999998</v>
      </c>
      <c r="N32" s="4">
        <v>0.59660000000000002</v>
      </c>
      <c r="O32" s="4">
        <f t="shared" si="2"/>
        <v>-6.118135769701194E-2</v>
      </c>
      <c r="P32" s="4">
        <f t="shared" si="8"/>
        <v>1.6683869541707086E-2</v>
      </c>
      <c r="Q32" s="13"/>
      <c r="R32" s="15"/>
      <c r="S32" s="15"/>
      <c r="T32" s="15" t="e">
        <f t="shared" si="11"/>
        <v>#DIV/0!</v>
      </c>
      <c r="U32" s="15" t="e">
        <f t="shared" si="12"/>
        <v>#DIV/0!</v>
      </c>
      <c r="V32" s="3">
        <f t="shared" si="3"/>
        <v>1260841.5900000001</v>
      </c>
      <c r="W32" s="4">
        <f t="shared" si="5"/>
        <v>-5.6492574310937571E-2</v>
      </c>
      <c r="X32" s="4">
        <f t="shared" si="10"/>
        <v>-6.7638818543330759E-3</v>
      </c>
    </row>
    <row r="33" spans="1:24" x14ac:dyDescent="0.25">
      <c r="A33" s="6">
        <v>45748</v>
      </c>
      <c r="B33" s="3">
        <v>359586.46</v>
      </c>
      <c r="C33" s="4">
        <v>0.375</v>
      </c>
      <c r="D33" s="4">
        <v>0.60009999999999997</v>
      </c>
      <c r="E33" s="4">
        <f t="shared" si="0"/>
        <v>-0.16496977615517172</v>
      </c>
      <c r="F33" s="4">
        <f t="shared" si="6"/>
        <v>-0.23876053015254783</v>
      </c>
      <c r="G33" s="9">
        <v>280937.13</v>
      </c>
      <c r="H33" s="4">
        <v>0.37280000000000002</v>
      </c>
      <c r="I33" s="4">
        <v>0.59440000000000004</v>
      </c>
      <c r="J33" s="4">
        <f t="shared" si="1"/>
        <v>-0.12839653169384746</v>
      </c>
      <c r="K33" s="4">
        <f t="shared" si="7"/>
        <v>-0.1876874610179825</v>
      </c>
      <c r="L33" s="3">
        <v>509270.17</v>
      </c>
      <c r="M33" s="4">
        <v>0.37890000000000001</v>
      </c>
      <c r="N33" s="4">
        <v>0.61009999999999998</v>
      </c>
      <c r="O33" s="4">
        <f t="shared" si="2"/>
        <v>2.7124635993365231E-3</v>
      </c>
      <c r="P33" s="4">
        <f t="shared" si="8"/>
        <v>-1.7725547127864116E-2</v>
      </c>
      <c r="Q33" s="13"/>
      <c r="R33" s="15"/>
      <c r="S33" s="15"/>
      <c r="T33" s="15" t="e">
        <f t="shared" si="11"/>
        <v>#DIV/0!</v>
      </c>
      <c r="U33" s="15" t="e">
        <f t="shared" si="12"/>
        <v>#DIV/0!</v>
      </c>
      <c r="V33" s="3">
        <f t="shared" si="3"/>
        <v>1149793.76</v>
      </c>
      <c r="W33" s="4">
        <f t="shared" si="5"/>
        <v>-8.8074371023881048E-2</v>
      </c>
      <c r="X33" s="4">
        <f t="shared" si="10"/>
        <v>-0.13981273715922826</v>
      </c>
    </row>
    <row r="34" spans="1:24" x14ac:dyDescent="0.25">
      <c r="A34" s="6">
        <v>45778</v>
      </c>
      <c r="B34" s="3">
        <v>450857.73</v>
      </c>
      <c r="C34" s="4">
        <v>0.37359999999999999</v>
      </c>
      <c r="D34" s="4">
        <v>0.59650000000000003</v>
      </c>
      <c r="E34" s="4">
        <f t="shared" si="0"/>
        <v>0.25382287753548893</v>
      </c>
      <c r="F34" s="4">
        <f t="shared" si="6"/>
        <v>-0.24314770421433518</v>
      </c>
      <c r="G34" s="9">
        <v>355877.89</v>
      </c>
      <c r="H34" s="4">
        <v>0.36969999999999997</v>
      </c>
      <c r="I34" s="4">
        <v>0.58650000000000002</v>
      </c>
      <c r="J34" s="4">
        <f t="shared" si="1"/>
        <v>0.26675277845972167</v>
      </c>
      <c r="K34" s="4">
        <f t="shared" si="7"/>
        <v>0.45290030431150363</v>
      </c>
      <c r="L34" s="3">
        <v>529328.28</v>
      </c>
      <c r="M34" s="4">
        <v>0.37080000000000002</v>
      </c>
      <c r="N34" s="4">
        <v>0.58930000000000005</v>
      </c>
      <c r="O34" s="4">
        <f t="shared" si="2"/>
        <v>3.9385990347716726E-2</v>
      </c>
      <c r="P34" s="4">
        <f t="shared" si="8"/>
        <v>4.7558183869827575E-2</v>
      </c>
      <c r="Q34" s="13"/>
      <c r="R34" s="15"/>
      <c r="S34" s="15"/>
      <c r="T34" s="15" t="e">
        <f t="shared" si="11"/>
        <v>#DIV/0!</v>
      </c>
      <c r="U34" s="15" t="e">
        <f t="shared" si="12"/>
        <v>#DIV/0!</v>
      </c>
      <c r="V34" s="3">
        <f t="shared" si="3"/>
        <v>1336063.8999999999</v>
      </c>
      <c r="W34" s="4">
        <f t="shared" si="5"/>
        <v>0.16200308827558763</v>
      </c>
      <c r="X34" s="4">
        <f t="shared" si="10"/>
        <v>-7.3387517315668394E-3</v>
      </c>
    </row>
    <row r="35" spans="1:24" x14ac:dyDescent="0.25">
      <c r="A35" s="6">
        <v>45809</v>
      </c>
      <c r="B35" s="3">
        <v>442259.04</v>
      </c>
      <c r="C35" s="4">
        <v>0.38379999999999997</v>
      </c>
      <c r="D35" s="4">
        <v>0.62280000000000002</v>
      </c>
      <c r="E35" s="4">
        <f t="shared" si="0"/>
        <v>-1.9071847786662155E-2</v>
      </c>
      <c r="F35" s="4">
        <f t="shared" si="6"/>
        <v>-0.10781858123439803</v>
      </c>
      <c r="G35" s="9">
        <v>298000.77</v>
      </c>
      <c r="H35" s="4">
        <v>0.377</v>
      </c>
      <c r="I35" s="4">
        <v>0.60709999999999997</v>
      </c>
      <c r="J35" s="4">
        <f t="shared" si="1"/>
        <v>-0.16263196345240782</v>
      </c>
      <c r="K35" s="4">
        <f t="shared" si="7"/>
        <v>0.3301591562563384</v>
      </c>
      <c r="L35" s="9">
        <v>436074.33</v>
      </c>
      <c r="M35" s="4">
        <v>0.37769999999999998</v>
      </c>
      <c r="N35" s="4">
        <v>0.60709999999999997</v>
      </c>
      <c r="O35" s="4">
        <f t="shared" si="2"/>
        <v>-0.17617413148604111</v>
      </c>
      <c r="P35" s="4">
        <f t="shared" si="8"/>
        <v>-0.12699095466546095</v>
      </c>
      <c r="Q35" s="16"/>
      <c r="R35" s="15"/>
      <c r="S35" s="15"/>
      <c r="T35" s="15" t="e">
        <f t="shared" si="11"/>
        <v>#DIV/0!</v>
      </c>
      <c r="U35" s="15" t="e">
        <f t="shared" si="12"/>
        <v>#DIV/0!</v>
      </c>
      <c r="V35" s="3">
        <f t="shared" si="3"/>
        <v>1176334.1400000001</v>
      </c>
      <c r="W35" s="4">
        <f t="shared" si="5"/>
        <v>-0.11955248547618103</v>
      </c>
      <c r="X35" s="4">
        <f t="shared" si="10"/>
        <v>-3.5195747917834863E-2</v>
      </c>
    </row>
    <row r="36" spans="1:24" x14ac:dyDescent="0.25">
      <c r="A36" s="6">
        <v>45839</v>
      </c>
      <c r="B36" s="3">
        <v>563980.78</v>
      </c>
      <c r="C36" s="4">
        <v>0.3881</v>
      </c>
      <c r="D36" s="4">
        <v>0.63429999999999997</v>
      </c>
      <c r="E36" s="4">
        <f t="shared" si="0"/>
        <v>0.27522725143164983</v>
      </c>
      <c r="F36" s="4">
        <f t="shared" si="6"/>
        <v>-6.3857051013362809E-2</v>
      </c>
      <c r="G36" s="9">
        <v>345743.34</v>
      </c>
      <c r="H36" s="4">
        <v>0.37680000000000002</v>
      </c>
      <c r="I36" s="4">
        <v>0.60470000000000002</v>
      </c>
      <c r="J36" s="4">
        <f t="shared" si="1"/>
        <v>0.16020955247867308</v>
      </c>
      <c r="K36" s="4">
        <f t="shared" si="7"/>
        <v>0.12385709333264416</v>
      </c>
      <c r="L36" s="9">
        <v>479252.65</v>
      </c>
      <c r="M36" s="4">
        <v>0.38769999999999999</v>
      </c>
      <c r="N36" s="4">
        <v>0.6331</v>
      </c>
      <c r="O36" s="4">
        <f t="shared" si="2"/>
        <v>9.9015963631704729E-2</v>
      </c>
      <c r="P36" s="4">
        <f t="shared" si="8"/>
        <v>-0.10041628205803943</v>
      </c>
      <c r="Q36" s="9">
        <v>172052.29</v>
      </c>
      <c r="R36" s="4">
        <v>0.38640000000000002</v>
      </c>
      <c r="S36" s="4">
        <v>0.62970000000000004</v>
      </c>
      <c r="T36" s="4" t="s">
        <v>0</v>
      </c>
      <c r="U36" s="4" t="s">
        <v>0</v>
      </c>
      <c r="V36" s="3">
        <f t="shared" si="3"/>
        <v>1561029.06</v>
      </c>
      <c r="W36" s="4">
        <f t="shared" si="5"/>
        <v>0.32702861110534442</v>
      </c>
      <c r="X36" s="4">
        <f t="shared" si="10"/>
        <v>8.1913530769335496E-2</v>
      </c>
    </row>
    <row r="37" spans="1:24" x14ac:dyDescent="0.25">
      <c r="A37" s="6">
        <v>45870</v>
      </c>
      <c r="B37" s="3">
        <v>518301.61</v>
      </c>
      <c r="C37" s="4">
        <v>0.37980000000000003</v>
      </c>
      <c r="D37" s="4">
        <v>0.61229999999999996</v>
      </c>
      <c r="E37" s="4">
        <f t="shared" si="0"/>
        <v>-8.0994196291582887E-2</v>
      </c>
      <c r="F37" s="4">
        <f t="shared" si="6"/>
        <v>-0.23785166830854731</v>
      </c>
      <c r="G37" s="9">
        <v>351801.79</v>
      </c>
      <c r="H37" s="4">
        <v>0.36580000000000001</v>
      </c>
      <c r="I37" s="4">
        <v>0.57679999999999998</v>
      </c>
      <c r="J37" s="4">
        <f t="shared" si="1"/>
        <v>1.7522969495233021E-2</v>
      </c>
      <c r="K37" s="4">
        <f t="shared" si="7"/>
        <v>0.16288017443510516</v>
      </c>
      <c r="L37" s="9">
        <v>542054.75</v>
      </c>
      <c r="M37" s="4">
        <v>0.37480000000000002</v>
      </c>
      <c r="N37" s="4">
        <v>0.59940000000000004</v>
      </c>
      <c r="O37" s="4">
        <f t="shared" si="2"/>
        <v>0.13104173758872273</v>
      </c>
      <c r="P37" s="4">
        <f t="shared" si="8"/>
        <v>1.6731897247673322E-2</v>
      </c>
      <c r="Q37" s="9">
        <f>471348.05-16493.78</f>
        <v>454854.27</v>
      </c>
      <c r="R37" s="4">
        <v>0.35670000000000002</v>
      </c>
      <c r="S37" s="4">
        <v>0.55449999999999999</v>
      </c>
      <c r="T37" s="4">
        <f t="shared" ref="T37" si="13">(Q37/Q36)-1</f>
        <v>1.6436978548788859</v>
      </c>
      <c r="U37" s="4" t="s">
        <v>0</v>
      </c>
      <c r="V37" s="3">
        <f t="shared" si="3"/>
        <v>1867012.42</v>
      </c>
      <c r="W37" s="4">
        <f t="shared" si="5"/>
        <v>0.19601387817853944</v>
      </c>
      <c r="X37" s="4">
        <f t="shared" si="10"/>
        <v>0.23177081704563118</v>
      </c>
    </row>
    <row r="38" spans="1:24" x14ac:dyDescent="0.25">
      <c r="A38" s="6">
        <v>45901</v>
      </c>
      <c r="B38" s="3">
        <v>418158.65</v>
      </c>
      <c r="C38" s="4">
        <v>0.39460000000000001</v>
      </c>
      <c r="D38" s="4">
        <v>0.65169999999999995</v>
      </c>
      <c r="E38" s="4">
        <f t="shared" ref="E38:E40" si="14">(B38/B37)-1</f>
        <v>-0.19321367726409333</v>
      </c>
      <c r="F38" s="4">
        <f t="shared" ref="F38" si="15">(B38/B26)-1</f>
        <v>-0.29672333335245027</v>
      </c>
      <c r="G38" s="9">
        <v>331154.15000000002</v>
      </c>
      <c r="H38" s="4">
        <v>0.37769999999999998</v>
      </c>
      <c r="I38" s="4">
        <v>0.6069</v>
      </c>
      <c r="J38" s="4">
        <f t="shared" si="1"/>
        <v>-5.8691116949689093E-2</v>
      </c>
      <c r="K38" s="4">
        <f t="shared" si="7"/>
        <v>4.0676670508673851E-2</v>
      </c>
      <c r="L38" s="9">
        <v>460974.88999999996</v>
      </c>
      <c r="M38" s="4">
        <v>0.3866</v>
      </c>
      <c r="N38" s="4">
        <v>0.63019999999999998</v>
      </c>
      <c r="O38" s="4">
        <f t="shared" si="2"/>
        <v>-0.14957872797904648</v>
      </c>
      <c r="P38" s="4">
        <f t="shared" si="8"/>
        <v>-0.16394132057347621</v>
      </c>
      <c r="Q38" s="9">
        <v>340690.89</v>
      </c>
      <c r="R38" s="4">
        <v>0.3861</v>
      </c>
      <c r="S38" s="4">
        <v>0.629</v>
      </c>
      <c r="T38" s="4">
        <f t="shared" ref="T38" si="16">(Q38/Q37)-1</f>
        <v>-0.25098891563664993</v>
      </c>
      <c r="U38" s="4" t="s">
        <v>0</v>
      </c>
      <c r="V38" s="3">
        <f t="shared" ref="V38:V42" si="17">B38+G38+L38+Q38</f>
        <v>1550978.58</v>
      </c>
      <c r="W38" s="4">
        <f t="shared" ref="W38:W42" si="18">(V38/V37)-1</f>
        <v>-0.16927248936030104</v>
      </c>
      <c r="X38" s="4">
        <f t="shared" ref="X38:X42" si="19">(V38/V26)-1</f>
        <v>5.9293404660074378E-2</v>
      </c>
    </row>
    <row r="39" spans="1:24" x14ac:dyDescent="0.25">
      <c r="A39" s="6">
        <v>45931</v>
      </c>
      <c r="B39" s="3">
        <v>564809.51</v>
      </c>
      <c r="C39" s="4">
        <v>0.37030000000000002</v>
      </c>
      <c r="D39" s="4">
        <v>0.58799999999999997</v>
      </c>
      <c r="E39" s="4">
        <f t="shared" si="14"/>
        <v>0.35070626902014346</v>
      </c>
      <c r="F39" s="4">
        <f t="shared" ref="F39" si="20">(B39/B27)-1</f>
        <v>-1.5640079456445743E-2</v>
      </c>
      <c r="G39" s="9">
        <v>410670.68</v>
      </c>
      <c r="H39" s="4">
        <v>0.35010000000000002</v>
      </c>
      <c r="I39" s="4">
        <v>0.53859999999999997</v>
      </c>
      <c r="J39" s="4">
        <f t="shared" ref="J39" si="21">(G39/G38)-1</f>
        <v>0.24011938246885922</v>
      </c>
      <c r="K39" s="4">
        <f t="shared" ref="K39" si="22">(G39/G27)-1</f>
        <v>0.17056140564504574</v>
      </c>
      <c r="L39" s="9">
        <v>547513.24</v>
      </c>
      <c r="M39" s="4">
        <v>0.37390000000000001</v>
      </c>
      <c r="N39" s="4">
        <v>0.59719999999999995</v>
      </c>
      <c r="O39" s="4">
        <f t="shared" ref="O39:O40" si="23">(L39/L38)-1</f>
        <v>0.18772898888267009</v>
      </c>
      <c r="P39" s="4">
        <f t="shared" ref="P39" si="24">(L39/L27)-1</f>
        <v>-7.678049662578601E-2</v>
      </c>
      <c r="Q39" s="9">
        <v>405740.47000000003</v>
      </c>
      <c r="R39" s="4">
        <v>0.3599</v>
      </c>
      <c r="S39" s="4">
        <v>0.56220000000000003</v>
      </c>
      <c r="T39" s="4">
        <f t="shared" ref="T39" si="25">(Q39/Q38)-1</f>
        <v>0.19093430998404459</v>
      </c>
      <c r="U39" s="4" t="s">
        <v>0</v>
      </c>
      <c r="V39" s="3">
        <f t="shared" si="17"/>
        <v>1928733.9</v>
      </c>
      <c r="W39" s="4">
        <f t="shared" si="18"/>
        <v>0.24355934045201311</v>
      </c>
      <c r="X39" s="4">
        <f t="shared" si="19"/>
        <v>0.27085739842292189</v>
      </c>
    </row>
    <row r="40" spans="1:24" x14ac:dyDescent="0.25">
      <c r="A40" s="6">
        <v>45962</v>
      </c>
      <c r="B40" s="3">
        <v>650764.89</v>
      </c>
      <c r="C40" s="4">
        <v>0.38140000000000002</v>
      </c>
      <c r="D40" s="4">
        <v>0.61639999999999995</v>
      </c>
      <c r="E40" s="4">
        <f t="shared" si="14"/>
        <v>0.15218472507660152</v>
      </c>
      <c r="F40" s="4">
        <f>(B40/B28)-1</f>
        <v>-6.1961749354678242E-2</v>
      </c>
      <c r="G40" s="9">
        <v>499752.79</v>
      </c>
      <c r="H40" s="4">
        <v>0.3705</v>
      </c>
      <c r="I40" s="4">
        <v>0.5887</v>
      </c>
      <c r="J40" s="4">
        <f>(G40/G39)-1</f>
        <v>0.21691860251625461</v>
      </c>
      <c r="K40" s="4">
        <f>(G40/G28)-1</f>
        <v>0.18950876501807423</v>
      </c>
      <c r="L40" s="9">
        <v>804550.66</v>
      </c>
      <c r="M40" s="4">
        <v>0.38469999999999999</v>
      </c>
      <c r="N40" s="4">
        <v>0.62519999999999998</v>
      </c>
      <c r="O40" s="4">
        <f t="shared" si="23"/>
        <v>0.46946338685800559</v>
      </c>
      <c r="P40" s="4">
        <f t="shared" ref="P40" si="26">(L40/L28)-1</f>
        <v>0.12060021836191126</v>
      </c>
      <c r="Q40" s="9">
        <v>481668.74</v>
      </c>
      <c r="R40" s="4">
        <v>0.38269999999999998</v>
      </c>
      <c r="S40" s="4">
        <v>0.62</v>
      </c>
      <c r="T40" s="4">
        <f t="shared" ref="T40" si="27">(Q40/Q39)-1</f>
        <v>0.18713506690619242</v>
      </c>
      <c r="U40" s="4" t="s">
        <v>0</v>
      </c>
      <c r="V40" s="3">
        <f t="shared" si="17"/>
        <v>2436737.08</v>
      </c>
      <c r="W40" s="4">
        <f t="shared" si="18"/>
        <v>0.26338686741597694</v>
      </c>
      <c r="X40" s="4">
        <f t="shared" si="19"/>
        <v>0.33020651034003801</v>
      </c>
    </row>
    <row r="41" spans="1:24" x14ac:dyDescent="0.25">
      <c r="A41" s="6">
        <v>45992</v>
      </c>
      <c r="B41" s="3">
        <v>661314.01</v>
      </c>
      <c r="C41" s="4">
        <v>0.36730000000000002</v>
      </c>
      <c r="D41" s="4">
        <v>0.5806</v>
      </c>
      <c r="E41" s="4">
        <f t="shared" ref="E41" si="28">(B41/B40)-1</f>
        <v>1.6210339804902496E-2</v>
      </c>
      <c r="F41" s="4">
        <f>(B41/B29)-1</f>
        <v>0.3209823138138046</v>
      </c>
      <c r="G41" s="9">
        <v>446187.93</v>
      </c>
      <c r="H41" s="4">
        <v>0.3639</v>
      </c>
      <c r="I41" s="4">
        <v>0.57210000000000005</v>
      </c>
      <c r="J41" s="4">
        <f>(G41/G40)-1</f>
        <v>-0.10718271327709838</v>
      </c>
      <c r="K41" s="4">
        <f>(G41/G29)-1</f>
        <v>0.12342640827965989</v>
      </c>
      <c r="L41" s="9">
        <v>755506.32</v>
      </c>
      <c r="M41" s="4">
        <v>0.38040000000000002</v>
      </c>
      <c r="N41" s="4">
        <v>0.61380000000000001</v>
      </c>
      <c r="O41" s="4">
        <f t="shared" ref="O41" si="29">(L41/L40)-1</f>
        <v>-6.0958672260613245E-2</v>
      </c>
      <c r="P41" s="4">
        <f t="shared" ref="P41" si="30">(L41/L29)-1</f>
        <v>1.0441538662092187E-2</v>
      </c>
      <c r="Q41" s="9">
        <v>416794.99</v>
      </c>
      <c r="R41" s="4">
        <v>0.37990000000000002</v>
      </c>
      <c r="S41" s="4">
        <v>0.61280000000000001</v>
      </c>
      <c r="T41" s="4">
        <f t="shared" ref="T41" si="31">(Q41/Q40)-1</f>
        <v>-0.13468540640607074</v>
      </c>
      <c r="U41" s="4" t="s">
        <v>0</v>
      </c>
      <c r="V41" s="3">
        <f t="shared" si="17"/>
        <v>2279803.25</v>
      </c>
      <c r="W41" s="4">
        <f t="shared" si="18"/>
        <v>-6.4403267503936101E-2</v>
      </c>
      <c r="X41" s="4">
        <f t="shared" si="19"/>
        <v>0.3854866668125605</v>
      </c>
    </row>
    <row r="42" spans="1:24" x14ac:dyDescent="0.25">
      <c r="A42" s="6">
        <v>46023</v>
      </c>
      <c r="B42" s="3">
        <v>622639.03</v>
      </c>
      <c r="C42" s="4">
        <v>0.37159999999999999</v>
      </c>
      <c r="D42" s="4">
        <v>0.59140000000000004</v>
      </c>
      <c r="E42" s="4">
        <f t="shared" ref="E42" si="32">(B42/B41)-1</f>
        <v>-5.8482021271558993E-2</v>
      </c>
      <c r="F42" s="4">
        <f>(B42/B30)-1</f>
        <v>0.25107059190475467</v>
      </c>
      <c r="G42" s="9">
        <v>399564.43</v>
      </c>
      <c r="H42" s="4">
        <v>0.36990000000000001</v>
      </c>
      <c r="I42" s="4">
        <v>0.58689999999999998</v>
      </c>
      <c r="J42" s="4">
        <f>(G42/G41)-1</f>
        <v>-0.10449296555377463</v>
      </c>
      <c r="K42" s="4">
        <f>(G42/G30)-1</f>
        <v>2.9612020486567969E-2</v>
      </c>
      <c r="L42" s="9">
        <v>604788.29</v>
      </c>
      <c r="M42" s="4">
        <v>0.37059999999999998</v>
      </c>
      <c r="N42" s="4">
        <v>0.5887</v>
      </c>
      <c r="O42" s="4">
        <f t="shared" ref="O42:O43" si="33">(L42/L41)-1</f>
        <v>-0.19949274547431972</v>
      </c>
      <c r="P42" s="4">
        <f t="shared" ref="P42" si="34">(L42/L30)-1</f>
        <v>0.18447513554845174</v>
      </c>
      <c r="Q42" s="9">
        <v>449929.22</v>
      </c>
      <c r="R42" s="4">
        <v>0.3523</v>
      </c>
      <c r="S42" s="4">
        <v>0.54379999999999995</v>
      </c>
      <c r="T42" s="4">
        <f t="shared" ref="T42" si="35">(Q42/Q41)-1</f>
        <v>7.9497668626007156E-2</v>
      </c>
      <c r="U42" s="4" t="s">
        <v>0</v>
      </c>
      <c r="V42" s="3">
        <f t="shared" si="17"/>
        <v>2076920.97</v>
      </c>
      <c r="W42" s="4">
        <f t="shared" si="18"/>
        <v>-8.8991135528910248E-2</v>
      </c>
      <c r="X42" s="4">
        <f t="shared" si="19"/>
        <v>0.48738877639750045</v>
      </c>
    </row>
    <row r="43" spans="1:24" x14ac:dyDescent="0.25">
      <c r="A43" s="6">
        <v>46054</v>
      </c>
      <c r="B43" s="3">
        <v>488376.16000000003</v>
      </c>
      <c r="C43" s="4">
        <v>0.36499999999999999</v>
      </c>
      <c r="D43" s="4">
        <v>0.57479999999999998</v>
      </c>
      <c r="E43" s="4">
        <f t="shared" ref="E43" si="36">(B43/B42)-1</f>
        <v>-0.21563516504900115</v>
      </c>
      <c r="F43" s="4">
        <f>(B43/B31)-1</f>
        <v>9.1838837346815749E-2</v>
      </c>
      <c r="G43" s="9">
        <v>283376.71999999997</v>
      </c>
      <c r="H43" s="4">
        <v>0.36530000000000001</v>
      </c>
      <c r="I43" s="4">
        <v>0.57550000000000001</v>
      </c>
      <c r="J43" s="4">
        <f>(G43/G42)-1</f>
        <v>-0.29078591905690909</v>
      </c>
      <c r="K43" s="4">
        <f>(G43/G31)-1</f>
        <v>-0.18580796694602975</v>
      </c>
      <c r="L43" s="9">
        <v>569230.93000000005</v>
      </c>
      <c r="M43" s="4">
        <v>0.36559999999999998</v>
      </c>
      <c r="N43" s="4">
        <v>0.57620000000000005</v>
      </c>
      <c r="O43" s="4">
        <f t="shared" si="33"/>
        <v>-5.8793069554967659E-2</v>
      </c>
      <c r="P43" s="4">
        <f t="shared" ref="P43" si="37">(L43/L31)-1</f>
        <v>5.2200174827275569E-2</v>
      </c>
      <c r="Q43" s="9">
        <v>316706.62</v>
      </c>
      <c r="R43" s="4">
        <v>0.36649999999999999</v>
      </c>
      <c r="S43" s="4">
        <v>0.57840000000000003</v>
      </c>
      <c r="T43" s="4">
        <f t="shared" ref="T43" si="38">(Q43/Q42)-1</f>
        <v>-0.2960967949581047</v>
      </c>
      <c r="U43" s="4" t="s">
        <v>0</v>
      </c>
      <c r="V43" s="3">
        <f t="shared" ref="V43" si="39">B43+G43+L43+Q43</f>
        <v>1657690.4300000002</v>
      </c>
      <c r="W43" s="4">
        <f t="shared" ref="W43" si="40">(V43/V42)-1</f>
        <v>-0.20185194624906688</v>
      </c>
      <c r="X43" s="4">
        <f t="shared" ref="X43" si="41">(V43/V31)-1</f>
        <v>0.24047560185470651</v>
      </c>
    </row>
  </sheetData>
  <mergeCells count="5">
    <mergeCell ref="B1:F1"/>
    <mergeCell ref="G1:K1"/>
    <mergeCell ref="L1:P1"/>
    <mergeCell ref="Q1:U1"/>
    <mergeCell ref="V1:X1"/>
  </mergeCells>
  <pageMargins left="0.511811024" right="0.511811024" top="0.78740157499999996" bottom="0.78740157499999996" header="0.31496062000000002" footer="0.31496062000000002"/>
  <pageSetup orientation="portrait" horizontalDpi="360" verticalDpi="360" r:id="rId1"/>
  <ignoredErrors>
    <ignoredError sqref="T3:U35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7361-59B9-4347-B6A7-C37E94C58F0C}">
  <dimension ref="A1:EC32"/>
  <sheetViews>
    <sheetView showGridLines="0" topLeftCell="A11" workbookViewId="0">
      <selection activeCell="ED11" sqref="ED1:EQ1048576"/>
    </sheetView>
  </sheetViews>
  <sheetFormatPr defaultRowHeight="12.75" x14ac:dyDescent="0.2"/>
  <cols>
    <col min="1" max="1" width="5.85546875" style="23" bestFit="1" customWidth="1"/>
    <col min="2" max="2" width="6.140625" style="23" bestFit="1" customWidth="1"/>
    <col min="3" max="3" width="6.42578125" style="23" bestFit="1" customWidth="1"/>
    <col min="4" max="4" width="5.28515625" style="23" bestFit="1" customWidth="1"/>
    <col min="5" max="5" width="6.140625" style="23" bestFit="1" customWidth="1"/>
    <col min="6" max="6" width="6.42578125" style="23" bestFit="1" customWidth="1"/>
    <col min="7" max="7" width="5" style="23" bestFit="1" customWidth="1"/>
    <col min="8" max="8" width="6.140625" style="23" bestFit="1" customWidth="1"/>
    <col min="9" max="9" width="6.42578125" style="23" bestFit="1" customWidth="1"/>
    <col min="10" max="10" width="5" style="23" bestFit="1" customWidth="1"/>
    <col min="11" max="11" width="6.140625" style="23" bestFit="1" customWidth="1"/>
    <col min="12" max="12" width="6.42578125" style="23" bestFit="1" customWidth="1"/>
    <col min="13" max="13" width="5" style="23" bestFit="1" customWidth="1"/>
    <col min="14" max="14" width="6.140625" style="23" bestFit="1" customWidth="1"/>
    <col min="15" max="15" width="6.42578125" style="23" bestFit="1" customWidth="1"/>
    <col min="16" max="16" width="5" style="23" bestFit="1" customWidth="1"/>
    <col min="17" max="17" width="6.140625" style="23" bestFit="1" customWidth="1"/>
    <col min="18" max="18" width="6.42578125" style="23" bestFit="1" customWidth="1"/>
    <col min="19" max="19" width="5" style="23" bestFit="1" customWidth="1"/>
    <col min="20" max="20" width="5.28515625" style="23" bestFit="1" customWidth="1"/>
    <col min="21" max="21" width="6.42578125" style="23" bestFit="1" customWidth="1"/>
    <col min="22" max="22" width="5" style="23" bestFit="1" customWidth="1"/>
    <col min="23" max="23" width="6.140625" style="23" bestFit="1" customWidth="1"/>
    <col min="24" max="24" width="6.42578125" style="23" bestFit="1" customWidth="1"/>
    <col min="25" max="26" width="5.28515625" style="23" bestFit="1" customWidth="1"/>
    <col min="27" max="27" width="6.42578125" style="23" bestFit="1" customWidth="1"/>
    <col min="28" max="28" width="5" style="23" bestFit="1" customWidth="1"/>
    <col min="29" max="29" width="6.140625" style="23" bestFit="1" customWidth="1"/>
    <col min="30" max="30" width="6.42578125" style="23" bestFit="1" customWidth="1"/>
    <col min="31" max="32" width="5.28515625" style="23" bestFit="1" customWidth="1"/>
    <col min="33" max="33" width="6.42578125" style="23" bestFit="1" customWidth="1"/>
    <col min="34" max="34" width="5" style="23" bestFit="1" customWidth="1"/>
    <col min="35" max="35" width="6.140625" style="23" bestFit="1" customWidth="1"/>
    <col min="36" max="36" width="6.42578125" style="23" bestFit="1" customWidth="1"/>
    <col min="37" max="37" width="5" style="23" bestFit="1" customWidth="1"/>
    <col min="38" max="38" width="5.28515625" style="23" bestFit="1" customWidth="1"/>
    <col min="39" max="39" width="6.42578125" style="23" bestFit="1" customWidth="1"/>
    <col min="40" max="40" width="5" style="23" bestFit="1" customWidth="1"/>
    <col min="41" max="41" width="5.28515625" style="23" bestFit="1" customWidth="1"/>
    <col min="42" max="42" width="6.42578125" style="23" bestFit="1" customWidth="1"/>
    <col min="43" max="43" width="5" style="23" bestFit="1" customWidth="1"/>
    <col min="44" max="44" width="5.28515625" style="23" bestFit="1" customWidth="1"/>
    <col min="45" max="45" width="6.42578125" style="23" bestFit="1" customWidth="1"/>
    <col min="46" max="46" width="5" style="23" bestFit="1" customWidth="1"/>
    <col min="47" max="47" width="5.28515625" style="23" bestFit="1" customWidth="1"/>
    <col min="48" max="48" width="6.42578125" style="23" bestFit="1" customWidth="1"/>
    <col min="49" max="49" width="5" style="23" bestFit="1" customWidth="1"/>
    <col min="50" max="50" width="5.28515625" style="23" bestFit="1" customWidth="1"/>
    <col min="51" max="51" width="6.42578125" style="23" bestFit="1" customWidth="1"/>
    <col min="52" max="52" width="5" style="23" bestFit="1" customWidth="1"/>
    <col min="53" max="53" width="5.28515625" style="23" bestFit="1" customWidth="1"/>
    <col min="54" max="54" width="6.42578125" style="23" bestFit="1" customWidth="1"/>
    <col min="55" max="55" width="5" style="23" bestFit="1" customWidth="1"/>
    <col min="56" max="56" width="5.28515625" style="23" bestFit="1" customWidth="1"/>
    <col min="57" max="57" width="6.42578125" style="23" bestFit="1" customWidth="1"/>
    <col min="58" max="58" width="5" style="23" bestFit="1" customWidth="1"/>
    <col min="59" max="59" width="5.28515625" style="23" bestFit="1" customWidth="1"/>
    <col min="60" max="60" width="6.42578125" style="23" bestFit="1" customWidth="1"/>
    <col min="61" max="61" width="5" style="23" bestFit="1" customWidth="1"/>
    <col min="62" max="62" width="5.28515625" style="23" bestFit="1" customWidth="1"/>
    <col min="63" max="63" width="6.42578125" style="23" bestFit="1" customWidth="1"/>
    <col min="64" max="64" width="5" style="23" bestFit="1" customWidth="1"/>
    <col min="65" max="65" width="4.7109375" style="23" bestFit="1" customWidth="1"/>
    <col min="66" max="66" width="6.42578125" style="23" bestFit="1" customWidth="1"/>
    <col min="67" max="67" width="5" style="23" bestFit="1" customWidth="1"/>
    <col min="68" max="68" width="5.28515625" style="23" bestFit="1" customWidth="1"/>
    <col min="69" max="69" width="6.42578125" style="23" bestFit="1" customWidth="1"/>
    <col min="70" max="70" width="5" style="23" bestFit="1" customWidth="1"/>
    <col min="71" max="71" width="5.28515625" style="23" bestFit="1" customWidth="1"/>
    <col min="72" max="72" width="6.42578125" style="23" bestFit="1" customWidth="1"/>
    <col min="73" max="73" width="5" style="23" bestFit="1" customWidth="1"/>
    <col min="74" max="74" width="5.28515625" style="23" bestFit="1" customWidth="1"/>
    <col min="75" max="75" width="6.42578125" style="23" bestFit="1" customWidth="1"/>
    <col min="76" max="76" width="5" style="23" bestFit="1" customWidth="1"/>
    <col min="77" max="77" width="5.28515625" style="23" bestFit="1" customWidth="1"/>
    <col min="78" max="78" width="6.42578125" style="23" bestFit="1" customWidth="1"/>
    <col min="79" max="79" width="5" style="23" bestFit="1" customWidth="1"/>
    <col min="80" max="80" width="5.28515625" style="23" bestFit="1" customWidth="1"/>
    <col min="81" max="81" width="6.42578125" style="23" bestFit="1" customWidth="1"/>
    <col min="82" max="82" width="5" style="23" bestFit="1" customWidth="1"/>
    <col min="83" max="83" width="5.28515625" style="23" bestFit="1" customWidth="1"/>
    <col min="84" max="84" width="6.42578125" style="23" bestFit="1" customWidth="1"/>
    <col min="85" max="85" width="5" style="23" bestFit="1" customWidth="1"/>
    <col min="86" max="86" width="5.28515625" style="23" bestFit="1" customWidth="1"/>
    <col min="87" max="87" width="6.42578125" style="23" bestFit="1" customWidth="1"/>
    <col min="88" max="88" width="5" style="23" bestFit="1" customWidth="1"/>
    <col min="89" max="89" width="5.28515625" style="23" bestFit="1" customWidth="1"/>
    <col min="90" max="90" width="6.42578125" style="23" bestFit="1" customWidth="1"/>
    <col min="91" max="91" width="5" style="23" bestFit="1" customWidth="1"/>
    <col min="92" max="92" width="5.28515625" style="23" bestFit="1" customWidth="1"/>
    <col min="93" max="93" width="6.42578125" style="23" bestFit="1" customWidth="1"/>
    <col min="94" max="94" width="5" style="23" bestFit="1" customWidth="1"/>
    <col min="95" max="95" width="5.28515625" style="23" bestFit="1" customWidth="1"/>
    <col min="96" max="96" width="6.42578125" style="23" bestFit="1" customWidth="1"/>
    <col min="97" max="97" width="5" style="23" bestFit="1" customWidth="1"/>
    <col min="98" max="98" width="5.28515625" style="23" bestFit="1" customWidth="1"/>
    <col min="99" max="99" width="6.42578125" style="23" bestFit="1" customWidth="1"/>
    <col min="100" max="100" width="5" style="23" bestFit="1" customWidth="1"/>
    <col min="101" max="101" width="5.28515625" style="23" bestFit="1" customWidth="1"/>
    <col min="102" max="102" width="6.42578125" style="23" bestFit="1" customWidth="1"/>
    <col min="103" max="103" width="5" style="23" bestFit="1" customWidth="1"/>
    <col min="104" max="104" width="5.28515625" style="23" bestFit="1" customWidth="1"/>
    <col min="105" max="105" width="6.42578125" style="23" bestFit="1" customWidth="1"/>
    <col min="106" max="106" width="5" style="23" bestFit="1" customWidth="1"/>
    <col min="107" max="107" width="5.28515625" style="23" bestFit="1" customWidth="1"/>
    <col min="108" max="108" width="6.42578125" style="23" bestFit="1" customWidth="1"/>
    <col min="109" max="109" width="5" style="23" bestFit="1" customWidth="1"/>
    <col min="110" max="110" width="5.28515625" style="23" bestFit="1" customWidth="1"/>
    <col min="111" max="111" width="6.42578125" style="23" bestFit="1" customWidth="1"/>
    <col min="112" max="112" width="5" style="23" bestFit="1" customWidth="1"/>
    <col min="113" max="113" width="4.42578125" style="23" bestFit="1" customWidth="1"/>
    <col min="114" max="114" width="6.42578125" style="23" bestFit="1" customWidth="1"/>
    <col min="115" max="115" width="5" style="23" bestFit="1" customWidth="1"/>
    <col min="116" max="116" width="5.28515625" style="23" bestFit="1" customWidth="1"/>
    <col min="117" max="117" width="6.42578125" style="23" bestFit="1" customWidth="1"/>
    <col min="118" max="118" width="5" style="23" bestFit="1" customWidth="1"/>
    <col min="119" max="119" width="5.28515625" style="23" bestFit="1" customWidth="1"/>
    <col min="120" max="120" width="6.42578125" style="23" bestFit="1" customWidth="1"/>
    <col min="121" max="121" width="5" style="23" bestFit="1" customWidth="1"/>
    <col min="122" max="122" width="4.42578125" style="23" bestFit="1" customWidth="1"/>
    <col min="123" max="123" width="6.42578125" style="23" bestFit="1" customWidth="1"/>
    <col min="124" max="124" width="5" style="23" bestFit="1" customWidth="1"/>
    <col min="125" max="125" width="4.7109375" style="23" bestFit="1" customWidth="1"/>
    <col min="126" max="126" width="6.42578125" style="23" bestFit="1" customWidth="1"/>
    <col min="127" max="127" width="5" style="23" bestFit="1" customWidth="1"/>
    <col min="128" max="128" width="4.42578125" style="23" bestFit="1" customWidth="1"/>
    <col min="129" max="129" width="6.42578125" style="23" bestFit="1" customWidth="1"/>
    <col min="130" max="130" width="5" style="23" bestFit="1" customWidth="1"/>
    <col min="131" max="131" width="5.28515625" style="23" bestFit="1" customWidth="1"/>
    <col min="132" max="132" width="6.42578125" style="23" bestFit="1" customWidth="1"/>
    <col min="133" max="133" width="5" style="23" bestFit="1" customWidth="1"/>
    <col min="134" max="326" width="9.140625" style="23"/>
    <col min="327" max="327" width="48" style="23" customWidth="1"/>
    <col min="328" max="328" width="13.42578125" style="23" customWidth="1"/>
    <col min="329" max="329" width="8.7109375" style="23" customWidth="1"/>
    <col min="330" max="330" width="4.7109375" style="23" customWidth="1"/>
    <col min="331" max="582" width="9.140625" style="23"/>
    <col min="583" max="583" width="48" style="23" customWidth="1"/>
    <col min="584" max="584" width="13.42578125" style="23" customWidth="1"/>
    <col min="585" max="585" width="8.7109375" style="23" customWidth="1"/>
    <col min="586" max="586" width="4.7109375" style="23" customWidth="1"/>
    <col min="587" max="838" width="9.140625" style="23"/>
    <col min="839" max="839" width="48" style="23" customWidth="1"/>
    <col min="840" max="840" width="13.42578125" style="23" customWidth="1"/>
    <col min="841" max="841" width="8.7109375" style="23" customWidth="1"/>
    <col min="842" max="842" width="4.7109375" style="23" customWidth="1"/>
    <col min="843" max="1094" width="9.140625" style="23"/>
    <col min="1095" max="1095" width="48" style="23" customWidth="1"/>
    <col min="1096" max="1096" width="13.42578125" style="23" customWidth="1"/>
    <col min="1097" max="1097" width="8.7109375" style="23" customWidth="1"/>
    <col min="1098" max="1098" width="4.7109375" style="23" customWidth="1"/>
    <col min="1099" max="1350" width="9.140625" style="23"/>
    <col min="1351" max="1351" width="48" style="23" customWidth="1"/>
    <col min="1352" max="1352" width="13.42578125" style="23" customWidth="1"/>
    <col min="1353" max="1353" width="8.7109375" style="23" customWidth="1"/>
    <col min="1354" max="1354" width="4.7109375" style="23" customWidth="1"/>
    <col min="1355" max="1606" width="9.140625" style="23"/>
    <col min="1607" max="1607" width="48" style="23" customWidth="1"/>
    <col min="1608" max="1608" width="13.42578125" style="23" customWidth="1"/>
    <col min="1609" max="1609" width="8.7109375" style="23" customWidth="1"/>
    <col min="1610" max="1610" width="4.7109375" style="23" customWidth="1"/>
    <col min="1611" max="1862" width="9.140625" style="23"/>
    <col min="1863" max="1863" width="48" style="23" customWidth="1"/>
    <col min="1864" max="1864" width="13.42578125" style="23" customWidth="1"/>
    <col min="1865" max="1865" width="8.7109375" style="23" customWidth="1"/>
    <col min="1866" max="1866" width="4.7109375" style="23" customWidth="1"/>
    <col min="1867" max="2118" width="9.140625" style="23"/>
    <col min="2119" max="2119" width="48" style="23" customWidth="1"/>
    <col min="2120" max="2120" width="13.42578125" style="23" customWidth="1"/>
    <col min="2121" max="2121" width="8.7109375" style="23" customWidth="1"/>
    <col min="2122" max="2122" width="4.7109375" style="23" customWidth="1"/>
    <col min="2123" max="2374" width="9.140625" style="23"/>
    <col min="2375" max="2375" width="48" style="23" customWidth="1"/>
    <col min="2376" max="2376" width="13.42578125" style="23" customWidth="1"/>
    <col min="2377" max="2377" width="8.7109375" style="23" customWidth="1"/>
    <col min="2378" max="2378" width="4.7109375" style="23" customWidth="1"/>
    <col min="2379" max="2630" width="9.140625" style="23"/>
    <col min="2631" max="2631" width="48" style="23" customWidth="1"/>
    <col min="2632" max="2632" width="13.42578125" style="23" customWidth="1"/>
    <col min="2633" max="2633" width="8.7109375" style="23" customWidth="1"/>
    <col min="2634" max="2634" width="4.7109375" style="23" customWidth="1"/>
    <col min="2635" max="2886" width="9.140625" style="23"/>
    <col min="2887" max="2887" width="48" style="23" customWidth="1"/>
    <col min="2888" max="2888" width="13.42578125" style="23" customWidth="1"/>
    <col min="2889" max="2889" width="8.7109375" style="23" customWidth="1"/>
    <col min="2890" max="2890" width="4.7109375" style="23" customWidth="1"/>
    <col min="2891" max="3142" width="9.140625" style="23"/>
    <col min="3143" max="3143" width="48" style="23" customWidth="1"/>
    <col min="3144" max="3144" width="13.42578125" style="23" customWidth="1"/>
    <col min="3145" max="3145" width="8.7109375" style="23" customWidth="1"/>
    <col min="3146" max="3146" width="4.7109375" style="23" customWidth="1"/>
    <col min="3147" max="3398" width="9.140625" style="23"/>
    <col min="3399" max="3399" width="48" style="23" customWidth="1"/>
    <col min="3400" max="3400" width="13.42578125" style="23" customWidth="1"/>
    <col min="3401" max="3401" width="8.7109375" style="23" customWidth="1"/>
    <col min="3402" max="3402" width="4.7109375" style="23" customWidth="1"/>
    <col min="3403" max="3654" width="9.140625" style="23"/>
    <col min="3655" max="3655" width="48" style="23" customWidth="1"/>
    <col min="3656" max="3656" width="13.42578125" style="23" customWidth="1"/>
    <col min="3657" max="3657" width="8.7109375" style="23" customWidth="1"/>
    <col min="3658" max="3658" width="4.7109375" style="23" customWidth="1"/>
    <col min="3659" max="3910" width="9.140625" style="23"/>
    <col min="3911" max="3911" width="48" style="23" customWidth="1"/>
    <col min="3912" max="3912" width="13.42578125" style="23" customWidth="1"/>
    <col min="3913" max="3913" width="8.7109375" style="23" customWidth="1"/>
    <col min="3914" max="3914" width="4.7109375" style="23" customWidth="1"/>
    <col min="3915" max="4166" width="9.140625" style="23"/>
    <col min="4167" max="4167" width="48" style="23" customWidth="1"/>
    <col min="4168" max="4168" width="13.42578125" style="23" customWidth="1"/>
    <col min="4169" max="4169" width="8.7109375" style="23" customWidth="1"/>
    <col min="4170" max="4170" width="4.7109375" style="23" customWidth="1"/>
    <col min="4171" max="4422" width="9.140625" style="23"/>
    <col min="4423" max="4423" width="48" style="23" customWidth="1"/>
    <col min="4424" max="4424" width="13.42578125" style="23" customWidth="1"/>
    <col min="4425" max="4425" width="8.7109375" style="23" customWidth="1"/>
    <col min="4426" max="4426" width="4.7109375" style="23" customWidth="1"/>
    <col min="4427" max="4678" width="9.140625" style="23"/>
    <col min="4679" max="4679" width="48" style="23" customWidth="1"/>
    <col min="4680" max="4680" width="13.42578125" style="23" customWidth="1"/>
    <col min="4681" max="4681" width="8.7109375" style="23" customWidth="1"/>
    <col min="4682" max="4682" width="4.7109375" style="23" customWidth="1"/>
    <col min="4683" max="4934" width="9.140625" style="23"/>
    <col min="4935" max="4935" width="48" style="23" customWidth="1"/>
    <col min="4936" max="4936" width="13.42578125" style="23" customWidth="1"/>
    <col min="4937" max="4937" width="8.7109375" style="23" customWidth="1"/>
    <col min="4938" max="4938" width="4.7109375" style="23" customWidth="1"/>
    <col min="4939" max="5190" width="9.140625" style="23"/>
    <col min="5191" max="5191" width="48" style="23" customWidth="1"/>
    <col min="5192" max="5192" width="13.42578125" style="23" customWidth="1"/>
    <col min="5193" max="5193" width="8.7109375" style="23" customWidth="1"/>
    <col min="5194" max="5194" width="4.7109375" style="23" customWidth="1"/>
    <col min="5195" max="5446" width="9.140625" style="23"/>
    <col min="5447" max="5447" width="48" style="23" customWidth="1"/>
    <col min="5448" max="5448" width="13.42578125" style="23" customWidth="1"/>
    <col min="5449" max="5449" width="8.7109375" style="23" customWidth="1"/>
    <col min="5450" max="5450" width="4.7109375" style="23" customWidth="1"/>
    <col min="5451" max="5702" width="9.140625" style="23"/>
    <col min="5703" max="5703" width="48" style="23" customWidth="1"/>
    <col min="5704" max="5704" width="13.42578125" style="23" customWidth="1"/>
    <col min="5705" max="5705" width="8.7109375" style="23" customWidth="1"/>
    <col min="5706" max="5706" width="4.7109375" style="23" customWidth="1"/>
    <col min="5707" max="5958" width="9.140625" style="23"/>
    <col min="5959" max="5959" width="48" style="23" customWidth="1"/>
    <col min="5960" max="5960" width="13.42578125" style="23" customWidth="1"/>
    <col min="5961" max="5961" width="8.7109375" style="23" customWidth="1"/>
    <col min="5962" max="5962" width="4.7109375" style="23" customWidth="1"/>
    <col min="5963" max="6214" width="9.140625" style="23"/>
    <col min="6215" max="6215" width="48" style="23" customWidth="1"/>
    <col min="6216" max="6216" width="13.42578125" style="23" customWidth="1"/>
    <col min="6217" max="6217" width="8.7109375" style="23" customWidth="1"/>
    <col min="6218" max="6218" width="4.7109375" style="23" customWidth="1"/>
    <col min="6219" max="6470" width="9.140625" style="23"/>
    <col min="6471" max="6471" width="48" style="23" customWidth="1"/>
    <col min="6472" max="6472" width="13.42578125" style="23" customWidth="1"/>
    <col min="6473" max="6473" width="8.7109375" style="23" customWidth="1"/>
    <col min="6474" max="6474" width="4.7109375" style="23" customWidth="1"/>
    <col min="6475" max="6726" width="9.140625" style="23"/>
    <col min="6727" max="6727" width="48" style="23" customWidth="1"/>
    <col min="6728" max="6728" width="13.42578125" style="23" customWidth="1"/>
    <col min="6729" max="6729" width="8.7109375" style="23" customWidth="1"/>
    <col min="6730" max="6730" width="4.7109375" style="23" customWidth="1"/>
    <col min="6731" max="6982" width="9.140625" style="23"/>
    <col min="6983" max="6983" width="48" style="23" customWidth="1"/>
    <col min="6984" max="6984" width="13.42578125" style="23" customWidth="1"/>
    <col min="6985" max="6985" width="8.7109375" style="23" customWidth="1"/>
    <col min="6986" max="6986" width="4.7109375" style="23" customWidth="1"/>
    <col min="6987" max="7238" width="9.140625" style="23"/>
    <col min="7239" max="7239" width="48" style="23" customWidth="1"/>
    <col min="7240" max="7240" width="13.42578125" style="23" customWidth="1"/>
    <col min="7241" max="7241" width="8.7109375" style="23" customWidth="1"/>
    <col min="7242" max="7242" width="4.7109375" style="23" customWidth="1"/>
    <col min="7243" max="7494" width="9.140625" style="23"/>
    <col min="7495" max="7495" width="48" style="23" customWidth="1"/>
    <col min="7496" max="7496" width="13.42578125" style="23" customWidth="1"/>
    <col min="7497" max="7497" width="8.7109375" style="23" customWidth="1"/>
    <col min="7498" max="7498" width="4.7109375" style="23" customWidth="1"/>
    <col min="7499" max="7750" width="9.140625" style="23"/>
    <col min="7751" max="7751" width="48" style="23" customWidth="1"/>
    <col min="7752" max="7752" width="13.42578125" style="23" customWidth="1"/>
    <col min="7753" max="7753" width="8.7109375" style="23" customWidth="1"/>
    <col min="7754" max="7754" width="4.7109375" style="23" customWidth="1"/>
    <col min="7755" max="8006" width="9.140625" style="23"/>
    <col min="8007" max="8007" width="48" style="23" customWidth="1"/>
    <col min="8008" max="8008" width="13.42578125" style="23" customWidth="1"/>
    <col min="8009" max="8009" width="8.7109375" style="23" customWidth="1"/>
    <col min="8010" max="8010" width="4.7109375" style="23" customWidth="1"/>
    <col min="8011" max="8262" width="9.140625" style="23"/>
    <col min="8263" max="8263" width="48" style="23" customWidth="1"/>
    <col min="8264" max="8264" width="13.42578125" style="23" customWidth="1"/>
    <col min="8265" max="8265" width="8.7109375" style="23" customWidth="1"/>
    <col min="8266" max="8266" width="4.7109375" style="23" customWidth="1"/>
    <col min="8267" max="8518" width="9.140625" style="23"/>
    <col min="8519" max="8519" width="48" style="23" customWidth="1"/>
    <col min="8520" max="8520" width="13.42578125" style="23" customWidth="1"/>
    <col min="8521" max="8521" width="8.7109375" style="23" customWidth="1"/>
    <col min="8522" max="8522" width="4.7109375" style="23" customWidth="1"/>
    <col min="8523" max="8774" width="9.140625" style="23"/>
    <col min="8775" max="8775" width="48" style="23" customWidth="1"/>
    <col min="8776" max="8776" width="13.42578125" style="23" customWidth="1"/>
    <col min="8777" max="8777" width="8.7109375" style="23" customWidth="1"/>
    <col min="8778" max="8778" width="4.7109375" style="23" customWidth="1"/>
    <col min="8779" max="9030" width="9.140625" style="23"/>
    <col min="9031" max="9031" width="48" style="23" customWidth="1"/>
    <col min="9032" max="9032" width="13.42578125" style="23" customWidth="1"/>
    <col min="9033" max="9033" width="8.7109375" style="23" customWidth="1"/>
    <col min="9034" max="9034" width="4.7109375" style="23" customWidth="1"/>
    <col min="9035" max="9286" width="9.140625" style="23"/>
    <col min="9287" max="9287" width="48" style="23" customWidth="1"/>
    <col min="9288" max="9288" width="13.42578125" style="23" customWidth="1"/>
    <col min="9289" max="9289" width="8.7109375" style="23" customWidth="1"/>
    <col min="9290" max="9290" width="4.7109375" style="23" customWidth="1"/>
    <col min="9291" max="9542" width="9.140625" style="23"/>
    <col min="9543" max="9543" width="48" style="23" customWidth="1"/>
    <col min="9544" max="9544" width="13.42578125" style="23" customWidth="1"/>
    <col min="9545" max="9545" width="8.7109375" style="23" customWidth="1"/>
    <col min="9546" max="9546" width="4.7109375" style="23" customWidth="1"/>
    <col min="9547" max="9798" width="9.140625" style="23"/>
    <col min="9799" max="9799" width="48" style="23" customWidth="1"/>
    <col min="9800" max="9800" width="13.42578125" style="23" customWidth="1"/>
    <col min="9801" max="9801" width="8.7109375" style="23" customWidth="1"/>
    <col min="9802" max="9802" width="4.7109375" style="23" customWidth="1"/>
    <col min="9803" max="10054" width="9.140625" style="23"/>
    <col min="10055" max="10055" width="48" style="23" customWidth="1"/>
    <col min="10056" max="10056" width="13.42578125" style="23" customWidth="1"/>
    <col min="10057" max="10057" width="8.7109375" style="23" customWidth="1"/>
    <col min="10058" max="10058" width="4.7109375" style="23" customWidth="1"/>
    <col min="10059" max="10310" width="9.140625" style="23"/>
    <col min="10311" max="10311" width="48" style="23" customWidth="1"/>
    <col min="10312" max="10312" width="13.42578125" style="23" customWidth="1"/>
    <col min="10313" max="10313" width="8.7109375" style="23" customWidth="1"/>
    <col min="10314" max="10314" width="4.7109375" style="23" customWidth="1"/>
    <col min="10315" max="10566" width="9.140625" style="23"/>
    <col min="10567" max="10567" width="48" style="23" customWidth="1"/>
    <col min="10568" max="10568" width="13.42578125" style="23" customWidth="1"/>
    <col min="10569" max="10569" width="8.7109375" style="23" customWidth="1"/>
    <col min="10570" max="10570" width="4.7109375" style="23" customWidth="1"/>
    <col min="10571" max="10822" width="9.140625" style="23"/>
    <col min="10823" max="10823" width="48" style="23" customWidth="1"/>
    <col min="10824" max="10824" width="13.42578125" style="23" customWidth="1"/>
    <col min="10825" max="10825" width="8.7109375" style="23" customWidth="1"/>
    <col min="10826" max="10826" width="4.7109375" style="23" customWidth="1"/>
    <col min="10827" max="11078" width="9.140625" style="23"/>
    <col min="11079" max="11079" width="48" style="23" customWidth="1"/>
    <col min="11080" max="11080" width="13.42578125" style="23" customWidth="1"/>
    <col min="11081" max="11081" width="8.7109375" style="23" customWidth="1"/>
    <col min="11082" max="11082" width="4.7109375" style="23" customWidth="1"/>
    <col min="11083" max="11334" width="9.140625" style="23"/>
    <col min="11335" max="11335" width="48" style="23" customWidth="1"/>
    <col min="11336" max="11336" width="13.42578125" style="23" customWidth="1"/>
    <col min="11337" max="11337" width="8.7109375" style="23" customWidth="1"/>
    <col min="11338" max="11338" width="4.7109375" style="23" customWidth="1"/>
    <col min="11339" max="11590" width="9.140625" style="23"/>
    <col min="11591" max="11591" width="48" style="23" customWidth="1"/>
    <col min="11592" max="11592" width="13.42578125" style="23" customWidth="1"/>
    <col min="11593" max="11593" width="8.7109375" style="23" customWidth="1"/>
    <col min="11594" max="11594" width="4.7109375" style="23" customWidth="1"/>
    <col min="11595" max="11846" width="9.140625" style="23"/>
    <col min="11847" max="11847" width="48" style="23" customWidth="1"/>
    <col min="11848" max="11848" width="13.42578125" style="23" customWidth="1"/>
    <col min="11849" max="11849" width="8.7109375" style="23" customWidth="1"/>
    <col min="11850" max="11850" width="4.7109375" style="23" customWidth="1"/>
    <col min="11851" max="12102" width="9.140625" style="23"/>
    <col min="12103" max="12103" width="48" style="23" customWidth="1"/>
    <col min="12104" max="12104" width="13.42578125" style="23" customWidth="1"/>
    <col min="12105" max="12105" width="8.7109375" style="23" customWidth="1"/>
    <col min="12106" max="12106" width="4.7109375" style="23" customWidth="1"/>
    <col min="12107" max="12358" width="9.140625" style="23"/>
    <col min="12359" max="12359" width="48" style="23" customWidth="1"/>
    <col min="12360" max="12360" width="13.42578125" style="23" customWidth="1"/>
    <col min="12361" max="12361" width="8.7109375" style="23" customWidth="1"/>
    <col min="12362" max="12362" width="4.7109375" style="23" customWidth="1"/>
    <col min="12363" max="12614" width="9.140625" style="23"/>
    <col min="12615" max="12615" width="48" style="23" customWidth="1"/>
    <col min="12616" max="12616" width="13.42578125" style="23" customWidth="1"/>
    <col min="12617" max="12617" width="8.7109375" style="23" customWidth="1"/>
    <col min="12618" max="12618" width="4.7109375" style="23" customWidth="1"/>
    <col min="12619" max="12870" width="9.140625" style="23"/>
    <col min="12871" max="12871" width="48" style="23" customWidth="1"/>
    <col min="12872" max="12872" width="13.42578125" style="23" customWidth="1"/>
    <col min="12873" max="12873" width="8.7109375" style="23" customWidth="1"/>
    <col min="12874" max="12874" width="4.7109375" style="23" customWidth="1"/>
    <col min="12875" max="13126" width="9.140625" style="23"/>
    <col min="13127" max="13127" width="48" style="23" customWidth="1"/>
    <col min="13128" max="13128" width="13.42578125" style="23" customWidth="1"/>
    <col min="13129" max="13129" width="8.7109375" style="23" customWidth="1"/>
    <col min="13130" max="13130" width="4.7109375" style="23" customWidth="1"/>
    <col min="13131" max="13382" width="9.140625" style="23"/>
    <col min="13383" max="13383" width="48" style="23" customWidth="1"/>
    <col min="13384" max="13384" width="13.42578125" style="23" customWidth="1"/>
    <col min="13385" max="13385" width="8.7109375" style="23" customWidth="1"/>
    <col min="13386" max="13386" width="4.7109375" style="23" customWidth="1"/>
    <col min="13387" max="13638" width="9.140625" style="23"/>
    <col min="13639" max="13639" width="48" style="23" customWidth="1"/>
    <col min="13640" max="13640" width="13.42578125" style="23" customWidth="1"/>
    <col min="13641" max="13641" width="8.7109375" style="23" customWidth="1"/>
    <col min="13642" max="13642" width="4.7109375" style="23" customWidth="1"/>
    <col min="13643" max="13894" width="9.140625" style="23"/>
    <col min="13895" max="13895" width="48" style="23" customWidth="1"/>
    <col min="13896" max="13896" width="13.42578125" style="23" customWidth="1"/>
    <col min="13897" max="13897" width="8.7109375" style="23" customWidth="1"/>
    <col min="13898" max="13898" width="4.7109375" style="23" customWidth="1"/>
    <col min="13899" max="14150" width="9.140625" style="23"/>
    <col min="14151" max="14151" width="48" style="23" customWidth="1"/>
    <col min="14152" max="14152" width="13.42578125" style="23" customWidth="1"/>
    <col min="14153" max="14153" width="8.7109375" style="23" customWidth="1"/>
    <col min="14154" max="14154" width="4.7109375" style="23" customWidth="1"/>
    <col min="14155" max="14406" width="9.140625" style="23"/>
    <col min="14407" max="14407" width="48" style="23" customWidth="1"/>
    <col min="14408" max="14408" width="13.42578125" style="23" customWidth="1"/>
    <col min="14409" max="14409" width="8.7109375" style="23" customWidth="1"/>
    <col min="14410" max="14410" width="4.7109375" style="23" customWidth="1"/>
    <col min="14411" max="14662" width="9.140625" style="23"/>
    <col min="14663" max="14663" width="48" style="23" customWidth="1"/>
    <col min="14664" max="14664" width="13.42578125" style="23" customWidth="1"/>
    <col min="14665" max="14665" width="8.7109375" style="23" customWidth="1"/>
    <col min="14666" max="14666" width="4.7109375" style="23" customWidth="1"/>
    <col min="14667" max="14918" width="9.140625" style="23"/>
    <col min="14919" max="14919" width="48" style="23" customWidth="1"/>
    <col min="14920" max="14920" width="13.42578125" style="23" customWidth="1"/>
    <col min="14921" max="14921" width="8.7109375" style="23" customWidth="1"/>
    <col min="14922" max="14922" width="4.7109375" style="23" customWidth="1"/>
    <col min="14923" max="15174" width="9.140625" style="23"/>
    <col min="15175" max="15175" width="48" style="23" customWidth="1"/>
    <col min="15176" max="15176" width="13.42578125" style="23" customWidth="1"/>
    <col min="15177" max="15177" width="8.7109375" style="23" customWidth="1"/>
    <col min="15178" max="15178" width="4.7109375" style="23" customWidth="1"/>
    <col min="15179" max="15430" width="9.140625" style="23"/>
    <col min="15431" max="15431" width="48" style="23" customWidth="1"/>
    <col min="15432" max="15432" width="13.42578125" style="23" customWidth="1"/>
    <col min="15433" max="15433" width="8.7109375" style="23" customWidth="1"/>
    <col min="15434" max="15434" width="4.7109375" style="23" customWidth="1"/>
    <col min="15435" max="15686" width="9.140625" style="23"/>
    <col min="15687" max="15687" width="48" style="23" customWidth="1"/>
    <col min="15688" max="15688" width="13.42578125" style="23" customWidth="1"/>
    <col min="15689" max="15689" width="8.7109375" style="23" customWidth="1"/>
    <col min="15690" max="15690" width="4.7109375" style="23" customWidth="1"/>
    <col min="15691" max="15942" width="9.140625" style="23"/>
    <col min="15943" max="15943" width="48" style="23" customWidth="1"/>
    <col min="15944" max="15944" width="13.42578125" style="23" customWidth="1"/>
    <col min="15945" max="15945" width="8.7109375" style="23" customWidth="1"/>
    <col min="15946" max="15946" width="4.7109375" style="23" customWidth="1"/>
    <col min="15947" max="16384" width="9.140625" style="23"/>
  </cols>
  <sheetData>
    <row r="1" spans="1:133" ht="31.5" customHeight="1" x14ac:dyDescent="0.2">
      <c r="A1" s="25"/>
      <c r="B1" s="46" t="s">
        <v>10</v>
      </c>
      <c r="C1" s="47"/>
      <c r="D1" s="48"/>
      <c r="E1" s="46" t="s">
        <v>12</v>
      </c>
      <c r="F1" s="47"/>
      <c r="G1" s="48"/>
      <c r="H1" s="46" t="s">
        <v>25</v>
      </c>
      <c r="I1" s="47"/>
      <c r="J1" s="48"/>
      <c r="K1" s="46" t="s">
        <v>13</v>
      </c>
      <c r="L1" s="47"/>
      <c r="M1" s="48"/>
      <c r="N1" s="46" t="s">
        <v>26</v>
      </c>
      <c r="O1" s="47"/>
      <c r="P1" s="48"/>
      <c r="Q1" s="46" t="s">
        <v>11</v>
      </c>
      <c r="R1" s="47"/>
      <c r="S1" s="47"/>
      <c r="T1" s="46" t="s">
        <v>61</v>
      </c>
      <c r="U1" s="47"/>
      <c r="V1" s="48"/>
      <c r="W1" s="46" t="s">
        <v>5</v>
      </c>
      <c r="X1" s="47"/>
      <c r="Y1" s="48"/>
      <c r="Z1" s="46" t="s">
        <v>60</v>
      </c>
      <c r="AA1" s="47"/>
      <c r="AB1" s="48"/>
      <c r="AC1" s="46" t="s">
        <v>5</v>
      </c>
      <c r="AD1" s="47"/>
      <c r="AE1" s="48"/>
      <c r="AF1" s="46" t="s">
        <v>59</v>
      </c>
      <c r="AG1" s="47"/>
      <c r="AH1" s="48"/>
      <c r="AI1" s="46" t="s">
        <v>24</v>
      </c>
      <c r="AJ1" s="47"/>
      <c r="AK1" s="48"/>
      <c r="AL1" s="46" t="s">
        <v>58</v>
      </c>
      <c r="AM1" s="47"/>
      <c r="AN1" s="48"/>
      <c r="AO1" s="46" t="s">
        <v>57</v>
      </c>
      <c r="AP1" s="47"/>
      <c r="AQ1" s="48"/>
      <c r="AR1" s="46" t="s">
        <v>56</v>
      </c>
      <c r="AS1" s="47"/>
      <c r="AT1" s="48"/>
      <c r="AU1" s="46" t="s">
        <v>27</v>
      </c>
      <c r="AV1" s="47"/>
      <c r="AW1" s="48"/>
      <c r="AX1" s="46" t="s">
        <v>55</v>
      </c>
      <c r="AY1" s="47"/>
      <c r="AZ1" s="48"/>
      <c r="BA1" s="46" t="s">
        <v>54</v>
      </c>
      <c r="BB1" s="47"/>
      <c r="BC1" s="48"/>
      <c r="BD1" s="46" t="s">
        <v>28</v>
      </c>
      <c r="BE1" s="47"/>
      <c r="BF1" s="47"/>
      <c r="BG1" s="46" t="s">
        <v>53</v>
      </c>
      <c r="BH1" s="47"/>
      <c r="BI1" s="48"/>
      <c r="BJ1" s="46" t="s">
        <v>52</v>
      </c>
      <c r="BK1" s="47"/>
      <c r="BL1" s="48"/>
      <c r="BM1" s="46" t="s">
        <v>51</v>
      </c>
      <c r="BN1" s="47"/>
      <c r="BO1" s="48"/>
      <c r="BP1" s="46" t="s">
        <v>50</v>
      </c>
      <c r="BQ1" s="47"/>
      <c r="BR1" s="48"/>
      <c r="BS1" s="46" t="s">
        <v>49</v>
      </c>
      <c r="BT1" s="47"/>
      <c r="BU1" s="48"/>
      <c r="BV1" s="46" t="s">
        <v>48</v>
      </c>
      <c r="BW1" s="47"/>
      <c r="BX1" s="48"/>
      <c r="BY1" s="46" t="s">
        <v>47</v>
      </c>
      <c r="BZ1" s="47"/>
      <c r="CA1" s="48"/>
      <c r="CB1" s="46" t="s">
        <v>29</v>
      </c>
      <c r="CC1" s="47"/>
      <c r="CD1" s="48"/>
      <c r="CE1" s="46" t="s">
        <v>46</v>
      </c>
      <c r="CF1" s="47"/>
      <c r="CG1" s="48"/>
      <c r="CH1" s="46" t="s">
        <v>45</v>
      </c>
      <c r="CI1" s="47"/>
      <c r="CJ1" s="48"/>
      <c r="CK1" s="46" t="s">
        <v>44</v>
      </c>
      <c r="CL1" s="47"/>
      <c r="CM1" s="48"/>
      <c r="CN1" s="46" t="s">
        <v>43</v>
      </c>
      <c r="CO1" s="47"/>
      <c r="CP1" s="48"/>
      <c r="CQ1" s="46" t="s">
        <v>42</v>
      </c>
      <c r="CR1" s="47"/>
      <c r="CS1" s="47"/>
      <c r="CT1" s="46" t="s">
        <v>41</v>
      </c>
      <c r="CU1" s="47"/>
      <c r="CV1" s="48"/>
      <c r="CW1" s="46" t="s">
        <v>30</v>
      </c>
      <c r="CX1" s="47"/>
      <c r="CY1" s="48"/>
      <c r="CZ1" s="46" t="s">
        <v>40</v>
      </c>
      <c r="DA1" s="47"/>
      <c r="DB1" s="48"/>
      <c r="DC1" s="46" t="s">
        <v>39</v>
      </c>
      <c r="DD1" s="47"/>
      <c r="DE1" s="48"/>
      <c r="DF1" s="46" t="s">
        <v>38</v>
      </c>
      <c r="DG1" s="47"/>
      <c r="DH1" s="48"/>
      <c r="DI1" s="46" t="s">
        <v>37</v>
      </c>
      <c r="DJ1" s="47"/>
      <c r="DK1" s="48"/>
      <c r="DL1" s="46" t="s">
        <v>36</v>
      </c>
      <c r="DM1" s="47"/>
      <c r="DN1" s="48"/>
      <c r="DO1" s="46" t="s">
        <v>31</v>
      </c>
      <c r="DP1" s="47"/>
      <c r="DQ1" s="48"/>
      <c r="DR1" s="46" t="s">
        <v>35</v>
      </c>
      <c r="DS1" s="47"/>
      <c r="DT1" s="47"/>
      <c r="DU1" s="46" t="s">
        <v>34</v>
      </c>
      <c r="DV1" s="47"/>
      <c r="DW1" s="48"/>
      <c r="DX1" s="46" t="s">
        <v>33</v>
      </c>
      <c r="DY1" s="47"/>
      <c r="DZ1" s="48"/>
      <c r="EA1" s="46" t="s">
        <v>32</v>
      </c>
      <c r="EB1" s="47"/>
      <c r="EC1" s="48"/>
    </row>
    <row r="2" spans="1:133" x14ac:dyDescent="0.2">
      <c r="A2" s="24"/>
      <c r="B2" s="29" t="s">
        <v>1</v>
      </c>
      <c r="C2" s="29" t="s">
        <v>20</v>
      </c>
      <c r="D2" s="29" t="s">
        <v>62</v>
      </c>
      <c r="E2" s="29" t="s">
        <v>1</v>
      </c>
      <c r="F2" s="29" t="s">
        <v>20</v>
      </c>
      <c r="G2" s="29" t="s">
        <v>62</v>
      </c>
      <c r="H2" s="29" t="s">
        <v>1</v>
      </c>
      <c r="I2" s="29" t="s">
        <v>20</v>
      </c>
      <c r="J2" s="29" t="s">
        <v>62</v>
      </c>
      <c r="K2" s="29" t="s">
        <v>1</v>
      </c>
      <c r="L2" s="29" t="s">
        <v>20</v>
      </c>
      <c r="M2" s="29" t="s">
        <v>62</v>
      </c>
      <c r="N2" s="29" t="s">
        <v>1</v>
      </c>
      <c r="O2" s="29" t="s">
        <v>20</v>
      </c>
      <c r="P2" s="29" t="s">
        <v>62</v>
      </c>
      <c r="Q2" s="29" t="s">
        <v>1</v>
      </c>
      <c r="R2" s="29" t="s">
        <v>20</v>
      </c>
      <c r="S2" s="29" t="s">
        <v>62</v>
      </c>
      <c r="T2" s="29" t="s">
        <v>1</v>
      </c>
      <c r="U2" s="29" t="s">
        <v>20</v>
      </c>
      <c r="V2" s="29" t="s">
        <v>62</v>
      </c>
      <c r="W2" s="29" t="s">
        <v>1</v>
      </c>
      <c r="X2" s="29" t="s">
        <v>20</v>
      </c>
      <c r="Y2" s="29" t="s">
        <v>62</v>
      </c>
      <c r="Z2" s="29" t="s">
        <v>1</v>
      </c>
      <c r="AA2" s="29" t="s">
        <v>20</v>
      </c>
      <c r="AB2" s="29" t="s">
        <v>62</v>
      </c>
      <c r="AC2" s="29" t="s">
        <v>1</v>
      </c>
      <c r="AD2" s="29" t="s">
        <v>20</v>
      </c>
      <c r="AE2" s="29" t="s">
        <v>62</v>
      </c>
      <c r="AF2" s="29" t="s">
        <v>1</v>
      </c>
      <c r="AG2" s="29" t="s">
        <v>20</v>
      </c>
      <c r="AH2" s="29" t="s">
        <v>62</v>
      </c>
      <c r="AI2" s="29" t="s">
        <v>1</v>
      </c>
      <c r="AJ2" s="29" t="s">
        <v>20</v>
      </c>
      <c r="AK2" s="29" t="s">
        <v>62</v>
      </c>
      <c r="AL2" s="29" t="s">
        <v>1</v>
      </c>
      <c r="AM2" s="29" t="s">
        <v>20</v>
      </c>
      <c r="AN2" s="29" t="s">
        <v>62</v>
      </c>
      <c r="AO2" s="29" t="s">
        <v>1</v>
      </c>
      <c r="AP2" s="29" t="s">
        <v>20</v>
      </c>
      <c r="AQ2" s="29" t="s">
        <v>62</v>
      </c>
      <c r="AR2" s="29" t="s">
        <v>1</v>
      </c>
      <c r="AS2" s="29" t="s">
        <v>20</v>
      </c>
      <c r="AT2" s="29" t="s">
        <v>62</v>
      </c>
      <c r="AU2" s="29" t="s">
        <v>1</v>
      </c>
      <c r="AV2" s="29" t="s">
        <v>20</v>
      </c>
      <c r="AW2" s="29" t="s">
        <v>62</v>
      </c>
      <c r="AX2" s="29" t="s">
        <v>1</v>
      </c>
      <c r="AY2" s="29" t="s">
        <v>20</v>
      </c>
      <c r="AZ2" s="29" t="s">
        <v>62</v>
      </c>
      <c r="BA2" s="29" t="s">
        <v>1</v>
      </c>
      <c r="BB2" s="29" t="s">
        <v>20</v>
      </c>
      <c r="BC2" s="29" t="s">
        <v>62</v>
      </c>
      <c r="BD2" s="29" t="s">
        <v>1</v>
      </c>
      <c r="BE2" s="29" t="s">
        <v>20</v>
      </c>
      <c r="BF2" s="29" t="s">
        <v>62</v>
      </c>
      <c r="BG2" s="29" t="s">
        <v>1</v>
      </c>
      <c r="BH2" s="29" t="s">
        <v>20</v>
      </c>
      <c r="BI2" s="29" t="s">
        <v>62</v>
      </c>
      <c r="BJ2" s="29" t="s">
        <v>1</v>
      </c>
      <c r="BK2" s="29" t="s">
        <v>20</v>
      </c>
      <c r="BL2" s="29" t="s">
        <v>62</v>
      </c>
      <c r="BM2" s="29" t="s">
        <v>1</v>
      </c>
      <c r="BN2" s="29" t="s">
        <v>20</v>
      </c>
      <c r="BO2" s="29" t="s">
        <v>62</v>
      </c>
      <c r="BP2" s="29" t="s">
        <v>1</v>
      </c>
      <c r="BQ2" s="29" t="s">
        <v>20</v>
      </c>
      <c r="BR2" s="29" t="s">
        <v>62</v>
      </c>
      <c r="BS2" s="29" t="s">
        <v>1</v>
      </c>
      <c r="BT2" s="29" t="s">
        <v>20</v>
      </c>
      <c r="BU2" s="29" t="s">
        <v>62</v>
      </c>
      <c r="BV2" s="29" t="s">
        <v>1</v>
      </c>
      <c r="BW2" s="29" t="s">
        <v>20</v>
      </c>
      <c r="BX2" s="29" t="s">
        <v>62</v>
      </c>
      <c r="BY2" s="29" t="s">
        <v>1</v>
      </c>
      <c r="BZ2" s="29" t="s">
        <v>20</v>
      </c>
      <c r="CA2" s="29" t="s">
        <v>62</v>
      </c>
      <c r="CB2" s="29" t="s">
        <v>1</v>
      </c>
      <c r="CC2" s="29" t="s">
        <v>20</v>
      </c>
      <c r="CD2" s="29" t="s">
        <v>62</v>
      </c>
      <c r="CE2" s="29" t="s">
        <v>1</v>
      </c>
      <c r="CF2" s="29" t="s">
        <v>20</v>
      </c>
      <c r="CG2" s="29" t="s">
        <v>62</v>
      </c>
      <c r="CH2" s="29" t="s">
        <v>1</v>
      </c>
      <c r="CI2" s="29" t="s">
        <v>20</v>
      </c>
      <c r="CJ2" s="29" t="s">
        <v>62</v>
      </c>
      <c r="CK2" s="29" t="s">
        <v>1</v>
      </c>
      <c r="CL2" s="29" t="s">
        <v>20</v>
      </c>
      <c r="CM2" s="29" t="s">
        <v>62</v>
      </c>
      <c r="CN2" s="29" t="s">
        <v>1</v>
      </c>
      <c r="CO2" s="29" t="s">
        <v>20</v>
      </c>
      <c r="CP2" s="29" t="s">
        <v>62</v>
      </c>
      <c r="CQ2" s="29" t="s">
        <v>1</v>
      </c>
      <c r="CR2" s="29" t="s">
        <v>20</v>
      </c>
      <c r="CS2" s="29" t="s">
        <v>62</v>
      </c>
      <c r="CT2" s="29" t="s">
        <v>1</v>
      </c>
      <c r="CU2" s="29" t="s">
        <v>20</v>
      </c>
      <c r="CV2" s="29" t="s">
        <v>62</v>
      </c>
      <c r="CW2" s="29" t="s">
        <v>1</v>
      </c>
      <c r="CX2" s="29" t="s">
        <v>20</v>
      </c>
      <c r="CY2" s="29" t="s">
        <v>62</v>
      </c>
      <c r="CZ2" s="29" t="s">
        <v>1</v>
      </c>
      <c r="DA2" s="29" t="s">
        <v>20</v>
      </c>
      <c r="DB2" s="29" t="s">
        <v>62</v>
      </c>
      <c r="DC2" s="29" t="s">
        <v>1</v>
      </c>
      <c r="DD2" s="29" t="s">
        <v>20</v>
      </c>
      <c r="DE2" s="29" t="s">
        <v>62</v>
      </c>
      <c r="DF2" s="29" t="s">
        <v>1</v>
      </c>
      <c r="DG2" s="29" t="s">
        <v>20</v>
      </c>
      <c r="DH2" s="29" t="s">
        <v>62</v>
      </c>
      <c r="DI2" s="29" t="s">
        <v>1</v>
      </c>
      <c r="DJ2" s="29" t="s">
        <v>20</v>
      </c>
      <c r="DK2" s="29" t="s">
        <v>62</v>
      </c>
      <c r="DL2" s="29" t="s">
        <v>1</v>
      </c>
      <c r="DM2" s="29" t="s">
        <v>20</v>
      </c>
      <c r="DN2" s="29" t="s">
        <v>62</v>
      </c>
      <c r="DO2" s="29" t="s">
        <v>1</v>
      </c>
      <c r="DP2" s="29" t="s">
        <v>20</v>
      </c>
      <c r="DQ2" s="29" t="s">
        <v>62</v>
      </c>
      <c r="DR2" s="29" t="s">
        <v>1</v>
      </c>
      <c r="DS2" s="29" t="s">
        <v>20</v>
      </c>
      <c r="DT2" s="29" t="s">
        <v>62</v>
      </c>
      <c r="DU2" s="29" t="s">
        <v>1</v>
      </c>
      <c r="DV2" s="29" t="s">
        <v>20</v>
      </c>
      <c r="DW2" s="29" t="s">
        <v>62</v>
      </c>
      <c r="DX2" s="29" t="s">
        <v>1</v>
      </c>
      <c r="DY2" s="29" t="s">
        <v>20</v>
      </c>
      <c r="DZ2" s="29" t="s">
        <v>62</v>
      </c>
      <c r="EA2" s="29" t="s">
        <v>1</v>
      </c>
      <c r="EB2" s="29" t="s">
        <v>20</v>
      </c>
      <c r="EC2" s="29" t="s">
        <v>62</v>
      </c>
    </row>
    <row r="3" spans="1:133" x14ac:dyDescent="0.2">
      <c r="A3" s="32">
        <v>45292</v>
      </c>
      <c r="B3" s="30">
        <f>VLOOKUP(B1,'[1]RK FORN JAN 24'!$A$1:$M$122,8,FALSE)</f>
        <v>127511.5401</v>
      </c>
      <c r="C3" s="31">
        <f>VLOOKUP(B1,'[1]RK FORN JAN 24'!$A$1:$M$122,12,FALSE)</f>
        <v>31.6</v>
      </c>
      <c r="D3" s="31">
        <f>VLOOKUP(B1,'[1]RK FORN JAN 24'!$A$1:$M$122,13,FALSE)</f>
        <v>10.41</v>
      </c>
      <c r="E3" s="30">
        <f>VLOOKUP(E1,'[1]RK FORN JAN 24'!$A$1:$M$122,8,FALSE)</f>
        <v>111254.65979999999</v>
      </c>
      <c r="F3" s="31">
        <f>VLOOKUP(E1,'[1]RK FORN JAN 24'!$A$1:$M$122,12,FALSE)</f>
        <v>41.07</v>
      </c>
      <c r="G3" s="31">
        <f>VLOOKUP(E1,'[1]RK FORN JAN 24'!$A$1:$M$122,13,FALSE)</f>
        <v>9.1999999999999993</v>
      </c>
      <c r="H3" s="31" t="e">
        <f>VLOOKUP(H1,'[1]RK FORN JAN 24'!$A$1:$M$122,8,FALSE)</f>
        <v>#N/A</v>
      </c>
      <c r="I3" s="31" t="e">
        <f>VLOOKUP(H1,'[1]RK FORN JAN 24'!$A$1:$M$122,12,FALSE)</f>
        <v>#N/A</v>
      </c>
      <c r="J3" s="31" t="e">
        <f>VLOOKUP(H1,'[1]RK FORN JAN 24'!$A$1:$M$122,13,FALSE)</f>
        <v>#N/A</v>
      </c>
      <c r="K3" s="30">
        <f>VLOOKUP(K1,'[1]RK FORN JAN 24'!$A$1:$M$122,8,FALSE)</f>
        <v>45047.31</v>
      </c>
      <c r="L3" s="31">
        <f>VLOOKUP(K1,'[1]RK FORN JAN 24'!$A$1:$M$122,12,FALSE)</f>
        <v>35.31</v>
      </c>
      <c r="M3" s="31">
        <f>VLOOKUP(K1,'[1]RK FORN JAN 24'!$A$1:$M$122,13,FALSE)</f>
        <v>3.69</v>
      </c>
      <c r="N3" s="30">
        <f>VLOOKUP(N1,'[1]RK FORN JAN 24'!$A$1:$M$122,8,FALSE)</f>
        <v>58380.54</v>
      </c>
      <c r="O3" s="31">
        <f>VLOOKUP(N1,'[1]RK FORN JAN 24'!$A$1:$M$122,12,FALSE)</f>
        <v>35.4</v>
      </c>
      <c r="P3" s="31">
        <f>VLOOKUP(N1,'[1]RK FORN JAN 24'!$A$1:$M$122,13,FALSE)</f>
        <v>4.79</v>
      </c>
      <c r="Q3" s="30">
        <f>VLOOKUP(Q1,'[1]RK FORN JAN 24'!$A$1:$M$122,8,FALSE)</f>
        <v>69135.397800000006</v>
      </c>
      <c r="R3" s="31">
        <f>VLOOKUP(Q1,'[1]RK FORN JAN 24'!$A$1:$M$122,12,FALSE)</f>
        <v>38.92</v>
      </c>
      <c r="S3" s="31">
        <f>VLOOKUP(Q1,'[1]RK FORN JAN 24'!$A$1:$M$122,13,FALSE)</f>
        <v>5.56</v>
      </c>
      <c r="T3" s="30">
        <f>VLOOKUP(T1,'[1]RK FORN JAN 24'!$A$1:$M$122,8,FALSE)</f>
        <v>55627.26</v>
      </c>
      <c r="U3" s="31">
        <f>VLOOKUP(T1,'[1]RK FORN JAN 24'!$A$1:$M$122,12,FALSE)</f>
        <v>35.869999999999997</v>
      </c>
      <c r="V3" s="31">
        <f>VLOOKUP(T1,'[1]RK FORN JAN 24'!$A$1:$M$122,13,FALSE)</f>
        <v>4.57</v>
      </c>
      <c r="W3" s="30">
        <f>VLOOKUP(W1,'[1]RK FORN JAN 24'!$A$1:$M$122,8,FALSE)</f>
        <v>109688.6525</v>
      </c>
      <c r="X3" s="31">
        <f>VLOOKUP(W1,'[1]RK FORN JAN 24'!$A$1:$M$122,12,FALSE)</f>
        <v>38.229999999999997</v>
      </c>
      <c r="Y3" s="31">
        <f>VLOOKUP(W1,'[1]RK FORN JAN 24'!$A$1:$M$122,13,FALSE)</f>
        <v>8.93</v>
      </c>
      <c r="Z3" s="30">
        <f>VLOOKUP(Z1,'[1]RK FORN JAN 24'!$A$1:$M$122,8,FALSE)</f>
        <v>26971.8848</v>
      </c>
      <c r="AA3" s="31">
        <f>VLOOKUP(Z1,'[1]RK FORN JAN 24'!$A$1:$M$122,12,FALSE)</f>
        <v>36.47</v>
      </c>
      <c r="AB3" s="31">
        <f>VLOOKUP(Z1,'[1]RK FORN JAN 24'!$A$1:$M$122,13,FALSE)</f>
        <v>2.17</v>
      </c>
      <c r="AC3" s="30">
        <f>VLOOKUP(AC1,'[1]RK FORN JAN 24'!$A$1:$M$122,8,FALSE)</f>
        <v>109688.6525</v>
      </c>
      <c r="AD3" s="31">
        <f>VLOOKUP(AC1,'[1]RK FORN JAN 24'!$A$1:$M$122,12,FALSE)</f>
        <v>38.229999999999997</v>
      </c>
      <c r="AE3" s="31">
        <f>VLOOKUP(AC1,'[1]RK FORN JAN 24'!$A$1:$M$122,13,FALSE)</f>
        <v>8.93</v>
      </c>
      <c r="AF3" s="30">
        <f>VLOOKUP(AF1,'[1]RK FORN JAN 24'!$A$1:$M$122,8,FALSE)</f>
        <v>40109.370000000003</v>
      </c>
      <c r="AG3" s="31">
        <f>VLOOKUP(AF1,'[1]RK FORN JAN 24'!$A$1:$M$122,12,FALSE)</f>
        <v>36.44</v>
      </c>
      <c r="AH3" s="31">
        <f>VLOOKUP(AF1,'[1]RK FORN JAN 24'!$A$1:$M$122,13,FALSE)</f>
        <v>3.37</v>
      </c>
      <c r="AI3" s="30">
        <f>VLOOKUP(AI1,'[1]RK FORN JAN 24'!$A$1:$M$122,8,FALSE)</f>
        <v>12393.963</v>
      </c>
      <c r="AJ3" s="31">
        <f>VLOOKUP(AI1,'[1]RK FORN JAN 24'!$A$1:$M$122,12,FALSE)</f>
        <v>35.74</v>
      </c>
      <c r="AK3" s="31">
        <f>VLOOKUP(AI1,'[1]RK FORN JAN 24'!$A$1:$M$122,13,FALSE)</f>
        <v>1</v>
      </c>
      <c r="AL3" s="30">
        <f>VLOOKUP(AL1,'[1]RK FORN JAN 24'!$A$1:$M$122,8,FALSE)</f>
        <v>16261.36</v>
      </c>
      <c r="AM3" s="31">
        <f>VLOOKUP(AL1,'[1]RK FORN JAN 24'!$A$1:$M$122,12,FALSE)</f>
        <v>45.18</v>
      </c>
      <c r="AN3" s="31">
        <f>VLOOKUP(AL1,'[1]RK FORN JAN 24'!$A$1:$M$122,13,FALSE)</f>
        <v>1.32</v>
      </c>
      <c r="AO3" s="30">
        <f>VLOOKUP(AO1,'[1]RK FORN JAN 24'!$A$1:$M$122,8,FALSE)</f>
        <v>27939.06</v>
      </c>
      <c r="AP3" s="31">
        <f>VLOOKUP(AO1,'[1]RK FORN JAN 24'!$A$1:$M$122,12,FALSE)</f>
        <v>14.68</v>
      </c>
      <c r="AQ3" s="31">
        <f>VLOOKUP(AO1,'[1]RK FORN JAN 24'!$A$1:$M$122,13,FALSE)</f>
        <v>2.2599999999999998</v>
      </c>
      <c r="AR3" s="30">
        <f>VLOOKUP(AR1,'[1]RK FORN JAN 24'!$A$1:$M$122,8,FALSE)</f>
        <v>38484.11</v>
      </c>
      <c r="AS3" s="31">
        <f>VLOOKUP(AR1,'[1]RK FORN JAN 24'!$A$1:$M$122,12,FALSE)</f>
        <v>22.93</v>
      </c>
      <c r="AT3" s="31">
        <f>VLOOKUP(AR1,'[1]RK FORN JAN 24'!$A$1:$M$122,13,FALSE)</f>
        <v>3.15</v>
      </c>
      <c r="AU3" s="30">
        <f>VLOOKUP(AU1,'[1]RK FORN JAN 24'!$A$1:$M$122,8,FALSE)</f>
        <v>35245.17</v>
      </c>
      <c r="AV3" s="31">
        <f>VLOOKUP(AU1,'[1]RK FORN JAN 24'!$A$1:$M$122,12,FALSE)</f>
        <v>39.51</v>
      </c>
      <c r="AW3" s="31">
        <f>VLOOKUP(AU1,'[1]RK FORN JAN 24'!$A$1:$M$122,13,FALSE)</f>
        <v>2.86</v>
      </c>
      <c r="AX3" s="30">
        <f>VLOOKUP(AX1,'[1]RK FORN JAN 24'!$A$1:$M$122,8,FALSE)</f>
        <v>936.03</v>
      </c>
      <c r="AY3" s="31">
        <f>VLOOKUP(AX1,'[1]RK FORN JAN 24'!$A$1:$M$122,12,FALSE)</f>
        <v>37.49</v>
      </c>
      <c r="AZ3" s="31">
        <f>VLOOKUP(AX1,'[1]RK FORN JAN 24'!$A$1:$M$122,13,FALSE)</f>
        <v>0.08</v>
      </c>
      <c r="BA3" s="30">
        <f>VLOOKUP(BA1,'[1]RK FORN JAN 24'!$A$1:$M$122,8,FALSE)</f>
        <v>8995.7800000000007</v>
      </c>
      <c r="BB3" s="31">
        <f>VLOOKUP(BA1,'[1]RK FORN JAN 24'!$A$1:$M$122,12,FALSE)</f>
        <v>39.4</v>
      </c>
      <c r="BC3" s="31">
        <f>VLOOKUP(BA1,'[1]RK FORN JAN 24'!$A$1:$M$122,13,FALSE)</f>
        <v>0.73</v>
      </c>
      <c r="BD3" s="30">
        <f>VLOOKUP(BD1,'[1]RK FORN JAN 24'!$A$1:$M$122,8,FALSE)</f>
        <v>13198.5</v>
      </c>
      <c r="BE3" s="31">
        <f>VLOOKUP(BD1,'[1]RK FORN JAN 24'!$A$1:$M$122,12,FALSE)</f>
        <v>51.01</v>
      </c>
      <c r="BF3" s="31">
        <f>VLOOKUP(BD1,'[1]RK FORN JAN 24'!$A$1:$M$122,13,FALSE)</f>
        <v>1.0900000000000001</v>
      </c>
      <c r="BG3" s="30">
        <f>VLOOKUP(BG1,'[1]RK FORN JAN 24'!$A$1:$M$122,8,FALSE)</f>
        <v>15693.36</v>
      </c>
      <c r="BH3" s="31">
        <f>VLOOKUP(BG1,'[1]RK FORN JAN 24'!$A$1:$M$122,12,FALSE)</f>
        <v>50.63</v>
      </c>
      <c r="BI3" s="31">
        <f>VLOOKUP(BG1,'[1]RK FORN JAN 24'!$A$1:$M$122,13,FALSE)</f>
        <v>1.27</v>
      </c>
      <c r="BJ3" s="31" t="e">
        <f>VLOOKUP(BJ1,'[1]RK FORN JAN 24'!$A$1:$M$122,8,FALSE)</f>
        <v>#N/A</v>
      </c>
      <c r="BK3" s="31" t="e">
        <f>VLOOKUP(BJ1,'[1]RK FORN JAN 24'!$A$1:$M$122,12,FALSE)</f>
        <v>#N/A</v>
      </c>
      <c r="BL3" s="31" t="e">
        <f>VLOOKUP(BJ1,'[1]RK FORN JAN 24'!$A$1:$M$122,13,FALSE)</f>
        <v>#N/A</v>
      </c>
      <c r="BM3" s="31" t="e">
        <f>VLOOKUP(BM1,'[1]RK FORN JAN 24'!$A$1:$M$122,8,FALSE)</f>
        <v>#N/A</v>
      </c>
      <c r="BN3" s="31" t="e">
        <f>VLOOKUP(BM1,'[1]RK FORN JAN 24'!$A$1:$M$122,12,FALSE)</f>
        <v>#N/A</v>
      </c>
      <c r="BO3" s="31" t="e">
        <f>VLOOKUP(BM1,'[1]RK FORN JAN 24'!$A$1:$M$122,13,FALSE)</f>
        <v>#N/A</v>
      </c>
      <c r="BP3" s="31" t="e">
        <f>VLOOKUP(BP1,'[1]RK FORN JAN 24'!$A$1:$M$122,8,FALSE)</f>
        <v>#N/A</v>
      </c>
      <c r="BQ3" s="31" t="e">
        <f>VLOOKUP(BP1,'[1]RK FORN JAN 24'!$A$1:$M$122,12,FALSE)</f>
        <v>#N/A</v>
      </c>
      <c r="BR3" s="31" t="e">
        <f>VLOOKUP(BP1,'[1]RK FORN JAN 24'!$A$1:$M$122,13,FALSE)</f>
        <v>#N/A</v>
      </c>
      <c r="BS3" s="31" t="e">
        <f>VLOOKUP(BS1,'[1]RK FORN JAN 24'!$A$1:$M$122,8,FALSE)</f>
        <v>#N/A</v>
      </c>
      <c r="BT3" s="31" t="e">
        <f>VLOOKUP(BS1,'[1]RK FORN JAN 24'!$A$1:$M$122,12,FALSE)</f>
        <v>#N/A</v>
      </c>
      <c r="BU3" s="31" t="e">
        <f>VLOOKUP(BS1,'[1]RK FORN JAN 24'!$A$1:$M$122,13,FALSE)</f>
        <v>#N/A</v>
      </c>
      <c r="BV3" s="30">
        <f>VLOOKUP(BV1,'[1]RK FORN JAN 24'!$A$1:$M$122,8,FALSE)</f>
        <v>11660.66</v>
      </c>
      <c r="BW3" s="31">
        <f>VLOOKUP(BV1,'[1]RK FORN JAN 24'!$A$1:$M$122,12,FALSE)</f>
        <v>39.43</v>
      </c>
      <c r="BX3" s="31">
        <f>VLOOKUP(BV1,'[1]RK FORN JAN 24'!$A$1:$M$122,13,FALSE)</f>
        <v>0.94</v>
      </c>
      <c r="BY3" s="30">
        <f>VLOOKUP(BY1,'[1]RK FORN JAN 24'!$A$1:$M$122,8,FALSE)</f>
        <v>10095.58</v>
      </c>
      <c r="BZ3" s="31">
        <f>VLOOKUP(BY1,'[1]RK FORN JAN 24'!$A$1:$M$122,12,FALSE)</f>
        <v>40.67</v>
      </c>
      <c r="CA3" s="31">
        <f>VLOOKUP(BY1,'[1]RK FORN JAN 24'!$A$1:$M$122,13,FALSE)</f>
        <v>0.83</v>
      </c>
      <c r="CB3" s="31" t="e">
        <f>VLOOKUP(CB1,'[1]RK FORN JAN 24'!$A$1:$M$122,8,FALSE)</f>
        <v>#N/A</v>
      </c>
      <c r="CC3" s="31" t="e">
        <f>VLOOKUP(CB1,'[1]RK FORN JAN 24'!$A$1:$M$122,12,FALSE)</f>
        <v>#N/A</v>
      </c>
      <c r="CD3" s="31" t="e">
        <f>VLOOKUP(CB1,'[1]RK FORN JAN 24'!$A$1:$M$122,13,FALSE)</f>
        <v>#N/A</v>
      </c>
      <c r="CE3" s="30">
        <f>VLOOKUP(CE1,'[1]RK FORN JAN 24'!$A$1:$M$122,8,FALSE)</f>
        <v>10410.06</v>
      </c>
      <c r="CF3" s="31">
        <f>VLOOKUP(CE1,'[1]RK FORN JAN 24'!$A$1:$M$122,12,FALSE)</f>
        <v>41.03</v>
      </c>
      <c r="CG3" s="31">
        <f>VLOOKUP(CE1,'[1]RK FORN JAN 24'!$A$1:$M$122,13,FALSE)</f>
        <v>0.84</v>
      </c>
      <c r="CH3" s="30">
        <f>VLOOKUP(CH1,'[1]RK FORN JAN 24'!$A$1:$M$122,8,FALSE)</f>
        <v>7816.37</v>
      </c>
      <c r="CI3" s="31">
        <f>VLOOKUP(CH1,'[1]RK FORN JAN 24'!$A$1:$M$122,12,FALSE)</f>
        <v>45.09</v>
      </c>
      <c r="CJ3" s="31">
        <f>VLOOKUP(CH1,'[1]RK FORN JAN 24'!$A$1:$M$122,13,FALSE)</f>
        <v>0.63</v>
      </c>
      <c r="CK3" s="30">
        <f>VLOOKUP(CK1,'[1]RK FORN JAN 24'!$A$1:$M$122,8,FALSE)</f>
        <v>8216.02</v>
      </c>
      <c r="CL3" s="31">
        <f>VLOOKUP(CK1,'[1]RK FORN JAN 24'!$A$1:$M$122,12,FALSE)</f>
        <v>38.17</v>
      </c>
      <c r="CM3" s="31">
        <f>VLOOKUP(CK1,'[1]RK FORN JAN 24'!$A$1:$M$122,13,FALSE)</f>
        <v>0.67</v>
      </c>
      <c r="CN3" s="30">
        <f>VLOOKUP(CN1,'[1]RK FORN JAN 24'!$A$1:$M$122,8,FALSE)</f>
        <v>6444.69</v>
      </c>
      <c r="CO3" s="31">
        <f>VLOOKUP(CN1,'[1]RK FORN JAN 24'!$A$1:$M$122,12,FALSE)</f>
        <v>41.58</v>
      </c>
      <c r="CP3" s="31">
        <f>VLOOKUP(CN1,'[1]RK FORN JAN 24'!$A$1:$M$122,13,FALSE)</f>
        <v>0.53</v>
      </c>
      <c r="CQ3" s="30">
        <f>VLOOKUP(CQ1,'[1]RK FORN JAN 24'!$A$1:$M$122,8,FALSE)</f>
        <v>3715.26</v>
      </c>
      <c r="CR3" s="31">
        <f>VLOOKUP(CQ1,'[1]RK FORN JAN 24'!$A$1:$M$122,12,FALSE)</f>
        <v>39.9</v>
      </c>
      <c r="CS3" s="31">
        <f>VLOOKUP(CQ1,'[1]RK FORN JAN 24'!$A$1:$M$122,13,FALSE)</f>
        <v>0.31</v>
      </c>
      <c r="CT3" s="30">
        <f>VLOOKUP(CT1,'[1]RK FORN JAN 24'!$A$1:$M$122,8,FALSE)</f>
        <v>2712.1</v>
      </c>
      <c r="CU3" s="31">
        <f>VLOOKUP(CT1,'[1]RK FORN JAN 24'!$A$1:$M$122,12,FALSE)</f>
        <v>36.200000000000003</v>
      </c>
      <c r="CV3" s="31">
        <f>VLOOKUP(CT1,'[1]RK FORN JAN 24'!$A$1:$M$122,13,FALSE)</f>
        <v>0.22</v>
      </c>
      <c r="CW3" s="30">
        <f>VLOOKUP(CW1,'[1]RK FORN JAN 24'!$A$1:$M$122,8,FALSE)</f>
        <v>4180.29</v>
      </c>
      <c r="CX3" s="31">
        <f>VLOOKUP(CW1,'[1]RK FORN JAN 24'!$A$1:$M$122,12,FALSE)</f>
        <v>40.409999999999997</v>
      </c>
      <c r="CY3" s="31">
        <f>VLOOKUP(CW1,'[1]RK FORN JAN 24'!$A$1:$M$122,13,FALSE)</f>
        <v>0.35</v>
      </c>
      <c r="CZ3" s="30">
        <f>VLOOKUP(CZ1,'[1]RK FORN JAN 24'!$A$1:$M$122,8,FALSE)</f>
        <v>5858.79</v>
      </c>
      <c r="DA3" s="31">
        <f>VLOOKUP(CZ1,'[1]RK FORN JAN 24'!$A$1:$M$122,12,FALSE)</f>
        <v>39.68</v>
      </c>
      <c r="DB3" s="31">
        <f>VLOOKUP(CZ1,'[1]RK FORN JAN 24'!$A$1:$M$122,13,FALSE)</f>
        <v>0.49</v>
      </c>
      <c r="DC3" s="31">
        <f>VLOOKUP(DC1,'[1]RK FORN JAN 24'!$A$1:$M$122,8,FALSE)</f>
        <v>465</v>
      </c>
      <c r="DD3" s="31">
        <f>VLOOKUP(DC1,'[1]RK FORN JAN 24'!$A$1:$M$122,12,FALSE)</f>
        <v>11.39</v>
      </c>
      <c r="DE3" s="31">
        <f>VLOOKUP(DC1,'[1]RK FORN JAN 24'!$A$1:$M$122,13,FALSE)</f>
        <v>0.05</v>
      </c>
      <c r="DF3" s="30">
        <f>VLOOKUP(DF1,'[1]RK FORN JAN 24'!$A$1:$M$122,8,FALSE)</f>
        <v>5288.29</v>
      </c>
      <c r="DG3" s="31">
        <f>VLOOKUP(DF1,'[1]RK FORN JAN 24'!$A$1:$M$122,12,FALSE)</f>
        <v>41.13</v>
      </c>
      <c r="DH3" s="31">
        <f>VLOOKUP(DF1,'[1]RK FORN JAN 24'!$A$1:$M$122,13,FALSE)</f>
        <v>0.45</v>
      </c>
      <c r="DI3" s="30">
        <f>VLOOKUP(DI1,'[1]RK FORN JAN 24'!$A$1:$M$122,8,FALSE)</f>
        <v>5563.19</v>
      </c>
      <c r="DJ3" s="31">
        <f>VLOOKUP(DI1,'[1]RK FORN JAN 24'!$A$1:$M$122,12,FALSE)</f>
        <v>39.130000000000003</v>
      </c>
      <c r="DK3" s="31">
        <f>VLOOKUP(DI1,'[1]RK FORN JAN 24'!$A$1:$M$122,13,FALSE)</f>
        <v>0.47</v>
      </c>
      <c r="DL3" s="30">
        <f>VLOOKUP(DL1,'[1]RK FORN JAN 24'!$A$1:$M$122,8,FALSE)</f>
        <v>16685.3</v>
      </c>
      <c r="DM3" s="31">
        <f>VLOOKUP(DL1,'[1]RK FORN JAN 24'!$A$1:$M$122,12,FALSE)</f>
        <v>32.17</v>
      </c>
      <c r="DN3" s="31">
        <f>VLOOKUP(DL1,'[1]RK FORN JAN 24'!$A$1:$M$122,13,FALSE)</f>
        <v>1.36</v>
      </c>
      <c r="DO3" s="30">
        <f>VLOOKUP(DO1,'[1]RK FORN JAN 24'!$A$1:$M$122,8,FALSE)</f>
        <v>20344.7</v>
      </c>
      <c r="DP3" s="31">
        <f>VLOOKUP(DO1,'[1]RK FORN JAN 24'!$A$1:$M$122,12,FALSE)</f>
        <v>22.34</v>
      </c>
      <c r="DQ3" s="31">
        <f>VLOOKUP(DO1,'[1]RK FORN JAN 24'!$A$1:$M$122,13,FALSE)</f>
        <v>1.66</v>
      </c>
      <c r="DR3" s="30">
        <f>VLOOKUP(DR1,'[1]RK FORN JAN 24'!$A$1:$M$122,8,FALSE)</f>
        <v>1759.1</v>
      </c>
      <c r="DS3" s="31">
        <f>VLOOKUP(DR1,'[1]RK FORN JAN 24'!$A$1:$M$122,12,FALSE)</f>
        <v>41.87</v>
      </c>
      <c r="DT3" s="31">
        <f>VLOOKUP(DR1,'[1]RK FORN JAN 24'!$A$1:$M$122,13,FALSE)</f>
        <v>0.14000000000000001</v>
      </c>
      <c r="DU3" s="30">
        <f>VLOOKUP(DU1,'[1]RK FORN JAN 24'!$A$1:$M$122,8,FALSE)</f>
        <v>852.2</v>
      </c>
      <c r="DV3" s="31">
        <f>VLOOKUP(DU1,'[1]RK FORN JAN 24'!$A$1:$M$122,12,FALSE)</f>
        <v>43.62</v>
      </c>
      <c r="DW3" s="31">
        <f>VLOOKUP(DU1,'[1]RK FORN JAN 24'!$A$1:$M$122,13,FALSE)</f>
        <v>7.0000000000000007E-2</v>
      </c>
      <c r="DX3" s="30">
        <f>VLOOKUP(DX1,'[1]RK FORN JAN 24'!$A$1:$M$122,8,FALSE)</f>
        <v>2202.96</v>
      </c>
      <c r="DY3" s="31">
        <f>VLOOKUP(DX1,'[1]RK FORN JAN 24'!$A$1:$M$122,12,FALSE)</f>
        <v>36.71</v>
      </c>
      <c r="DZ3" s="31">
        <f>VLOOKUP(DX1,'[1]RK FORN JAN 24'!$A$1:$M$122,13,FALSE)</f>
        <v>0.18</v>
      </c>
      <c r="EA3" s="30">
        <f>VLOOKUP(EA1,'[1]RK FORN JAN 24'!$A$1:$M$122,8,FALSE)</f>
        <v>2345.6669999999999</v>
      </c>
      <c r="EB3" s="31">
        <f>VLOOKUP(EA1,'[1]RK FORN JAN 24'!$A$1:$M$122,12,FALSE)</f>
        <v>37.950000000000003</v>
      </c>
      <c r="EC3" s="31">
        <f>VLOOKUP(EA1,'[1]RK FORN JAN 24'!$A$1:$M$122,13,FALSE)</f>
        <v>0.19</v>
      </c>
    </row>
    <row r="4" spans="1:133" x14ac:dyDescent="0.2">
      <c r="A4" s="32">
        <v>45323</v>
      </c>
      <c r="B4" s="30">
        <f>VLOOKUP(B1,'[2]RK FORN FEV 24'!$A$1:$M$125,8,FALSE)</f>
        <v>123395.1951</v>
      </c>
      <c r="C4" s="31">
        <f>VLOOKUP(B1,'[2]RK FORN FEV 24'!$A$1:$M$125,12,FALSE)</f>
        <v>34.68</v>
      </c>
      <c r="D4" s="31">
        <f>VLOOKUP(B1,'[2]RK FORN FEV 24'!$A$1:$M$125,13,FALSE)</f>
        <v>12.48</v>
      </c>
      <c r="E4" s="30">
        <f>VLOOKUP(E1,'[2]RK FORN FEV 24'!$A$1:$M$125,8,FALSE)</f>
        <v>70008.176000000007</v>
      </c>
      <c r="F4" s="31">
        <f>VLOOKUP(E1,'[2]RK FORN FEV 24'!$A$1:$M$125,12,FALSE)</f>
        <v>40.619999999999997</v>
      </c>
      <c r="G4" s="31">
        <f>VLOOKUP(E1,'[2]RK FORN FEV 24'!$A$1:$M$125,13,FALSE)</f>
        <v>7.15</v>
      </c>
      <c r="H4" s="31" t="e">
        <f>VLOOKUP(H1,'[2]RK FORN FEV 24'!$A$1:$M$125,8,FALSE)</f>
        <v>#N/A</v>
      </c>
      <c r="I4" s="31" t="e">
        <f>VLOOKUP(H1,'[2]RK FORN FEV 24'!$A$1:$M$125,12,FALSE)</f>
        <v>#N/A</v>
      </c>
      <c r="J4" s="31" t="e">
        <f>VLOOKUP(H1,'[2]RK FORN FEV 24'!$A$1:$M$125,13,FALSE)</f>
        <v>#N/A</v>
      </c>
      <c r="K4" s="30">
        <f>VLOOKUP(K1,'[2]RK FORN FEV 24'!$A$1:$M$125,8,FALSE)</f>
        <v>42025.68</v>
      </c>
      <c r="L4" s="31">
        <f>VLOOKUP(K1,'[2]RK FORN FEV 24'!$A$1:$M$125,12,FALSE)</f>
        <v>31.04</v>
      </c>
      <c r="M4" s="31">
        <f>VLOOKUP(K1,'[2]RK FORN FEV 24'!$A$1:$M$125,13,FALSE)</f>
        <v>4.26</v>
      </c>
      <c r="N4" s="30">
        <f>VLOOKUP(N1,'[2]RK FORN FEV 24'!$A$1:$M$125,8,FALSE)</f>
        <v>52369.84</v>
      </c>
      <c r="O4" s="31">
        <f>VLOOKUP(N1,'[2]RK FORN FEV 24'!$A$1:$M$125,12,FALSE)</f>
        <v>35.15</v>
      </c>
      <c r="P4" s="31">
        <f>VLOOKUP(N1,'[2]RK FORN FEV 24'!$A$1:$M$125,13,FALSE)</f>
        <v>5.35</v>
      </c>
      <c r="Q4" s="30">
        <f>VLOOKUP(Q1,'[2]RK FORN FEV 24'!$A$1:$M$125,8,FALSE)</f>
        <v>61033.877200000003</v>
      </c>
      <c r="R4" s="31">
        <f>VLOOKUP(Q1,'[2]RK FORN FEV 24'!$A$1:$M$125,12,FALSE)</f>
        <v>34.119999999999997</v>
      </c>
      <c r="S4" s="31">
        <f>VLOOKUP(Q1,'[2]RK FORN FEV 24'!$A$1:$M$125,13,FALSE)</f>
        <v>6.37</v>
      </c>
      <c r="T4" s="30">
        <f>VLOOKUP(T1,'[2]RK FORN FEV 24'!$A$1:$M$125,8,FALSE)</f>
        <v>49592.37</v>
      </c>
      <c r="U4" s="31">
        <f>VLOOKUP(T1,'[2]RK FORN FEV 24'!$A$1:$M$125,12,FALSE)</f>
        <v>33.700000000000003</v>
      </c>
      <c r="V4" s="31">
        <f>VLOOKUP(T1,'[2]RK FORN FEV 24'!$A$1:$M$125,13,FALSE)</f>
        <v>5.04</v>
      </c>
      <c r="W4" s="30">
        <f>VLOOKUP(W1,'[2]RK FORN FEV 24'!$A$1:$M$125,8,FALSE)</f>
        <v>65031.957199999997</v>
      </c>
      <c r="X4" s="31">
        <f>VLOOKUP(W1,'[2]RK FORN FEV 24'!$A$1:$M$125,12,FALSE)</f>
        <v>36.65</v>
      </c>
      <c r="Y4" s="31">
        <f>VLOOKUP(W1,'[2]RK FORN FEV 24'!$A$1:$M$125,13,FALSE)</f>
        <v>7.31</v>
      </c>
      <c r="Z4" s="30">
        <f>VLOOKUP(Z1,'[2]RK FORN FEV 24'!$A$1:$M$125,8,FALSE)</f>
        <v>9037.2932000000001</v>
      </c>
      <c r="AA4" s="31">
        <f>VLOOKUP(Z1,'[2]RK FORN FEV 24'!$A$1:$M$125,12,FALSE)</f>
        <v>32.29</v>
      </c>
      <c r="AB4" s="31">
        <f>VLOOKUP(Z1,'[2]RK FORN FEV 24'!$A$1:$M$125,13,FALSE)</f>
        <v>0.99</v>
      </c>
      <c r="AC4" s="30">
        <f>VLOOKUP(AC1,'[2]RK FORN FEV 24'!$A$1:$M$125,8,FALSE)</f>
        <v>65031.957199999997</v>
      </c>
      <c r="AD4" s="31">
        <f>VLOOKUP(AC1,'[2]RK FORN FEV 24'!$A$1:$M$125,12,FALSE)</f>
        <v>36.65</v>
      </c>
      <c r="AE4" s="31">
        <f>VLOOKUP(AC1,'[2]RK FORN FEV 24'!$A$1:$M$125,13,FALSE)</f>
        <v>7.31</v>
      </c>
      <c r="AF4" s="30">
        <f>VLOOKUP(AF1,'[2]RK FORN FEV 24'!$A$1:$M$125,8,FALSE)</f>
        <v>34285.33</v>
      </c>
      <c r="AG4" s="31">
        <f>VLOOKUP(AF1,'[2]RK FORN FEV 24'!$A$1:$M$125,12,FALSE)</f>
        <v>37.25</v>
      </c>
      <c r="AH4" s="31">
        <f>VLOOKUP(AF1,'[2]RK FORN FEV 24'!$A$1:$M$125,13,FALSE)</f>
        <v>3.45</v>
      </c>
      <c r="AI4" s="30">
        <f>VLOOKUP(AI1,'[2]RK FORN FEV 24'!$A$1:$M$125,8,FALSE)</f>
        <v>16851.0524</v>
      </c>
      <c r="AJ4" s="31">
        <f>VLOOKUP(AI1,'[2]RK FORN FEV 24'!$A$1:$M$125,12,FALSE)</f>
        <v>30.01</v>
      </c>
      <c r="AK4" s="31">
        <f>VLOOKUP(AI1,'[2]RK FORN FEV 24'!$A$1:$M$125,13,FALSE)</f>
        <v>1.69</v>
      </c>
      <c r="AL4" s="30">
        <f>VLOOKUP(AL1,'[2]RK FORN FEV 24'!$A$1:$M$125,8,FALSE)</f>
        <v>13831.29</v>
      </c>
      <c r="AM4" s="31">
        <f>VLOOKUP(AL1,'[2]RK FORN FEV 24'!$A$1:$M$125,12,FALSE)</f>
        <v>45.62</v>
      </c>
      <c r="AN4" s="31">
        <f>VLOOKUP(AL1,'[2]RK FORN FEV 24'!$A$1:$M$125,13,FALSE)</f>
        <v>1.39</v>
      </c>
      <c r="AO4" s="30">
        <f>VLOOKUP(AO1,'[2]RK FORN FEV 24'!$A$1:$M$125,8,FALSE)</f>
        <v>7450.62</v>
      </c>
      <c r="AP4" s="31">
        <f>VLOOKUP(AO1,'[2]RK FORN FEV 24'!$A$1:$M$125,12,FALSE)</f>
        <v>22.81</v>
      </c>
      <c r="AQ4" s="31">
        <f>VLOOKUP(AO1,'[2]RK FORN FEV 24'!$A$1:$M$125,13,FALSE)</f>
        <v>0.75</v>
      </c>
      <c r="AR4" s="30">
        <f>VLOOKUP(AR1,'[2]RK FORN FEV 24'!$A$1:$M$125,8,FALSE)</f>
        <v>20510.599999999999</v>
      </c>
      <c r="AS4" s="31">
        <f>VLOOKUP(AR1,'[2]RK FORN FEV 24'!$A$1:$M$125,12,FALSE)</f>
        <v>26.13</v>
      </c>
      <c r="AT4" s="31">
        <f>VLOOKUP(AR1,'[2]RK FORN FEV 24'!$A$1:$M$125,13,FALSE)</f>
        <v>2.09</v>
      </c>
      <c r="AU4" s="30">
        <f>VLOOKUP(AU1,'[2]RK FORN FEV 24'!$A$1:$M$125,8,FALSE)</f>
        <v>29933.61</v>
      </c>
      <c r="AV4" s="31">
        <f>VLOOKUP(AU1,'[2]RK FORN FEV 24'!$A$1:$M$125,12,FALSE)</f>
        <v>38.06</v>
      </c>
      <c r="AW4" s="31">
        <f>VLOOKUP(AU1,'[2]RK FORN FEV 24'!$A$1:$M$125,13,FALSE)</f>
        <v>3.15</v>
      </c>
      <c r="AX4" s="30">
        <f>VLOOKUP(AX1,'[2]RK FORN FEV 24'!$A$1:$M$125,8,FALSE)</f>
        <v>924.78</v>
      </c>
      <c r="AY4" s="31">
        <f>VLOOKUP(AX1,'[2]RK FORN FEV 24'!$A$1:$M$125,12,FALSE)</f>
        <v>19.75</v>
      </c>
      <c r="AZ4" s="31">
        <f>VLOOKUP(AX1,'[2]RK FORN FEV 24'!$A$1:$M$125,13,FALSE)</f>
        <v>0.09</v>
      </c>
      <c r="BA4" s="30">
        <f>VLOOKUP(BA1,'[2]RK FORN FEV 24'!$A$1:$M$125,8,FALSE)</f>
        <v>5668.27</v>
      </c>
      <c r="BB4" s="31">
        <f>VLOOKUP(BA1,'[2]RK FORN FEV 24'!$A$1:$M$125,12,FALSE)</f>
        <v>38.979999999999997</v>
      </c>
      <c r="BC4" s="31">
        <f>VLOOKUP(BA1,'[2]RK FORN FEV 24'!$A$1:$M$125,13,FALSE)</f>
        <v>0.56999999999999995</v>
      </c>
      <c r="BD4" s="30">
        <f>VLOOKUP(BD1,'[2]RK FORN FEV 24'!$A$1:$M$125,8,FALSE)</f>
        <v>11975.46</v>
      </c>
      <c r="BE4" s="31">
        <f>VLOOKUP(BD1,'[2]RK FORN FEV 24'!$A$1:$M$125,12,FALSE)</f>
        <v>52.25</v>
      </c>
      <c r="BF4" s="31">
        <f>VLOOKUP(BD1,'[2]RK FORN FEV 24'!$A$1:$M$125,13,FALSE)</f>
        <v>1.22</v>
      </c>
      <c r="BG4" s="30">
        <f>VLOOKUP(BG1,'[2]RK FORN FEV 24'!$A$1:$M$125,8,FALSE)</f>
        <v>9580.23</v>
      </c>
      <c r="BH4" s="31">
        <f>VLOOKUP(BG1,'[2]RK FORN FEV 24'!$A$1:$M$125,12,FALSE)</f>
        <v>51.46</v>
      </c>
      <c r="BI4" s="31">
        <f>VLOOKUP(BG1,'[2]RK FORN FEV 24'!$A$1:$M$125,13,FALSE)</f>
        <v>0.97</v>
      </c>
      <c r="BJ4" s="31" t="e">
        <f>VLOOKUP(BJ1,'[2]RK FORN FEV 24'!$A$1:$M$125,8,FALSE)</f>
        <v>#N/A</v>
      </c>
      <c r="BK4" s="31" t="e">
        <f>VLOOKUP(BJ1,'[2]RK FORN FEV 24'!$A$1:$M$125,12,FALSE)</f>
        <v>#N/A</v>
      </c>
      <c r="BL4" s="31" t="e">
        <f>VLOOKUP(BJ1,'[2]RK FORN FEV 24'!$A$1:$M$125,13,FALSE)</f>
        <v>#N/A</v>
      </c>
      <c r="BM4" s="31" t="e">
        <f>VLOOKUP(BM1,'[2]RK FORN FEV 24'!$A$1:$M$125,8,FALSE)</f>
        <v>#N/A</v>
      </c>
      <c r="BN4" s="31" t="e">
        <f>VLOOKUP(BM1,'[2]RK FORN FEV 24'!$A$1:$M$125,12,FALSE)</f>
        <v>#N/A</v>
      </c>
      <c r="BO4" s="31" t="e">
        <f>VLOOKUP(BM1,'[2]RK FORN FEV 24'!$A$1:$M$125,13,FALSE)</f>
        <v>#N/A</v>
      </c>
      <c r="BP4" s="31" t="e">
        <f>VLOOKUP(BP1,'[2]RK FORN FEV 24'!$A$1:$M$125,8,FALSE)</f>
        <v>#N/A</v>
      </c>
      <c r="BQ4" s="31" t="e">
        <f>VLOOKUP(BP1,'[2]RK FORN FEV 24'!$A$1:$M$125,12,FALSE)</f>
        <v>#N/A</v>
      </c>
      <c r="BR4" s="31" t="e">
        <f>VLOOKUP(BP1,'[2]RK FORN FEV 24'!$A$1:$M$125,13,FALSE)</f>
        <v>#N/A</v>
      </c>
      <c r="BS4" s="31" t="e">
        <f>VLOOKUP(BS1,'[2]RK FORN FEV 24'!$A$1:$M$125,8,FALSE)</f>
        <v>#N/A</v>
      </c>
      <c r="BT4" s="31" t="e">
        <f>VLOOKUP(BS1,'[2]RK FORN FEV 24'!$A$1:$M$125,12,FALSE)</f>
        <v>#N/A</v>
      </c>
      <c r="BU4" s="31" t="e">
        <f>VLOOKUP(BS1,'[2]RK FORN FEV 24'!$A$1:$M$125,13,FALSE)</f>
        <v>#N/A</v>
      </c>
      <c r="BV4" s="30">
        <f>VLOOKUP(BV1,'[2]RK FORN FEV 24'!$A$1:$M$125,8,FALSE)</f>
        <v>6596.8</v>
      </c>
      <c r="BW4" s="31">
        <f>VLOOKUP(BV1,'[2]RK FORN FEV 24'!$A$1:$M$125,12,FALSE)</f>
        <v>39.35</v>
      </c>
      <c r="BX4" s="31">
        <f>VLOOKUP(BV1,'[2]RK FORN FEV 24'!$A$1:$M$125,13,FALSE)</f>
        <v>0.67</v>
      </c>
      <c r="BY4" s="30">
        <f>VLOOKUP(BY1,'[2]RK FORN FEV 24'!$A$1:$M$125,8,FALSE)</f>
        <v>7848.01</v>
      </c>
      <c r="BZ4" s="31">
        <f>VLOOKUP(BY1,'[2]RK FORN FEV 24'!$A$1:$M$125,12,FALSE)</f>
        <v>39.909999999999997</v>
      </c>
      <c r="CA4" s="31">
        <f>VLOOKUP(BY1,'[2]RK FORN FEV 24'!$A$1:$M$125,13,FALSE)</f>
        <v>0.81</v>
      </c>
      <c r="CB4" s="31" t="e">
        <f>VLOOKUP(CB1,'[2]RK FORN FEV 24'!$A$1:$M$125,8,FALSE)</f>
        <v>#N/A</v>
      </c>
      <c r="CC4" s="31" t="e">
        <f>VLOOKUP(CB1,'[2]RK FORN FEV 24'!$A$1:$M$125,12,FALSE)</f>
        <v>#N/A</v>
      </c>
      <c r="CD4" s="31" t="e">
        <f>VLOOKUP(CB1,'[2]RK FORN FEV 24'!$A$1:$M$125,13,FALSE)</f>
        <v>#N/A</v>
      </c>
      <c r="CE4" s="30">
        <f>VLOOKUP(CE1,'[2]RK FORN FEV 24'!$A$1:$M$125,8,FALSE)</f>
        <v>7221.7</v>
      </c>
      <c r="CF4" s="31">
        <f>VLOOKUP(CE1,'[2]RK FORN FEV 24'!$A$1:$M$125,12,FALSE)</f>
        <v>37.42</v>
      </c>
      <c r="CG4" s="31">
        <f>VLOOKUP(CE1,'[2]RK FORN FEV 24'!$A$1:$M$125,13,FALSE)</f>
        <v>0.72</v>
      </c>
      <c r="CH4" s="30">
        <f>VLOOKUP(CH1,'[2]RK FORN FEV 24'!$A$1:$M$125,8,FALSE)</f>
        <v>6137.32</v>
      </c>
      <c r="CI4" s="31">
        <f>VLOOKUP(CH1,'[2]RK FORN FEV 24'!$A$1:$M$125,12,FALSE)</f>
        <v>45.37</v>
      </c>
      <c r="CJ4" s="31">
        <f>VLOOKUP(CH1,'[2]RK FORN FEV 24'!$A$1:$M$125,13,FALSE)</f>
        <v>0.62</v>
      </c>
      <c r="CK4" s="30">
        <f>VLOOKUP(CK1,'[2]RK FORN FEV 24'!$A$1:$M$125,8,FALSE)</f>
        <v>8527.7999999999993</v>
      </c>
      <c r="CL4" s="31">
        <f>VLOOKUP(CK1,'[2]RK FORN FEV 24'!$A$1:$M$125,12,FALSE)</f>
        <v>38.49</v>
      </c>
      <c r="CM4" s="31">
        <f>VLOOKUP(CK1,'[2]RK FORN FEV 24'!$A$1:$M$125,13,FALSE)</f>
        <v>0.85</v>
      </c>
      <c r="CN4" s="30">
        <f>VLOOKUP(CN1,'[2]RK FORN FEV 24'!$A$1:$M$125,8,FALSE)</f>
        <v>6494.82</v>
      </c>
      <c r="CO4" s="31">
        <f>VLOOKUP(CN1,'[2]RK FORN FEV 24'!$A$1:$M$125,12,FALSE)</f>
        <v>41.63</v>
      </c>
      <c r="CP4" s="31">
        <f>VLOOKUP(CN1,'[2]RK FORN FEV 24'!$A$1:$M$125,13,FALSE)</f>
        <v>0.66</v>
      </c>
      <c r="CQ4" s="30">
        <f>VLOOKUP(CQ1,'[2]RK FORN FEV 24'!$A$1:$M$125,8,FALSE)</f>
        <v>3173.83</v>
      </c>
      <c r="CR4" s="31">
        <f>VLOOKUP(CQ1,'[2]RK FORN FEV 24'!$A$1:$M$125,12,FALSE)</f>
        <v>40</v>
      </c>
      <c r="CS4" s="31">
        <f>VLOOKUP(CQ1,'[2]RK FORN FEV 24'!$A$1:$M$125,13,FALSE)</f>
        <v>0.33</v>
      </c>
      <c r="CT4" s="30">
        <f>VLOOKUP(CT1,'[2]RK FORN FEV 24'!$A$1:$M$125,8,FALSE)</f>
        <v>1146.25</v>
      </c>
      <c r="CU4" s="31">
        <f>VLOOKUP(CT1,'[2]RK FORN FEV 24'!$A$1:$M$125,12,FALSE)</f>
        <v>35.479999999999997</v>
      </c>
      <c r="CV4" s="31">
        <f>VLOOKUP(CT1,'[2]RK FORN FEV 24'!$A$1:$M$125,13,FALSE)</f>
        <v>0.11</v>
      </c>
      <c r="CW4" s="30">
        <f>VLOOKUP(CW1,'[2]RK FORN FEV 24'!$A$1:$M$125,8,FALSE)</f>
        <v>2688.78</v>
      </c>
      <c r="CX4" s="31">
        <f>VLOOKUP(CW1,'[2]RK FORN FEV 24'!$A$1:$M$125,12,FALSE)</f>
        <v>40.700000000000003</v>
      </c>
      <c r="CY4" s="31">
        <f>VLOOKUP(CW1,'[2]RK FORN FEV 24'!$A$1:$M$125,13,FALSE)</f>
        <v>0.27</v>
      </c>
      <c r="CZ4" s="30">
        <f>VLOOKUP(CZ1,'[2]RK FORN FEV 24'!$A$1:$M$125,8,FALSE)</f>
        <v>6008.5</v>
      </c>
      <c r="DA4" s="31">
        <f>VLOOKUP(CZ1,'[2]RK FORN FEV 24'!$A$1:$M$125,12,FALSE)</f>
        <v>40.01</v>
      </c>
      <c r="DB4" s="31">
        <f>VLOOKUP(CZ1,'[2]RK FORN FEV 24'!$A$1:$M$125,13,FALSE)</f>
        <v>0.62</v>
      </c>
      <c r="DC4" s="31" t="e">
        <f>VLOOKUP(DC1,'[2]RK FORN FEV 24'!$A$1:$M$125,8,FALSE)</f>
        <v>#N/A</v>
      </c>
      <c r="DD4" s="31" t="e">
        <f>VLOOKUP(DC1,'[2]RK FORN FEV 24'!$A$1:$M$125,12,FALSE)</f>
        <v>#N/A</v>
      </c>
      <c r="DE4" s="31" t="e">
        <f>VLOOKUP(DC1,'[2]RK FORN FEV 24'!$A$1:$M$125,13,FALSE)</f>
        <v>#N/A</v>
      </c>
      <c r="DF4" s="30">
        <f>VLOOKUP(DF1,'[2]RK FORN FEV 24'!$A$1:$M$125,8,FALSE)</f>
        <v>4285.3900000000003</v>
      </c>
      <c r="DG4" s="31">
        <f>VLOOKUP(DF1,'[2]RK FORN FEV 24'!$A$1:$M$125,12,FALSE)</f>
        <v>41.09</v>
      </c>
      <c r="DH4" s="31">
        <f>VLOOKUP(DF1,'[2]RK FORN FEV 24'!$A$1:$M$125,13,FALSE)</f>
        <v>0.44</v>
      </c>
      <c r="DI4" s="30">
        <f>VLOOKUP(DI1,'[2]RK FORN FEV 24'!$A$1:$M$125,8,FALSE)</f>
        <v>5331.94</v>
      </c>
      <c r="DJ4" s="31">
        <f>VLOOKUP(DI1,'[2]RK FORN FEV 24'!$A$1:$M$125,12,FALSE)</f>
        <v>37.74</v>
      </c>
      <c r="DK4" s="31">
        <f>VLOOKUP(DI1,'[2]RK FORN FEV 24'!$A$1:$M$125,13,FALSE)</f>
        <v>0.55000000000000004</v>
      </c>
      <c r="DL4" s="30">
        <f>VLOOKUP(DL1,'[2]RK FORN FEV 24'!$A$1:$M$125,8,FALSE)</f>
        <v>15453.09</v>
      </c>
      <c r="DM4" s="31">
        <f>VLOOKUP(DL1,'[2]RK FORN FEV 24'!$A$1:$M$125,12,FALSE)</f>
        <v>29.73</v>
      </c>
      <c r="DN4" s="31">
        <f>VLOOKUP(DL1,'[2]RK FORN FEV 24'!$A$1:$M$125,13,FALSE)</f>
        <v>1.57</v>
      </c>
      <c r="DO4" s="30">
        <f>VLOOKUP(DO1,'[2]RK FORN FEV 24'!$A$1:$M$125,8,FALSE)</f>
        <v>12358.46</v>
      </c>
      <c r="DP4" s="31">
        <f>VLOOKUP(DO1,'[2]RK FORN FEV 24'!$A$1:$M$125,12,FALSE)</f>
        <v>25.55</v>
      </c>
      <c r="DQ4" s="31">
        <f>VLOOKUP(DO1,'[2]RK FORN FEV 24'!$A$1:$M$125,13,FALSE)</f>
        <v>1.24</v>
      </c>
      <c r="DR4" s="30">
        <f>VLOOKUP(DR1,'[2]RK FORN FEV 24'!$A$1:$M$125,8,FALSE)</f>
        <v>1154.55</v>
      </c>
      <c r="DS4" s="31">
        <f>VLOOKUP(DR1,'[2]RK FORN FEV 24'!$A$1:$M$125,12,FALSE)</f>
        <v>40.270000000000003</v>
      </c>
      <c r="DT4" s="31">
        <f>VLOOKUP(DR1,'[2]RK FORN FEV 24'!$A$1:$M$125,13,FALSE)</f>
        <v>0.12</v>
      </c>
      <c r="DU4" s="30">
        <f>VLOOKUP(DU1,'[2]RK FORN FEV 24'!$A$1:$M$125,8,FALSE)</f>
        <v>543.20000000000005</v>
      </c>
      <c r="DV4" s="31">
        <f>VLOOKUP(DU1,'[2]RK FORN FEV 24'!$A$1:$M$125,12,FALSE)</f>
        <v>41.73</v>
      </c>
      <c r="DW4" s="31">
        <f>VLOOKUP(DU1,'[2]RK FORN FEV 24'!$A$1:$M$125,13,FALSE)</f>
        <v>0.05</v>
      </c>
      <c r="DX4" s="30">
        <f>VLOOKUP(DX1,'[2]RK FORN FEV 24'!$A$1:$M$125,8,FALSE)</f>
        <v>1891.3</v>
      </c>
      <c r="DY4" s="31">
        <f>VLOOKUP(DX1,'[2]RK FORN FEV 24'!$A$1:$M$125,12,FALSE)</f>
        <v>35.86</v>
      </c>
      <c r="DZ4" s="31">
        <f>VLOOKUP(DX1,'[2]RK FORN FEV 24'!$A$1:$M$125,13,FALSE)</f>
        <v>0.19</v>
      </c>
      <c r="EA4" s="30">
        <f>VLOOKUP(EA1,'[2]RK FORN FEV 24'!$A$1:$M$125,8,FALSE)</f>
        <v>5841.1310000000003</v>
      </c>
      <c r="EB4" s="31">
        <f>VLOOKUP(EA1,'[2]RK FORN FEV 24'!$A$1:$M$125,12,FALSE)</f>
        <v>31.4</v>
      </c>
      <c r="EC4" s="31">
        <f>VLOOKUP(EA1,'[2]RK FORN FEV 24'!$A$1:$M$125,13,FALSE)</f>
        <v>0.66</v>
      </c>
    </row>
    <row r="5" spans="1:133" x14ac:dyDescent="0.2">
      <c r="A5" s="32">
        <v>45352</v>
      </c>
      <c r="B5" s="30">
        <f>VLOOKUP(B1,'[3]RK FORN MAR 24'!$A$1:$M$118,8,FALSE)</f>
        <v>134502.63020000001</v>
      </c>
      <c r="C5" s="31">
        <f>VLOOKUP(B1,'[3]RK FORN MAR 24'!$A$1:$M$118,12,FALSE)</f>
        <v>35.6</v>
      </c>
      <c r="D5" s="31">
        <f>VLOOKUP(B1,'[3]RK FORN MAR 24'!$A$1:$M$118,13,FALSE)</f>
        <v>10.63</v>
      </c>
      <c r="E5" s="30">
        <f>VLOOKUP(E1,'[3]RK FORN MAR 24'!$A$1:$M$118,8,FALSE)</f>
        <v>87505.4764</v>
      </c>
      <c r="F5" s="31">
        <f>VLOOKUP(E1,'[3]RK FORN MAR 24'!$A$1:$M$118,12,FALSE)</f>
        <v>40.6</v>
      </c>
      <c r="G5" s="31">
        <f>VLOOKUP(E1,'[3]RK FORN MAR 24'!$A$1:$M$118,13,FALSE)</f>
        <v>6.92</v>
      </c>
      <c r="H5" s="31" t="e">
        <f>VLOOKUP(H1,'[3]RK FORN MAR 24'!$A$1:$M$118,8,FALSE)</f>
        <v>#N/A</v>
      </c>
      <c r="I5" s="31" t="e">
        <f>VLOOKUP(H1,'[3]RK FORN MAR 24'!$A$1:$M$118,12,FALSE)</f>
        <v>#N/A</v>
      </c>
      <c r="J5" s="31" t="e">
        <f>VLOOKUP(H1,'[3]RK FORN MAR 24'!$A$1:$M$118,13,FALSE)</f>
        <v>#N/A</v>
      </c>
      <c r="K5" s="30">
        <f>VLOOKUP(K1,'[3]RK FORN MAR 24'!$A$1:$M$118,8,FALSE)</f>
        <v>50930.09</v>
      </c>
      <c r="L5" s="31">
        <f>VLOOKUP(K1,'[3]RK FORN MAR 24'!$A$1:$M$118,12,FALSE)</f>
        <v>36.07</v>
      </c>
      <c r="M5" s="31">
        <f>VLOOKUP(K1,'[3]RK FORN MAR 24'!$A$1:$M$118,13,FALSE)</f>
        <v>3.99</v>
      </c>
      <c r="N5" s="30">
        <f>VLOOKUP(N1,'[3]RK FORN MAR 24'!$A$1:$M$118,8,FALSE)</f>
        <v>70954</v>
      </c>
      <c r="O5" s="31">
        <f>VLOOKUP(N1,'[3]RK FORN MAR 24'!$A$1:$M$118,12,FALSE)</f>
        <v>36.74</v>
      </c>
      <c r="P5" s="31">
        <f>VLOOKUP(N1,'[3]RK FORN MAR 24'!$A$1:$M$118,13,FALSE)</f>
        <v>5.57</v>
      </c>
      <c r="Q5" s="30">
        <f>VLOOKUP(Q1,'[3]RK FORN MAR 24'!$A$1:$M$118,8,FALSE)</f>
        <v>52022.229899999998</v>
      </c>
      <c r="R5" s="31">
        <f>VLOOKUP(Q1,'[3]RK FORN MAR 24'!$A$1:$M$118,12,FALSE)</f>
        <v>39.07</v>
      </c>
      <c r="S5" s="31">
        <f>VLOOKUP(Q1,'[3]RK FORN MAR 24'!$A$1:$M$118,13,FALSE)</f>
        <v>4.1100000000000003</v>
      </c>
      <c r="T5" s="30">
        <f>VLOOKUP(T1,'[3]RK FORN MAR 24'!$A$1:$M$118,8,FALSE)</f>
        <v>47828.7</v>
      </c>
      <c r="U5" s="31">
        <f>VLOOKUP(T1,'[3]RK FORN MAR 24'!$A$1:$M$118,12,FALSE)</f>
        <v>35.56</v>
      </c>
      <c r="V5" s="31">
        <f>VLOOKUP(T1,'[3]RK FORN MAR 24'!$A$1:$M$118,13,FALSE)</f>
        <v>3.75</v>
      </c>
      <c r="W5" s="30">
        <f>VLOOKUP(W1,'[3]RK FORN MAR 24'!$A$1:$M$118,8,FALSE)</f>
        <v>198994.2543</v>
      </c>
      <c r="X5" s="31">
        <f>VLOOKUP(W1,'[3]RK FORN MAR 24'!$A$1:$M$118,12,FALSE)</f>
        <v>34.46</v>
      </c>
      <c r="Y5" s="31">
        <f>VLOOKUP(W1,'[3]RK FORN MAR 24'!$A$1:$M$118,13,FALSE)</f>
        <v>15.49</v>
      </c>
      <c r="Z5" s="30">
        <f>VLOOKUP(Z1,'[3]RK FORN MAR 24'!$A$1:$M$118,8,FALSE)</f>
        <v>57115.496500000001</v>
      </c>
      <c r="AA5" s="31">
        <f>VLOOKUP(Z1,'[3]RK FORN MAR 24'!$A$1:$M$118,12,FALSE)</f>
        <v>34.93</v>
      </c>
      <c r="AB5" s="31">
        <f>VLOOKUP(Z1,'[3]RK FORN MAR 24'!$A$1:$M$118,13,FALSE)</f>
        <v>4.4400000000000004</v>
      </c>
      <c r="AC5" s="30">
        <f>VLOOKUP(AC1,'[3]RK FORN MAR 24'!$A$1:$M$118,8,FALSE)</f>
        <v>198994.2543</v>
      </c>
      <c r="AD5" s="31">
        <f>VLOOKUP(AC1,'[3]RK FORN MAR 24'!$A$1:$M$118,12,FALSE)</f>
        <v>34.46</v>
      </c>
      <c r="AE5" s="31">
        <f>VLOOKUP(AC1,'[3]RK FORN MAR 24'!$A$1:$M$118,13,FALSE)</f>
        <v>15.49</v>
      </c>
      <c r="AF5" s="30">
        <f>VLOOKUP(AF1,'[3]RK FORN MAR 24'!$A$1:$M$118,8,FALSE)</f>
        <v>34921.61</v>
      </c>
      <c r="AG5" s="31">
        <f>VLOOKUP(AF1,'[3]RK FORN MAR 24'!$A$1:$M$118,12,FALSE)</f>
        <v>34.799999999999997</v>
      </c>
      <c r="AH5" s="31">
        <f>VLOOKUP(AF1,'[3]RK FORN MAR 24'!$A$1:$M$118,13,FALSE)</f>
        <v>2.74</v>
      </c>
      <c r="AI5" s="30">
        <f>VLOOKUP(AI1,'[3]RK FORN MAR 24'!$A$1:$M$118,8,FALSE)</f>
        <v>9804.9330000000009</v>
      </c>
      <c r="AJ5" s="31">
        <f>VLOOKUP(AI1,'[3]RK FORN MAR 24'!$A$1:$M$118,12,FALSE)</f>
        <v>35.71</v>
      </c>
      <c r="AK5" s="31">
        <f>VLOOKUP(AI1,'[3]RK FORN MAR 24'!$A$1:$M$118,13,FALSE)</f>
        <v>0.76</v>
      </c>
      <c r="AL5" s="30">
        <f>VLOOKUP(AL1,'[3]RK FORN MAR 24'!$A$1:$M$118,8,FALSE)</f>
        <v>15523.02</v>
      </c>
      <c r="AM5" s="31">
        <f>VLOOKUP(AL1,'[3]RK FORN MAR 24'!$A$1:$M$118,12,FALSE)</f>
        <v>45.56</v>
      </c>
      <c r="AN5" s="31">
        <f>VLOOKUP(AL1,'[3]RK FORN MAR 24'!$A$1:$M$118,13,FALSE)</f>
        <v>1.21</v>
      </c>
      <c r="AO5" s="30">
        <f>VLOOKUP(AO1,'[3]RK FORN MAR 24'!$A$1:$M$118,8,FALSE)</f>
        <v>54281.68</v>
      </c>
      <c r="AP5" s="31">
        <f>VLOOKUP(AO1,'[3]RK FORN MAR 24'!$A$1:$M$118,12,FALSE)</f>
        <v>19.3</v>
      </c>
      <c r="AQ5" s="31">
        <f>VLOOKUP(AO1,'[3]RK FORN MAR 24'!$A$1:$M$118,13,FALSE)</f>
        <v>4.2300000000000004</v>
      </c>
      <c r="AR5" s="30">
        <f>VLOOKUP(AR1,'[3]RK FORN MAR 24'!$A$1:$M$118,8,FALSE)</f>
        <v>17786.88</v>
      </c>
      <c r="AS5" s="31">
        <f>VLOOKUP(AR1,'[3]RK FORN MAR 24'!$A$1:$M$118,12,FALSE)</f>
        <v>29.38</v>
      </c>
      <c r="AT5" s="31">
        <f>VLOOKUP(AR1,'[3]RK FORN MAR 24'!$A$1:$M$118,13,FALSE)</f>
        <v>1.38</v>
      </c>
      <c r="AU5" s="30">
        <f>VLOOKUP(AU1,'[3]RK FORN MAR 24'!$A$1:$M$118,8,FALSE)</f>
        <v>32152.93</v>
      </c>
      <c r="AV5" s="31">
        <f>VLOOKUP(AU1,'[3]RK FORN MAR 24'!$A$1:$M$118,12,FALSE)</f>
        <v>38.47</v>
      </c>
      <c r="AW5" s="31">
        <f>VLOOKUP(AU1,'[3]RK FORN MAR 24'!$A$1:$M$118,13,FALSE)</f>
        <v>2.62</v>
      </c>
      <c r="AX5" s="30">
        <f>VLOOKUP(AX1,'[3]RK FORN MAR 24'!$A$1:$M$118,8,FALSE)</f>
        <v>435.3</v>
      </c>
      <c r="AY5" s="31">
        <f>VLOOKUP(AX1,'[3]RK FORN MAR 24'!$A$1:$M$118,12,FALSE)</f>
        <v>30.57</v>
      </c>
      <c r="AZ5" s="31">
        <f>VLOOKUP(AX1,'[3]RK FORN MAR 24'!$A$1:$M$118,13,FALSE)</f>
        <v>0.03</v>
      </c>
      <c r="BA5" s="30">
        <f>VLOOKUP(BA1,'[3]RK FORN MAR 24'!$A$1:$M$118,8,FALSE)</f>
        <v>6974.31</v>
      </c>
      <c r="BB5" s="31">
        <f>VLOOKUP(BA1,'[3]RK FORN MAR 24'!$A$1:$M$118,12,FALSE)</f>
        <v>38.65</v>
      </c>
      <c r="BC5" s="31">
        <f>VLOOKUP(BA1,'[3]RK FORN MAR 24'!$A$1:$M$118,13,FALSE)</f>
        <v>0.56000000000000005</v>
      </c>
      <c r="BD5" s="30">
        <f>VLOOKUP(BD1,'[3]RK FORN MAR 24'!$A$1:$M$118,8,FALSE)</f>
        <v>13813.91</v>
      </c>
      <c r="BE5" s="31">
        <f>VLOOKUP(BD1,'[3]RK FORN MAR 24'!$A$1:$M$118,12,FALSE)</f>
        <v>51.57</v>
      </c>
      <c r="BF5" s="31">
        <f>VLOOKUP(BD1,'[3]RK FORN MAR 24'!$A$1:$M$118,13,FALSE)</f>
        <v>1.1100000000000001</v>
      </c>
      <c r="BG5" s="30">
        <f>VLOOKUP(BG1,'[3]RK FORN MAR 24'!$A$1:$M$118,8,FALSE)</f>
        <v>13088.13</v>
      </c>
      <c r="BH5" s="31">
        <f>VLOOKUP(BG1,'[3]RK FORN MAR 24'!$A$1:$M$118,12,FALSE)</f>
        <v>48.71</v>
      </c>
      <c r="BI5" s="31">
        <f>VLOOKUP(BG1,'[3]RK FORN MAR 24'!$A$1:$M$118,13,FALSE)</f>
        <v>1.03</v>
      </c>
      <c r="BJ5" s="31" t="e">
        <f>VLOOKUP(BJ1,'[3]RK FORN MAR 24'!$A$1:$M$118,8,FALSE)</f>
        <v>#N/A</v>
      </c>
      <c r="BK5" s="31" t="e">
        <f>VLOOKUP(BJ1,'[3]RK FORN MAR 24'!$A$1:$M$118,12,FALSE)</f>
        <v>#N/A</v>
      </c>
      <c r="BL5" s="31" t="e">
        <f>VLOOKUP(BJ1,'[3]RK FORN MAR 24'!$A$1:$M$118,13,FALSE)</f>
        <v>#N/A</v>
      </c>
      <c r="BM5" s="31" t="e">
        <f>VLOOKUP(BM1,'[3]RK FORN MAR 24'!$A$1:$M$118,8,FALSE)</f>
        <v>#N/A</v>
      </c>
      <c r="BN5" s="31" t="e">
        <f>VLOOKUP(BM1,'[3]RK FORN MAR 24'!$A$1:$M$118,12,FALSE)</f>
        <v>#N/A</v>
      </c>
      <c r="BO5" s="31" t="e">
        <f>VLOOKUP(BM1,'[3]RK FORN MAR 24'!$A$1:$M$118,13,FALSE)</f>
        <v>#N/A</v>
      </c>
      <c r="BP5" s="31" t="e">
        <f>VLOOKUP(BP1,'[3]RK FORN MAR 24'!$A$1:$M$118,8,FALSE)</f>
        <v>#N/A</v>
      </c>
      <c r="BQ5" s="31" t="e">
        <f>VLOOKUP(BP1,'[3]RK FORN MAR 24'!$A$1:$M$118,12,FALSE)</f>
        <v>#N/A</v>
      </c>
      <c r="BR5" s="31" t="e">
        <f>VLOOKUP(BP1,'[3]RK FORN MAR 24'!$A$1:$M$118,13,FALSE)</f>
        <v>#N/A</v>
      </c>
      <c r="BS5" s="31" t="e">
        <f>VLOOKUP(BS1,'[3]RK FORN MAR 24'!$A$1:$M$118,8,FALSE)</f>
        <v>#N/A</v>
      </c>
      <c r="BT5" s="31" t="e">
        <f>VLOOKUP(BS1,'[3]RK FORN MAR 24'!$A$1:$M$118,12,FALSE)</f>
        <v>#N/A</v>
      </c>
      <c r="BU5" s="31" t="e">
        <f>VLOOKUP(BS1,'[3]RK FORN MAR 24'!$A$1:$M$118,13,FALSE)</f>
        <v>#N/A</v>
      </c>
      <c r="BV5" s="30">
        <f>VLOOKUP(BV1,'[3]RK FORN MAR 24'!$A$1:$M$118,8,FALSE)</f>
        <v>8109.39</v>
      </c>
      <c r="BW5" s="31">
        <f>VLOOKUP(BV1,'[3]RK FORN MAR 24'!$A$1:$M$118,12,FALSE)</f>
        <v>39.380000000000003</v>
      </c>
      <c r="BX5" s="31">
        <f>VLOOKUP(BV1,'[3]RK FORN MAR 24'!$A$1:$M$118,13,FALSE)</f>
        <v>0.65</v>
      </c>
      <c r="BY5" s="30">
        <f>VLOOKUP(BY1,'[3]RK FORN MAR 24'!$A$1:$M$118,8,FALSE)</f>
        <v>10790.78</v>
      </c>
      <c r="BZ5" s="31">
        <f>VLOOKUP(BY1,'[3]RK FORN MAR 24'!$A$1:$M$118,12,FALSE)</f>
        <v>40.29</v>
      </c>
      <c r="CA5" s="31">
        <f>VLOOKUP(BY1,'[3]RK FORN MAR 24'!$A$1:$M$118,13,FALSE)</f>
        <v>0.88</v>
      </c>
      <c r="CB5" s="31" t="e">
        <f>VLOOKUP(CB1,'[3]RK FORN MAR 24'!$A$1:$M$118,8,FALSE)</f>
        <v>#N/A</v>
      </c>
      <c r="CC5" s="31" t="e">
        <f>VLOOKUP(CB1,'[3]RK FORN MAR 24'!$A$1:$M$118,12,FALSE)</f>
        <v>#N/A</v>
      </c>
      <c r="CD5" s="31" t="e">
        <f>VLOOKUP(CB1,'[3]RK FORN MAR 24'!$A$1:$M$118,13,FALSE)</f>
        <v>#N/A</v>
      </c>
      <c r="CE5" s="30">
        <f>VLOOKUP(CE1,'[3]RK FORN MAR 24'!$A$1:$M$118,8,FALSE)</f>
        <v>8305.73</v>
      </c>
      <c r="CF5" s="31">
        <f>VLOOKUP(CE1,'[3]RK FORN MAR 24'!$A$1:$M$118,12,FALSE)</f>
        <v>36.93</v>
      </c>
      <c r="CG5" s="31">
        <f>VLOOKUP(CE1,'[3]RK FORN MAR 24'!$A$1:$M$118,13,FALSE)</f>
        <v>0.65</v>
      </c>
      <c r="CH5" s="30">
        <f>VLOOKUP(CH1,'[3]RK FORN MAR 24'!$A$1:$M$118,8,FALSE)</f>
        <v>6633.62</v>
      </c>
      <c r="CI5" s="31">
        <f>VLOOKUP(CH1,'[3]RK FORN MAR 24'!$A$1:$M$118,12,FALSE)</f>
        <v>46.08</v>
      </c>
      <c r="CJ5" s="31">
        <f>VLOOKUP(CH1,'[3]RK FORN MAR 24'!$A$1:$M$118,13,FALSE)</f>
        <v>0.52</v>
      </c>
      <c r="CK5" s="30">
        <f>VLOOKUP(CK1,'[3]RK FORN MAR 24'!$A$1:$M$118,8,FALSE)</f>
        <v>10298.17</v>
      </c>
      <c r="CL5" s="31">
        <f>VLOOKUP(CK1,'[3]RK FORN MAR 24'!$A$1:$M$118,12,FALSE)</f>
        <v>37.229999999999997</v>
      </c>
      <c r="CM5" s="31">
        <f>VLOOKUP(CK1,'[3]RK FORN MAR 24'!$A$1:$M$118,13,FALSE)</f>
        <v>0.84</v>
      </c>
      <c r="CN5" s="30">
        <f>VLOOKUP(CN1,'[3]RK FORN MAR 24'!$A$1:$M$118,8,FALSE)</f>
        <v>6708.67</v>
      </c>
      <c r="CO5" s="31">
        <f>VLOOKUP(CN1,'[3]RK FORN MAR 24'!$A$1:$M$118,12,FALSE)</f>
        <v>41.73</v>
      </c>
      <c r="CP5" s="31">
        <f>VLOOKUP(CN1,'[3]RK FORN MAR 24'!$A$1:$M$118,13,FALSE)</f>
        <v>0.55000000000000004</v>
      </c>
      <c r="CQ5" s="30">
        <f>VLOOKUP(CQ1,'[3]RK FORN MAR 24'!$A$1:$M$118,8,FALSE)</f>
        <v>2773.56</v>
      </c>
      <c r="CR5" s="31">
        <f>VLOOKUP(CQ1,'[3]RK FORN MAR 24'!$A$1:$M$118,12,FALSE)</f>
        <v>40.049999999999997</v>
      </c>
      <c r="CS5" s="31">
        <f>VLOOKUP(CQ1,'[3]RK FORN MAR 24'!$A$1:$M$118,13,FALSE)</f>
        <v>0.22</v>
      </c>
      <c r="CT5" s="30">
        <f>VLOOKUP(CT1,'[3]RK FORN MAR 24'!$A$1:$M$118,8,FALSE)</f>
        <v>6569.16</v>
      </c>
      <c r="CU5" s="31">
        <f>VLOOKUP(CT1,'[3]RK FORN MAR 24'!$A$1:$M$118,12,FALSE)</f>
        <v>31.13</v>
      </c>
      <c r="CV5" s="31">
        <f>VLOOKUP(CT1,'[3]RK FORN MAR 24'!$A$1:$M$118,13,FALSE)</f>
        <v>0.51</v>
      </c>
      <c r="CW5" s="30">
        <f>VLOOKUP(CW1,'[3]RK FORN MAR 24'!$A$1:$M$118,8,FALSE)</f>
        <v>4367.7700000000004</v>
      </c>
      <c r="CX5" s="31">
        <f>VLOOKUP(CW1,'[3]RK FORN MAR 24'!$A$1:$M$118,12,FALSE)</f>
        <v>39.44</v>
      </c>
      <c r="CY5" s="31">
        <f>VLOOKUP(CW1,'[3]RK FORN MAR 24'!$A$1:$M$118,13,FALSE)</f>
        <v>0.35</v>
      </c>
      <c r="CZ5" s="30">
        <f>VLOOKUP(CZ1,'[3]RK FORN MAR 24'!$A$1:$M$118,8,FALSE)</f>
        <v>6283.08</v>
      </c>
      <c r="DA5" s="31">
        <f>VLOOKUP(CZ1,'[3]RK FORN MAR 24'!$A$1:$M$118,12,FALSE)</f>
        <v>38.700000000000003</v>
      </c>
      <c r="DB5" s="31">
        <f>VLOOKUP(CZ1,'[3]RK FORN MAR 24'!$A$1:$M$118,13,FALSE)</f>
        <v>0.51</v>
      </c>
      <c r="DC5" s="31" t="e">
        <f>VLOOKUP(DC1,'[3]RK FORN MAR 24'!$A$1:$M$118,8,FALSE)</f>
        <v>#N/A</v>
      </c>
      <c r="DD5" s="31" t="e">
        <f>VLOOKUP(DC1,'[3]RK FORN MAR 24'!$A$1:$M$118,12,FALSE)</f>
        <v>#N/A</v>
      </c>
      <c r="DE5" s="31" t="e">
        <f>VLOOKUP(DC1,'[3]RK FORN MAR 24'!$A$1:$M$118,13,FALSE)</f>
        <v>#N/A</v>
      </c>
      <c r="DF5" s="30">
        <f>VLOOKUP(DF1,'[3]RK FORN MAR 24'!$A$1:$M$118,8,FALSE)</f>
        <v>6818.92</v>
      </c>
      <c r="DG5" s="31">
        <f>VLOOKUP(DF1,'[3]RK FORN MAR 24'!$A$1:$M$118,12,FALSE)</f>
        <v>41.78</v>
      </c>
      <c r="DH5" s="31">
        <f>VLOOKUP(DF1,'[3]RK FORN MAR 24'!$A$1:$M$118,13,FALSE)</f>
        <v>0.54</v>
      </c>
      <c r="DI5" s="30">
        <f>VLOOKUP(DI1,'[3]RK FORN MAR 24'!$A$1:$M$118,8,FALSE)</f>
        <v>3700.6</v>
      </c>
      <c r="DJ5" s="31">
        <f>VLOOKUP(DI1,'[3]RK FORN MAR 24'!$A$1:$M$118,12,FALSE)</f>
        <v>39</v>
      </c>
      <c r="DK5" s="31">
        <f>VLOOKUP(DI1,'[3]RK FORN MAR 24'!$A$1:$M$118,13,FALSE)</f>
        <v>0.31</v>
      </c>
      <c r="DL5" s="30">
        <f>VLOOKUP(DL1,'[3]RK FORN MAR 24'!$A$1:$M$118,8,FALSE)</f>
        <v>17228.59</v>
      </c>
      <c r="DM5" s="31">
        <f>VLOOKUP(DL1,'[3]RK FORN MAR 24'!$A$1:$M$118,12,FALSE)</f>
        <v>29.98</v>
      </c>
      <c r="DN5" s="31">
        <f>VLOOKUP(DL1,'[3]RK FORN MAR 24'!$A$1:$M$118,13,FALSE)</f>
        <v>1.37</v>
      </c>
      <c r="DO5" s="30">
        <f>VLOOKUP(DO1,'[3]RK FORN MAR 24'!$A$1:$M$118,8,FALSE)</f>
        <v>4885.54</v>
      </c>
      <c r="DP5" s="31">
        <f>VLOOKUP(DO1,'[3]RK FORN MAR 24'!$A$1:$M$118,12,FALSE)</f>
        <v>28.15</v>
      </c>
      <c r="DQ5" s="31">
        <f>VLOOKUP(DO1,'[3]RK FORN MAR 24'!$A$1:$M$118,13,FALSE)</f>
        <v>0.38</v>
      </c>
      <c r="DR5" s="30">
        <f>VLOOKUP(DR1,'[3]RK FORN MAR 24'!$A$1:$M$118,8,FALSE)</f>
        <v>1582.01</v>
      </c>
      <c r="DS5" s="31">
        <f>VLOOKUP(DR1,'[3]RK FORN MAR 24'!$A$1:$M$118,12,FALSE)</f>
        <v>43.28</v>
      </c>
      <c r="DT5" s="31">
        <f>VLOOKUP(DR1,'[3]RK FORN MAR 24'!$A$1:$M$118,13,FALSE)</f>
        <v>0.12</v>
      </c>
      <c r="DU5" s="30" t="e">
        <f>VLOOKUP(DU1,'[3]RK FORN MAR 24'!$A$1:$M$118,8,FALSE)</f>
        <v>#N/A</v>
      </c>
      <c r="DV5" s="31" t="e">
        <f>VLOOKUP(DU1,'[3]RK FORN MAR 24'!$A$1:$M$118,12,FALSE)</f>
        <v>#N/A</v>
      </c>
      <c r="DW5" s="31" t="e">
        <f>VLOOKUP(DU1,'[3]RK FORN MAR 24'!$A$1:$M$118,13,FALSE)</f>
        <v>#N/A</v>
      </c>
      <c r="DX5" s="30">
        <f>VLOOKUP(DX1,'[3]RK FORN MAR 24'!$A$1:$M$118,8,FALSE)</f>
        <v>1613.2</v>
      </c>
      <c r="DY5" s="31">
        <f>VLOOKUP(DX1,'[3]RK FORN MAR 24'!$A$1:$M$118,12,FALSE)</f>
        <v>34.94</v>
      </c>
      <c r="DZ5" s="31">
        <f>VLOOKUP(DX1,'[3]RK FORN MAR 24'!$A$1:$M$118,13,FALSE)</f>
        <v>0.13</v>
      </c>
      <c r="EA5" s="30">
        <f>VLOOKUP(EA1,'[3]RK FORN MAR 24'!$A$1:$M$118,8,FALSE)</f>
        <v>5336.8885</v>
      </c>
      <c r="EB5" s="31">
        <f>VLOOKUP(EA1,'[3]RK FORN MAR 24'!$A$1:$M$118,12,FALSE)</f>
        <v>36.85</v>
      </c>
      <c r="EC5" s="31">
        <f>VLOOKUP(EA1,'[3]RK FORN MAR 24'!$A$1:$M$118,13,FALSE)</f>
        <v>0.41</v>
      </c>
    </row>
    <row r="6" spans="1:133" x14ac:dyDescent="0.2">
      <c r="A6" s="32">
        <v>45383</v>
      </c>
      <c r="B6" s="30">
        <f>VLOOKUP(B1,'[4]RK FORN ABR 24'!$A$1:$M$121,8,FALSE)</f>
        <v>161545.46280000001</v>
      </c>
      <c r="C6" s="31">
        <f>VLOOKUP(B1,'[4]RK FORN ABR 24'!$A$1:$M$121,12,FALSE)</f>
        <v>36.44</v>
      </c>
      <c r="D6" s="31">
        <f>VLOOKUP(B1,'[4]RK FORN ABR 24'!$A$1:$M$121,13,FALSE)</f>
        <v>11.9</v>
      </c>
      <c r="E6" s="30">
        <f>VLOOKUP(E1,'[4]RK FORN ABR 24'!$A$1:$M$121,8,FALSE)</f>
        <v>92793.060100000002</v>
      </c>
      <c r="F6" s="31">
        <f>VLOOKUP(E1,'[4]RK FORN ABR 24'!$A$1:$M$121,12,FALSE)</f>
        <v>40.450000000000003</v>
      </c>
      <c r="G6" s="31">
        <f>VLOOKUP(E1,'[4]RK FORN ABR 24'!$A$1:$M$121,13,FALSE)</f>
        <v>6.87</v>
      </c>
      <c r="H6" s="31" t="e">
        <f>VLOOKUP(H1,'[4]RK FORN ABR 24'!$A$1:$M$121,8,FALSE)</f>
        <v>#N/A</v>
      </c>
      <c r="I6" s="31" t="e">
        <f>VLOOKUP(H1,'[4]RK FORN ABR 24'!$A$1:$M$121,12,FALSE)</f>
        <v>#N/A</v>
      </c>
      <c r="J6" s="31" t="e">
        <f>VLOOKUP(H1,'[4]RK FORN ABR 24'!$A$1:$M$121,13,FALSE)</f>
        <v>#N/A</v>
      </c>
      <c r="K6" s="30">
        <f>VLOOKUP(K1,'[4]RK FORN ABR 24'!$A$1:$M$121,8,FALSE)</f>
        <v>53087.8</v>
      </c>
      <c r="L6" s="31">
        <f>VLOOKUP(K1,'[4]RK FORN ABR 24'!$A$1:$M$121,12,FALSE)</f>
        <v>37.29</v>
      </c>
      <c r="M6" s="31">
        <f>VLOOKUP(K1,'[4]RK FORN ABR 24'!$A$1:$M$121,13,FALSE)</f>
        <v>3.98</v>
      </c>
      <c r="N6" s="30">
        <f>VLOOKUP(N1,'[4]RK FORN ABR 24'!$A$1:$M$121,8,FALSE)</f>
        <v>75799.08</v>
      </c>
      <c r="O6" s="31">
        <f>VLOOKUP(N1,'[4]RK FORN ABR 24'!$A$1:$M$121,12,FALSE)</f>
        <v>37.6</v>
      </c>
      <c r="P6" s="31">
        <f>VLOOKUP(N1,'[4]RK FORN ABR 24'!$A$1:$M$121,13,FALSE)</f>
        <v>5.64</v>
      </c>
      <c r="Q6" s="30">
        <f>VLOOKUP(Q1,'[4]RK FORN ABR 24'!$A$1:$M$121,8,FALSE)</f>
        <v>65252.141199999998</v>
      </c>
      <c r="R6" s="31">
        <f>VLOOKUP(Q1,'[4]RK FORN ABR 24'!$A$1:$M$121,12,FALSE)</f>
        <v>37.96</v>
      </c>
      <c r="S6" s="31">
        <f>VLOOKUP(Q1,'[4]RK FORN ABR 24'!$A$1:$M$121,13,FALSE)</f>
        <v>4.8600000000000003</v>
      </c>
      <c r="T6" s="30">
        <f>VLOOKUP(T1,'[4]RK FORN ABR 24'!$A$1:$M$121,8,FALSE)</f>
        <v>55923.29</v>
      </c>
      <c r="U6" s="31">
        <f>VLOOKUP(T1,'[4]RK FORN ABR 24'!$A$1:$M$121,12,FALSE)</f>
        <v>35.81</v>
      </c>
      <c r="V6" s="31">
        <f>VLOOKUP(T1,'[4]RK FORN ABR 24'!$A$1:$M$121,13,FALSE)</f>
        <v>4.2300000000000004</v>
      </c>
      <c r="W6" s="30">
        <f>VLOOKUP(W1,'[4]RK FORN ABR 24'!$A$1:$M$121,8,FALSE)</f>
        <v>222609.59959999999</v>
      </c>
      <c r="X6" s="31">
        <f>VLOOKUP(W1,'[4]RK FORN ABR 24'!$A$1:$M$121,12,FALSE)</f>
        <v>38.04</v>
      </c>
      <c r="Y6" s="31">
        <f>VLOOKUP(W1,'[4]RK FORN ABR 24'!$A$1:$M$121,13,FALSE)</f>
        <v>16.690000000000001</v>
      </c>
      <c r="Z6" s="30">
        <f>VLOOKUP(Z1,'[4]RK FORN ABR 24'!$A$1:$M$121,8,FALSE)</f>
        <v>26227.351699999999</v>
      </c>
      <c r="AA6" s="31">
        <f>VLOOKUP(Z1,'[4]RK FORN ABR 24'!$A$1:$M$121,12,FALSE)</f>
        <v>32.29</v>
      </c>
      <c r="AB6" s="31">
        <f>VLOOKUP(Z1,'[4]RK FORN ABR 24'!$A$1:$M$121,13,FALSE)</f>
        <v>1.93</v>
      </c>
      <c r="AC6" s="30">
        <f>VLOOKUP(AC1,'[4]RK FORN ABR 24'!$A$1:$M$121,8,FALSE)</f>
        <v>222609.59959999999</v>
      </c>
      <c r="AD6" s="31">
        <f>VLOOKUP(AC1,'[4]RK FORN ABR 24'!$A$1:$M$121,12,FALSE)</f>
        <v>38.04</v>
      </c>
      <c r="AE6" s="31">
        <f>VLOOKUP(AC1,'[4]RK FORN ABR 24'!$A$1:$M$121,13,FALSE)</f>
        <v>16.690000000000001</v>
      </c>
      <c r="AF6" s="30">
        <f>VLOOKUP(AF1,'[4]RK FORN ABR 24'!$A$1:$M$121,8,FALSE)</f>
        <v>39343.35</v>
      </c>
      <c r="AG6" s="31">
        <f>VLOOKUP(AF1,'[4]RK FORN ABR 24'!$A$1:$M$121,12,FALSE)</f>
        <v>33.82</v>
      </c>
      <c r="AH6" s="31">
        <f>VLOOKUP(AF1,'[4]RK FORN ABR 24'!$A$1:$M$121,13,FALSE)</f>
        <v>2.97</v>
      </c>
      <c r="AI6" s="30">
        <f>VLOOKUP(AI1,'[4]RK FORN ABR 24'!$A$1:$M$121,8,FALSE)</f>
        <v>11292.933499999999</v>
      </c>
      <c r="AJ6" s="31">
        <f>VLOOKUP(AI1,'[4]RK FORN ABR 24'!$A$1:$M$121,12,FALSE)</f>
        <v>35.51</v>
      </c>
      <c r="AK6" s="31">
        <f>VLOOKUP(AI1,'[4]RK FORN ABR 24'!$A$1:$M$121,13,FALSE)</f>
        <v>0.87</v>
      </c>
      <c r="AL6" s="30">
        <f>VLOOKUP(AL1,'[4]RK FORN ABR 24'!$A$1:$M$121,8,FALSE)</f>
        <v>13217.85</v>
      </c>
      <c r="AM6" s="31">
        <f>VLOOKUP(AL1,'[4]RK FORN ABR 24'!$A$1:$M$121,12,FALSE)</f>
        <v>45.58</v>
      </c>
      <c r="AN6" s="31">
        <f>VLOOKUP(AL1,'[4]RK FORN ABR 24'!$A$1:$M$121,13,FALSE)</f>
        <v>0.98</v>
      </c>
      <c r="AO6" s="30">
        <f>VLOOKUP(AO1,'[4]RK FORN ABR 24'!$A$1:$M$121,8,FALSE)</f>
        <v>69913.98</v>
      </c>
      <c r="AP6" s="31">
        <f>VLOOKUP(AO1,'[4]RK FORN ABR 24'!$A$1:$M$121,12,FALSE)</f>
        <v>13.2</v>
      </c>
      <c r="AQ6" s="31">
        <f>VLOOKUP(AO1,'[4]RK FORN ABR 24'!$A$1:$M$121,13,FALSE)</f>
        <v>5.18</v>
      </c>
      <c r="AR6" s="30">
        <f>VLOOKUP(AR1,'[4]RK FORN ABR 24'!$A$1:$M$121,8,FALSE)</f>
        <v>21020.57</v>
      </c>
      <c r="AS6" s="31">
        <f>VLOOKUP(AR1,'[4]RK FORN ABR 24'!$A$1:$M$121,12,FALSE)</f>
        <v>28.51</v>
      </c>
      <c r="AT6" s="31">
        <f>VLOOKUP(AR1,'[4]RK FORN ABR 24'!$A$1:$M$121,13,FALSE)</f>
        <v>1.59</v>
      </c>
      <c r="AU6" s="30">
        <f>VLOOKUP(AU1,'[4]RK FORN ABR 24'!$A$1:$M$121,8,FALSE)</f>
        <v>29627.11</v>
      </c>
      <c r="AV6" s="31">
        <f>VLOOKUP(AU1,'[4]RK FORN ABR 24'!$A$1:$M$121,12,FALSE)</f>
        <v>37.94</v>
      </c>
      <c r="AW6" s="31">
        <f>VLOOKUP(AU1,'[4]RK FORN ABR 24'!$A$1:$M$121,13,FALSE)</f>
        <v>2.3199999999999998</v>
      </c>
      <c r="AX6" s="30">
        <f>VLOOKUP(AX1,'[4]RK FORN ABR 24'!$A$1:$M$121,8,FALSE)</f>
        <v>447</v>
      </c>
      <c r="AY6" s="31">
        <f>VLOOKUP(AX1,'[4]RK FORN ABR 24'!$A$1:$M$121,12,FALSE)</f>
        <v>39.32</v>
      </c>
      <c r="AZ6" s="31">
        <f>VLOOKUP(AX1,'[4]RK FORN ABR 24'!$A$1:$M$121,13,FALSE)</f>
        <v>0.03</v>
      </c>
      <c r="BA6" s="30">
        <f>VLOOKUP(BA1,'[4]RK FORN ABR 24'!$A$1:$M$121,8,FALSE)</f>
        <v>7270.17</v>
      </c>
      <c r="BB6" s="31">
        <f>VLOOKUP(BA1,'[4]RK FORN ABR 24'!$A$1:$M$121,12,FALSE)</f>
        <v>36.78</v>
      </c>
      <c r="BC6" s="31">
        <f>VLOOKUP(BA1,'[4]RK FORN ABR 24'!$A$1:$M$121,13,FALSE)</f>
        <v>0.56000000000000005</v>
      </c>
      <c r="BD6" s="30">
        <f>VLOOKUP(BD1,'[4]RK FORN ABR 24'!$A$1:$M$121,8,FALSE)</f>
        <v>9124.16</v>
      </c>
      <c r="BE6" s="31">
        <f>VLOOKUP(BD1,'[4]RK FORN ABR 24'!$A$1:$M$121,12,FALSE)</f>
        <v>51.33</v>
      </c>
      <c r="BF6" s="31">
        <f>VLOOKUP(BD1,'[4]RK FORN ABR 24'!$A$1:$M$121,13,FALSE)</f>
        <v>0.69</v>
      </c>
      <c r="BG6" s="30">
        <f>VLOOKUP(BG1,'[4]RK FORN ABR 24'!$A$1:$M$121,8,FALSE)</f>
        <v>12549.54</v>
      </c>
      <c r="BH6" s="31">
        <f>VLOOKUP(BG1,'[4]RK FORN ABR 24'!$A$1:$M$121,12,FALSE)</f>
        <v>48.14</v>
      </c>
      <c r="BI6" s="31">
        <f>VLOOKUP(BG1,'[4]RK FORN ABR 24'!$A$1:$M$121,13,FALSE)</f>
        <v>0.96</v>
      </c>
      <c r="BJ6" s="31" t="e">
        <f>VLOOKUP(BJ1,'[4]RK FORN ABR 24'!$A$1:$M$121,8,FALSE)</f>
        <v>#N/A</v>
      </c>
      <c r="BK6" s="31" t="e">
        <f>VLOOKUP(BJ1,'[4]RK FORN ABR 24'!$A$1:$M$121,12,FALSE)</f>
        <v>#N/A</v>
      </c>
      <c r="BL6" s="31" t="e">
        <f>VLOOKUP(BJ1,'[4]RK FORN ABR 24'!$A$1:$M$121,13,FALSE)</f>
        <v>#N/A</v>
      </c>
      <c r="BM6" s="31" t="e">
        <f>VLOOKUP(BM1,'[4]RK FORN ABR 24'!$A$1:$M$121,8,FALSE)</f>
        <v>#N/A</v>
      </c>
      <c r="BN6" s="31" t="e">
        <f>VLOOKUP(BM1,'[4]RK FORN ABR 24'!$A$1:$M$121,12,FALSE)</f>
        <v>#N/A</v>
      </c>
      <c r="BO6" s="31" t="e">
        <f>VLOOKUP(BM1,'[4]RK FORN ABR 24'!$A$1:$M$121,13,FALSE)</f>
        <v>#N/A</v>
      </c>
      <c r="BP6" s="31" t="e">
        <f>VLOOKUP(BP1,'[4]RK FORN ABR 24'!$A$1:$M$121,8,FALSE)</f>
        <v>#N/A</v>
      </c>
      <c r="BQ6" s="31" t="e">
        <f>VLOOKUP(BP1,'[4]RK FORN ABR 24'!$A$1:$M$121,12,FALSE)</f>
        <v>#N/A</v>
      </c>
      <c r="BR6" s="31" t="e">
        <f>VLOOKUP(BP1,'[4]RK FORN ABR 24'!$A$1:$M$121,13,FALSE)</f>
        <v>#N/A</v>
      </c>
      <c r="BS6" s="31" t="e">
        <f>VLOOKUP(BS1,'[4]RK FORN ABR 24'!$A$1:$M$121,8,FALSE)</f>
        <v>#N/A</v>
      </c>
      <c r="BT6" s="31" t="e">
        <f>VLOOKUP(BS1,'[4]RK FORN ABR 24'!$A$1:$M$121,12,FALSE)</f>
        <v>#N/A</v>
      </c>
      <c r="BU6" s="31" t="e">
        <f>VLOOKUP(BS1,'[4]RK FORN ABR 24'!$A$1:$M$121,13,FALSE)</f>
        <v>#N/A</v>
      </c>
      <c r="BV6" s="30">
        <f>VLOOKUP(BV1,'[4]RK FORN ABR 24'!$A$1:$M$121,8,FALSE)</f>
        <v>7682.39</v>
      </c>
      <c r="BW6" s="31">
        <f>VLOOKUP(BV1,'[4]RK FORN ABR 24'!$A$1:$M$121,12,FALSE)</f>
        <v>40.03</v>
      </c>
      <c r="BX6" s="31">
        <f>VLOOKUP(BV1,'[4]RK FORN ABR 24'!$A$1:$M$121,13,FALSE)</f>
        <v>0.56999999999999995</v>
      </c>
      <c r="BY6" s="30">
        <f>VLOOKUP(BY1,'[4]RK FORN ABR 24'!$A$1:$M$121,8,FALSE)</f>
        <v>12624.81</v>
      </c>
      <c r="BZ6" s="31">
        <f>VLOOKUP(BY1,'[4]RK FORN ABR 24'!$A$1:$M$121,12,FALSE)</f>
        <v>39.729999999999997</v>
      </c>
      <c r="CA6" s="31">
        <f>VLOOKUP(BY1,'[4]RK FORN ABR 24'!$A$1:$M$121,13,FALSE)</f>
        <v>0.95</v>
      </c>
      <c r="CB6" s="31" t="e">
        <f>VLOOKUP(CB1,'[4]RK FORN ABR 24'!$A$1:$M$121,8,FALSE)</f>
        <v>#N/A</v>
      </c>
      <c r="CC6" s="31" t="e">
        <f>VLOOKUP(CB1,'[4]RK FORN ABR 24'!$A$1:$M$121,12,FALSE)</f>
        <v>#N/A</v>
      </c>
      <c r="CD6" s="31" t="e">
        <f>VLOOKUP(CB1,'[4]RK FORN ABR 24'!$A$1:$M$121,13,FALSE)</f>
        <v>#N/A</v>
      </c>
      <c r="CE6" s="30">
        <f>VLOOKUP(CE1,'[4]RK FORN ABR 24'!$A$1:$M$121,8,FALSE)</f>
        <v>12411.61</v>
      </c>
      <c r="CF6" s="31">
        <f>VLOOKUP(CE1,'[4]RK FORN ABR 24'!$A$1:$M$121,12,FALSE)</f>
        <v>36.35</v>
      </c>
      <c r="CG6" s="31">
        <f>VLOOKUP(CE1,'[4]RK FORN ABR 24'!$A$1:$M$121,13,FALSE)</f>
        <v>0.94</v>
      </c>
      <c r="CH6" s="30">
        <f>VLOOKUP(CH1,'[4]RK FORN ABR 24'!$A$1:$M$121,8,FALSE)</f>
        <v>13986.97</v>
      </c>
      <c r="CI6" s="31">
        <f>VLOOKUP(CH1,'[4]RK FORN ABR 24'!$A$1:$M$121,12,FALSE)</f>
        <v>47.76</v>
      </c>
      <c r="CJ6" s="31">
        <f>VLOOKUP(CH1,'[4]RK FORN ABR 24'!$A$1:$M$121,13,FALSE)</f>
        <v>1.03</v>
      </c>
      <c r="CK6" s="30">
        <f>VLOOKUP(CK1,'[4]RK FORN ABR 24'!$A$1:$M$121,8,FALSE)</f>
        <v>11398.15</v>
      </c>
      <c r="CL6" s="31">
        <f>VLOOKUP(CK1,'[4]RK FORN ABR 24'!$A$1:$M$121,12,FALSE)</f>
        <v>36.71</v>
      </c>
      <c r="CM6" s="31">
        <f>VLOOKUP(CK1,'[4]RK FORN ABR 24'!$A$1:$M$121,13,FALSE)</f>
        <v>0.87</v>
      </c>
      <c r="CN6" s="30">
        <f>VLOOKUP(CN1,'[4]RK FORN ABR 24'!$A$1:$M$121,8,FALSE)</f>
        <v>7648.9</v>
      </c>
      <c r="CO6" s="31">
        <f>VLOOKUP(CN1,'[4]RK FORN ABR 24'!$A$1:$M$121,12,FALSE)</f>
        <v>41.1</v>
      </c>
      <c r="CP6" s="31">
        <f>VLOOKUP(CN1,'[4]RK FORN ABR 24'!$A$1:$M$121,13,FALSE)</f>
        <v>0.57999999999999996</v>
      </c>
      <c r="CQ6" s="30">
        <f>VLOOKUP(CQ1,'[4]RK FORN ABR 24'!$A$1:$M$121,8,FALSE)</f>
        <v>2108.35</v>
      </c>
      <c r="CR6" s="31">
        <f>VLOOKUP(CQ1,'[4]RK FORN ABR 24'!$A$1:$M$121,12,FALSE)</f>
        <v>42.01</v>
      </c>
      <c r="CS6" s="31">
        <f>VLOOKUP(CQ1,'[4]RK FORN ABR 24'!$A$1:$M$121,13,FALSE)</f>
        <v>0.16</v>
      </c>
      <c r="CT6" s="30">
        <f>VLOOKUP(CT1,'[4]RK FORN ABR 24'!$A$1:$M$121,8,FALSE)</f>
        <v>6098.06</v>
      </c>
      <c r="CU6" s="31">
        <f>VLOOKUP(CT1,'[4]RK FORN ABR 24'!$A$1:$M$121,12,FALSE)</f>
        <v>30.76</v>
      </c>
      <c r="CV6" s="31">
        <f>VLOOKUP(CT1,'[4]RK FORN ABR 24'!$A$1:$M$121,13,FALSE)</f>
        <v>0.45</v>
      </c>
      <c r="CW6" s="30">
        <f>VLOOKUP(CW1,'[4]RK FORN ABR 24'!$A$1:$M$121,8,FALSE)</f>
        <v>5648.16</v>
      </c>
      <c r="CX6" s="31">
        <f>VLOOKUP(CW1,'[4]RK FORN ABR 24'!$A$1:$M$121,12,FALSE)</f>
        <v>38.83</v>
      </c>
      <c r="CY6" s="31">
        <f>VLOOKUP(CW1,'[4]RK FORN ABR 24'!$A$1:$M$121,13,FALSE)</f>
        <v>0.43</v>
      </c>
      <c r="CZ6" s="30">
        <f>VLOOKUP(CZ1,'[4]RK FORN ABR 24'!$A$1:$M$121,8,FALSE)</f>
        <v>7009.32</v>
      </c>
      <c r="DA6" s="31">
        <f>VLOOKUP(CZ1,'[4]RK FORN ABR 24'!$A$1:$M$121,12,FALSE)</f>
        <v>38.24</v>
      </c>
      <c r="DB6" s="31">
        <f>VLOOKUP(CZ1,'[4]RK FORN ABR 24'!$A$1:$M$121,13,FALSE)</f>
        <v>0.53</v>
      </c>
      <c r="DC6" s="31" t="e">
        <f>VLOOKUP(DC1,'[4]RK FORN ABR 24'!$A$1:$M$121,8,FALSE)</f>
        <v>#N/A</v>
      </c>
      <c r="DD6" s="31" t="e">
        <f>VLOOKUP(DC1,'[4]RK FORN ABR 24'!$A$1:$M$121,12,FALSE)</f>
        <v>#N/A</v>
      </c>
      <c r="DE6" s="31" t="e">
        <f>VLOOKUP(DC1,'[4]RK FORN ABR 24'!$A$1:$M$121,13,FALSE)</f>
        <v>#N/A</v>
      </c>
      <c r="DF6" s="30">
        <f>VLOOKUP(DF1,'[4]RK FORN ABR 24'!$A$1:$M$121,8,FALSE)</f>
        <v>4543.1099999999997</v>
      </c>
      <c r="DG6" s="31">
        <f>VLOOKUP(DF1,'[4]RK FORN ABR 24'!$A$1:$M$121,12,FALSE)</f>
        <v>43.26</v>
      </c>
      <c r="DH6" s="31">
        <f>VLOOKUP(DF1,'[4]RK FORN ABR 24'!$A$1:$M$121,13,FALSE)</f>
        <v>0.34</v>
      </c>
      <c r="DI6" s="30">
        <f>VLOOKUP(DI1,'[4]RK FORN ABR 24'!$A$1:$M$121,8,FALSE)</f>
        <v>3928.84</v>
      </c>
      <c r="DJ6" s="31">
        <f>VLOOKUP(DI1,'[4]RK FORN ABR 24'!$A$1:$M$121,12,FALSE)</f>
        <v>34.270000000000003</v>
      </c>
      <c r="DK6" s="31">
        <f>VLOOKUP(DI1,'[4]RK FORN ABR 24'!$A$1:$M$121,13,FALSE)</f>
        <v>0.37</v>
      </c>
      <c r="DL6" s="30">
        <f>VLOOKUP(DL1,'[4]RK FORN ABR 24'!$A$1:$M$121,8,FALSE)</f>
        <v>20594.57</v>
      </c>
      <c r="DM6" s="31">
        <f>VLOOKUP(DL1,'[4]RK FORN ABR 24'!$A$1:$M$121,12,FALSE)</f>
        <v>28.86</v>
      </c>
      <c r="DN6" s="31">
        <f>VLOOKUP(DL1,'[4]RK FORN ABR 24'!$A$1:$M$121,13,FALSE)</f>
        <v>1.54</v>
      </c>
      <c r="DO6" s="30">
        <f>VLOOKUP(DO1,'[4]RK FORN ABR 24'!$A$1:$M$121,8,FALSE)</f>
        <v>21775.97</v>
      </c>
      <c r="DP6" s="31">
        <f>VLOOKUP(DO1,'[4]RK FORN ABR 24'!$A$1:$M$121,12,FALSE)</f>
        <v>22.66</v>
      </c>
      <c r="DQ6" s="31">
        <f>VLOOKUP(DO1,'[4]RK FORN ABR 24'!$A$1:$M$121,13,FALSE)</f>
        <v>1.61</v>
      </c>
      <c r="DR6" s="30">
        <f>VLOOKUP(DR1,'[4]RK FORN ABR 24'!$A$1:$M$121,8,FALSE)</f>
        <v>1372.8</v>
      </c>
      <c r="DS6" s="31">
        <f>VLOOKUP(DR1,'[4]RK FORN ABR 24'!$A$1:$M$121,12,FALSE)</f>
        <v>38.5</v>
      </c>
      <c r="DT6" s="31">
        <f>VLOOKUP(DR1,'[4]RK FORN ABR 24'!$A$1:$M$121,13,FALSE)</f>
        <v>0.1</v>
      </c>
      <c r="DU6" s="30">
        <f>VLOOKUP(DU1,'[4]RK FORN ABR 24'!$A$1:$M$121,8,FALSE)</f>
        <v>112.9</v>
      </c>
      <c r="DV6" s="31">
        <f>VLOOKUP(DU1,'[4]RK FORN ABR 24'!$A$1:$M$121,12,FALSE)</f>
        <v>43.92</v>
      </c>
      <c r="DW6" s="31">
        <f>VLOOKUP(DU1,'[4]RK FORN ABR 24'!$A$1:$M$121,13,FALSE)</f>
        <v>0.01</v>
      </c>
      <c r="DX6" s="30">
        <f>VLOOKUP(DX1,'[4]RK FORN ABR 24'!$A$1:$M$121,8,FALSE)</f>
        <v>582.9</v>
      </c>
      <c r="DY6" s="31">
        <f>VLOOKUP(DX1,'[4]RK FORN ABR 24'!$A$1:$M$121,12,FALSE)</f>
        <v>37.47</v>
      </c>
      <c r="DZ6" s="31">
        <f>VLOOKUP(DX1,'[4]RK FORN ABR 24'!$A$1:$M$121,13,FALSE)</f>
        <v>0.04</v>
      </c>
      <c r="EA6" s="30">
        <f>VLOOKUP(EA1,'[4]RK FORN ABR 24'!$A$1:$M$121,8,FALSE)</f>
        <v>3435.6588999999999</v>
      </c>
      <c r="EB6" s="31">
        <f>VLOOKUP(EA1,'[4]RK FORN ABR 24'!$A$1:$M$121,12,FALSE)</f>
        <v>38.869999999999997</v>
      </c>
      <c r="EC6" s="31">
        <f>VLOOKUP(EA1,'[4]RK FORN ABR 24'!$A$1:$M$121,13,FALSE)</f>
        <v>0.25</v>
      </c>
    </row>
    <row r="7" spans="1:133" x14ac:dyDescent="0.2">
      <c r="A7" s="32">
        <v>45413</v>
      </c>
      <c r="B7" s="30">
        <f>VLOOKUP(B1,'[5]RK FORN MAIO 24'!$A$1:$M$120,8,FALSE)</f>
        <v>167559.91200000001</v>
      </c>
      <c r="C7" s="31">
        <f>VLOOKUP(B1,'[5]RK FORN MAIO 24'!$A$1:$M$120,12,FALSE)</f>
        <v>35.29</v>
      </c>
      <c r="D7" s="31">
        <f>VLOOKUP(B1,'[5]RK FORN MAIO 24'!$A$1:$M$120,13,FALSE)</f>
        <v>12.54</v>
      </c>
      <c r="E7" s="30">
        <f>VLOOKUP(E1,'[5]RK FORN MAIO 24'!$A$1:$M$120,8,FALSE)</f>
        <v>85357.205499999996</v>
      </c>
      <c r="F7" s="31">
        <f>VLOOKUP(E1,'[5]RK FORN MAIO 24'!$A$1:$M$120,12,FALSE)</f>
        <v>39.99</v>
      </c>
      <c r="G7" s="31">
        <f>VLOOKUP(E1,'[5]RK FORN MAIO 24'!$A$1:$M$120,13,FALSE)</f>
        <v>6.22</v>
      </c>
      <c r="H7" s="31" t="e">
        <f>VLOOKUP(H1,'[5]RK FORN MAIO 24'!$A$1:$M$120,8,FALSE)</f>
        <v>#N/A</v>
      </c>
      <c r="I7" s="31" t="e">
        <f>VLOOKUP(H1,'[5]RK FORN MAIO 24'!$A$1:$M$120,12,FALSE)</f>
        <v>#N/A</v>
      </c>
      <c r="J7" s="31" t="e">
        <f>VLOOKUP(H1,'[5]RK FORN MAIO 24'!$A$1:$M$120,13,FALSE)</f>
        <v>#N/A</v>
      </c>
      <c r="K7" s="30">
        <f>VLOOKUP(K1,'[5]RK FORN MAIO 24'!$A$1:$M$120,8,FALSE)</f>
        <v>49039.94</v>
      </c>
      <c r="L7" s="31">
        <f>VLOOKUP(K1,'[5]RK FORN MAIO 24'!$A$1:$M$120,12,FALSE)</f>
        <v>38.71</v>
      </c>
      <c r="M7" s="31">
        <f>VLOOKUP(K1,'[5]RK FORN MAIO 24'!$A$1:$M$120,13,FALSE)</f>
        <v>3.58</v>
      </c>
      <c r="N7" s="30">
        <f>VLOOKUP(N1,'[5]RK FORN MAIO 24'!$A$1:$M$120,8,FALSE)</f>
        <v>83596.97</v>
      </c>
      <c r="O7" s="31">
        <f>VLOOKUP(N1,'[5]RK FORN MAIO 24'!$A$1:$M$120,12,FALSE)</f>
        <v>37.86</v>
      </c>
      <c r="P7" s="31">
        <f>VLOOKUP(N1,'[5]RK FORN MAIO 24'!$A$1:$M$120,13,FALSE)</f>
        <v>6.14</v>
      </c>
      <c r="Q7" s="30">
        <f>VLOOKUP(Q1,'[5]RK FORN MAIO 24'!$A$1:$M$120,8,FALSE)</f>
        <v>54885.779300000002</v>
      </c>
      <c r="R7" s="31">
        <f>VLOOKUP(Q1,'[5]RK FORN MAIO 24'!$A$1:$M$120,12,FALSE)</f>
        <v>40.32</v>
      </c>
      <c r="S7" s="31">
        <f>VLOOKUP(Q1,'[5]RK FORN MAIO 24'!$A$1:$M$120,13,FALSE)</f>
        <v>4.05</v>
      </c>
      <c r="T7" s="30">
        <f>VLOOKUP(T1,'[5]RK FORN MAIO 24'!$A$1:$M$120,8,FALSE)</f>
        <v>62496.43</v>
      </c>
      <c r="U7" s="31">
        <f>VLOOKUP(T1,'[5]RK FORN MAIO 24'!$A$1:$M$120,12,FALSE)</f>
        <v>35.03</v>
      </c>
      <c r="V7" s="31">
        <f>VLOOKUP(T1,'[5]RK FORN MAIO 24'!$A$1:$M$120,13,FALSE)</f>
        <v>4.58</v>
      </c>
      <c r="W7" s="30">
        <f>VLOOKUP(W1,'[5]RK FORN MAIO 24'!$A$1:$M$120,8,FALSE)</f>
        <v>211714.13939999999</v>
      </c>
      <c r="X7" s="31">
        <f>VLOOKUP(W1,'[5]RK FORN MAIO 24'!$A$1:$M$120,12,FALSE)</f>
        <v>37.549999999999997</v>
      </c>
      <c r="Y7" s="31">
        <f>VLOOKUP(W1,'[5]RK FORN MAIO 24'!$A$1:$M$120,13,FALSE)</f>
        <v>15.64</v>
      </c>
      <c r="Z7" s="30">
        <f>VLOOKUP(Z1,'[5]RK FORN MAIO 24'!$A$1:$M$120,8,FALSE)</f>
        <v>57395.988700000002</v>
      </c>
      <c r="AA7" s="31">
        <f>VLOOKUP(Z1,'[5]RK FORN MAIO 24'!$A$1:$M$120,12,FALSE)</f>
        <v>35.14</v>
      </c>
      <c r="AB7" s="31">
        <f>VLOOKUP(Z1,'[5]RK FORN MAIO 24'!$A$1:$M$120,13,FALSE)</f>
        <v>4.22</v>
      </c>
      <c r="AC7" s="30">
        <f>VLOOKUP(AC1,'[5]RK FORN MAIO 24'!$A$1:$M$120,8,FALSE)</f>
        <v>211714.13939999999</v>
      </c>
      <c r="AD7" s="31">
        <f>VLOOKUP(AC1,'[5]RK FORN MAIO 24'!$A$1:$M$120,12,FALSE)</f>
        <v>37.549999999999997</v>
      </c>
      <c r="AE7" s="31">
        <f>VLOOKUP(AC1,'[5]RK FORN MAIO 24'!$A$1:$M$120,13,FALSE)</f>
        <v>15.64</v>
      </c>
      <c r="AF7" s="30">
        <f>VLOOKUP(AF1,'[5]RK FORN MAIO 24'!$A$1:$M$120,8,FALSE)</f>
        <v>47267.519999999997</v>
      </c>
      <c r="AG7" s="31">
        <f>VLOOKUP(AF1,'[5]RK FORN MAIO 24'!$A$1:$M$120,12,FALSE)</f>
        <v>33.200000000000003</v>
      </c>
      <c r="AH7" s="31">
        <f>VLOOKUP(AF1,'[5]RK FORN MAIO 24'!$A$1:$M$120,13,FALSE)</f>
        <v>3.47</v>
      </c>
      <c r="AI7" s="30">
        <f>VLOOKUP(AI1,'[5]RK FORN MAIO 24'!$A$1:$M$120,8,FALSE)</f>
        <v>16640.1594</v>
      </c>
      <c r="AJ7" s="31">
        <f>VLOOKUP(AI1,'[5]RK FORN MAIO 24'!$A$1:$M$120,12,FALSE)</f>
        <v>36.99</v>
      </c>
      <c r="AK7" s="31">
        <f>VLOOKUP(AI1,'[5]RK FORN MAIO 24'!$A$1:$M$120,13,FALSE)</f>
        <v>1.21</v>
      </c>
      <c r="AL7" s="30">
        <f>VLOOKUP(AL1,'[5]RK FORN MAIO 24'!$A$1:$M$120,8,FALSE)</f>
        <v>14790.22</v>
      </c>
      <c r="AM7" s="31">
        <f>VLOOKUP(AL1,'[5]RK FORN MAIO 24'!$A$1:$M$120,12,FALSE)</f>
        <v>44.55</v>
      </c>
      <c r="AN7" s="31">
        <f>VLOOKUP(AL1,'[5]RK FORN MAIO 24'!$A$1:$M$120,13,FALSE)</f>
        <v>1.08</v>
      </c>
      <c r="AO7" s="30">
        <f>VLOOKUP(AO1,'[5]RK FORN MAIO 24'!$A$1:$M$120,8,FALSE)</f>
        <v>25367.34</v>
      </c>
      <c r="AP7" s="31">
        <f>VLOOKUP(AO1,'[5]RK FORN MAIO 24'!$A$1:$M$120,12,FALSE)</f>
        <v>15.76</v>
      </c>
      <c r="AQ7" s="31">
        <f>VLOOKUP(AO1,'[5]RK FORN MAIO 24'!$A$1:$M$120,13,FALSE)</f>
        <v>1.95</v>
      </c>
      <c r="AR7" s="30">
        <f>VLOOKUP(AR1,'[5]RK FORN MAIO 24'!$A$1:$M$120,8,FALSE)</f>
        <v>27951.51</v>
      </c>
      <c r="AS7" s="31">
        <f>VLOOKUP(AR1,'[5]RK FORN MAIO 24'!$A$1:$M$120,12,FALSE)</f>
        <v>28.72</v>
      </c>
      <c r="AT7" s="31">
        <f>VLOOKUP(AR1,'[5]RK FORN MAIO 24'!$A$1:$M$120,13,FALSE)</f>
        <v>2.08</v>
      </c>
      <c r="AU7" s="30">
        <f>VLOOKUP(AU1,'[5]RK FORN MAIO 24'!$A$1:$M$120,8,FALSE)</f>
        <v>45683.41</v>
      </c>
      <c r="AV7" s="31">
        <f>VLOOKUP(AU1,'[5]RK FORN MAIO 24'!$A$1:$M$120,12,FALSE)</f>
        <v>35.14</v>
      </c>
      <c r="AW7" s="31">
        <f>VLOOKUP(AU1,'[5]RK FORN MAIO 24'!$A$1:$M$120,13,FALSE)</f>
        <v>3.54</v>
      </c>
      <c r="AX7" s="30">
        <f>VLOOKUP(AX1,'[5]RK FORN MAIO 24'!$A$1:$M$120,8,FALSE)</f>
        <v>623.9</v>
      </c>
      <c r="AY7" s="31">
        <f>VLOOKUP(AX1,'[5]RK FORN MAIO 24'!$A$1:$M$120,12,FALSE)</f>
        <v>35.49</v>
      </c>
      <c r="AZ7" s="31">
        <f>VLOOKUP(AX1,'[5]RK FORN MAIO 24'!$A$1:$M$120,13,FALSE)</f>
        <v>0.05</v>
      </c>
      <c r="BA7" s="30">
        <f>VLOOKUP(BA1,'[5]RK FORN MAIO 24'!$A$1:$M$120,8,FALSE)</f>
        <v>12111.51</v>
      </c>
      <c r="BB7" s="31">
        <f>VLOOKUP(BA1,'[5]RK FORN MAIO 24'!$A$1:$M$120,12,FALSE)</f>
        <v>36.72</v>
      </c>
      <c r="BC7" s="31">
        <f>VLOOKUP(BA1,'[5]RK FORN MAIO 24'!$A$1:$M$120,13,FALSE)</f>
        <v>0.9</v>
      </c>
      <c r="BD7" s="30">
        <f>VLOOKUP(BD1,'[5]RK FORN MAIO 24'!$A$1:$M$120,8,FALSE)</f>
        <v>8416.76</v>
      </c>
      <c r="BE7" s="31">
        <f>VLOOKUP(BD1,'[5]RK FORN MAIO 24'!$A$1:$M$120,12,FALSE)</f>
        <v>51.13</v>
      </c>
      <c r="BF7" s="31">
        <f>VLOOKUP(BD1,'[5]RK FORN MAIO 24'!$A$1:$M$120,13,FALSE)</f>
        <v>0.62</v>
      </c>
      <c r="BG7" s="30">
        <f>VLOOKUP(BG1,'[5]RK FORN MAIO 24'!$A$1:$M$120,8,FALSE)</f>
        <v>17356.259999999998</v>
      </c>
      <c r="BH7" s="31">
        <f>VLOOKUP(BG1,'[5]RK FORN MAIO 24'!$A$1:$M$120,12,FALSE)</f>
        <v>39.29</v>
      </c>
      <c r="BI7" s="31">
        <f>VLOOKUP(BG1,'[5]RK FORN MAIO 24'!$A$1:$M$120,13,FALSE)</f>
        <v>1.27</v>
      </c>
      <c r="BJ7" s="31" t="e">
        <f>VLOOKUP(BJ1,'[5]RK FORN MAIO 24'!$A$1:$M$120,8,FALSE)</f>
        <v>#N/A</v>
      </c>
      <c r="BK7" s="31" t="e">
        <f>VLOOKUP(BJ1,'[5]RK FORN MAIO 24'!$A$1:$M$120,12,FALSE)</f>
        <v>#N/A</v>
      </c>
      <c r="BL7" s="31" t="e">
        <f>VLOOKUP(BJ1,'[5]RK FORN MAIO 24'!$A$1:$M$120,13,FALSE)</f>
        <v>#N/A</v>
      </c>
      <c r="BM7" s="31" t="e">
        <f>VLOOKUP(BM1,'[5]RK FORN MAIO 24'!$A$1:$M$120,8,FALSE)</f>
        <v>#N/A</v>
      </c>
      <c r="BN7" s="31" t="e">
        <f>VLOOKUP(BM1,'[5]RK FORN MAIO 24'!$A$1:$M$120,12,FALSE)</f>
        <v>#N/A</v>
      </c>
      <c r="BO7" s="31" t="e">
        <f>VLOOKUP(BM1,'[5]RK FORN MAIO 24'!$A$1:$M$120,13,FALSE)</f>
        <v>#N/A</v>
      </c>
      <c r="BP7" s="31" t="e">
        <f>VLOOKUP(BP1,'[5]RK FORN MAIO 24'!$A$1:$M$120,8,FALSE)</f>
        <v>#N/A</v>
      </c>
      <c r="BQ7" s="31" t="e">
        <f>VLOOKUP(BP1,'[5]RK FORN MAIO 24'!$A$1:$M$120,12,FALSE)</f>
        <v>#N/A</v>
      </c>
      <c r="BR7" s="31" t="e">
        <f>VLOOKUP(BP1,'[5]RK FORN MAIO 24'!$A$1:$M$120,13,FALSE)</f>
        <v>#N/A</v>
      </c>
      <c r="BS7" s="31" t="e">
        <f>VLOOKUP(BS1,'[5]RK FORN MAIO 24'!$A$1:$M$120,8,FALSE)</f>
        <v>#N/A</v>
      </c>
      <c r="BT7" s="31" t="e">
        <f>VLOOKUP(BS1,'[5]RK FORN MAIO 24'!$A$1:$M$120,12,FALSE)</f>
        <v>#N/A</v>
      </c>
      <c r="BU7" s="31" t="e">
        <f>VLOOKUP(BS1,'[5]RK FORN MAIO 24'!$A$1:$M$120,13,FALSE)</f>
        <v>#N/A</v>
      </c>
      <c r="BV7" s="30">
        <f>VLOOKUP(BV1,'[5]RK FORN MAIO 24'!$A$1:$M$120,8,FALSE)</f>
        <v>7172.34</v>
      </c>
      <c r="BW7" s="31">
        <f>VLOOKUP(BV1,'[5]RK FORN MAIO 24'!$A$1:$M$120,12,FALSE)</f>
        <v>39.409999999999997</v>
      </c>
      <c r="BX7" s="31">
        <f>VLOOKUP(BV1,'[5]RK FORN MAIO 24'!$A$1:$M$120,13,FALSE)</f>
        <v>0.54</v>
      </c>
      <c r="BY7" s="30">
        <f>VLOOKUP(BY1,'[5]RK FORN MAIO 24'!$A$1:$M$120,8,FALSE)</f>
        <v>9460.18</v>
      </c>
      <c r="BZ7" s="31">
        <f>VLOOKUP(BY1,'[5]RK FORN MAIO 24'!$A$1:$M$120,12,FALSE)</f>
        <v>40.99</v>
      </c>
      <c r="CA7" s="31">
        <f>VLOOKUP(BY1,'[5]RK FORN MAIO 24'!$A$1:$M$120,13,FALSE)</f>
        <v>0.71</v>
      </c>
      <c r="CB7" s="31" t="e">
        <f>VLOOKUP(CB1,'[5]RK FORN MAIO 24'!$A$1:$M$120,8,FALSE)</f>
        <v>#N/A</v>
      </c>
      <c r="CC7" s="31" t="e">
        <f>VLOOKUP(CB1,'[5]RK FORN MAIO 24'!$A$1:$M$120,12,FALSE)</f>
        <v>#N/A</v>
      </c>
      <c r="CD7" s="31" t="e">
        <f>VLOOKUP(CB1,'[5]RK FORN MAIO 24'!$A$1:$M$120,13,FALSE)</f>
        <v>#N/A</v>
      </c>
      <c r="CE7" s="30">
        <f>VLOOKUP(CE1,'[5]RK FORN MAIO 24'!$A$1:$M$120,8,FALSE)</f>
        <v>7893.16</v>
      </c>
      <c r="CF7" s="31">
        <f>VLOOKUP(CE1,'[5]RK FORN MAIO 24'!$A$1:$M$120,12,FALSE)</f>
        <v>35.83</v>
      </c>
      <c r="CG7" s="31">
        <f>VLOOKUP(CE1,'[5]RK FORN MAIO 24'!$A$1:$M$120,13,FALSE)</f>
        <v>0.62</v>
      </c>
      <c r="CH7" s="30">
        <f>VLOOKUP(CH1,'[5]RK FORN MAIO 24'!$A$1:$M$120,8,FALSE)</f>
        <v>11518.12</v>
      </c>
      <c r="CI7" s="31">
        <f>VLOOKUP(CH1,'[5]RK FORN MAIO 24'!$A$1:$M$120,12,FALSE)</f>
        <v>47.21</v>
      </c>
      <c r="CJ7" s="31">
        <f>VLOOKUP(CH1,'[5]RK FORN MAIO 24'!$A$1:$M$120,13,FALSE)</f>
        <v>0.87</v>
      </c>
      <c r="CK7" s="30">
        <f>VLOOKUP(CK1,'[5]RK FORN MAIO 24'!$A$1:$M$120,8,FALSE)</f>
        <v>14254.41</v>
      </c>
      <c r="CL7" s="31">
        <f>VLOOKUP(CK1,'[5]RK FORN MAIO 24'!$A$1:$M$120,12,FALSE)</f>
        <v>37.19</v>
      </c>
      <c r="CM7" s="31">
        <f>VLOOKUP(CK1,'[5]RK FORN MAIO 24'!$A$1:$M$120,13,FALSE)</f>
        <v>1.03</v>
      </c>
      <c r="CN7" s="30">
        <f>VLOOKUP(CN1,'[5]RK FORN MAIO 24'!$A$1:$M$120,8,FALSE)</f>
        <v>6995.46</v>
      </c>
      <c r="CO7" s="31">
        <f>VLOOKUP(CN1,'[5]RK FORN MAIO 24'!$A$1:$M$120,12,FALSE)</f>
        <v>42.64</v>
      </c>
      <c r="CP7" s="31">
        <f>VLOOKUP(CN1,'[5]RK FORN MAIO 24'!$A$1:$M$120,13,FALSE)</f>
        <v>0.52</v>
      </c>
      <c r="CQ7" s="30">
        <f>VLOOKUP(CQ1,'[5]RK FORN MAIO 24'!$A$1:$M$120,8,FALSE)</f>
        <v>4013.56</v>
      </c>
      <c r="CR7" s="31">
        <f>VLOOKUP(CQ1,'[5]RK FORN MAIO 24'!$A$1:$M$120,12,FALSE)</f>
        <v>41.01</v>
      </c>
      <c r="CS7" s="31">
        <f>VLOOKUP(CQ1,'[5]RK FORN MAIO 24'!$A$1:$M$120,13,FALSE)</f>
        <v>0.3</v>
      </c>
      <c r="CT7" s="30">
        <f>VLOOKUP(CT1,'[5]RK FORN MAIO 24'!$A$1:$M$120,8,FALSE)</f>
        <v>5641.53</v>
      </c>
      <c r="CU7" s="31">
        <f>VLOOKUP(CT1,'[5]RK FORN MAIO 24'!$A$1:$M$120,12,FALSE)</f>
        <v>31.89</v>
      </c>
      <c r="CV7" s="31">
        <f>VLOOKUP(CT1,'[5]RK FORN MAIO 24'!$A$1:$M$120,13,FALSE)</f>
        <v>0.41</v>
      </c>
      <c r="CW7" s="30">
        <f>VLOOKUP(CW1,'[5]RK FORN MAIO 24'!$A$1:$M$120,8,FALSE)</f>
        <v>4959.2299999999996</v>
      </c>
      <c r="CX7" s="31">
        <f>VLOOKUP(CW1,'[5]RK FORN MAIO 24'!$A$1:$M$120,12,FALSE)</f>
        <v>38.57</v>
      </c>
      <c r="CY7" s="31">
        <f>VLOOKUP(CW1,'[5]RK FORN MAIO 24'!$A$1:$M$120,13,FALSE)</f>
        <v>0.38</v>
      </c>
      <c r="CZ7" s="30">
        <f>VLOOKUP(CZ1,'[5]RK FORN MAIO 24'!$A$1:$M$120,8,FALSE)</f>
        <v>6899.66</v>
      </c>
      <c r="DA7" s="31">
        <f>VLOOKUP(CZ1,'[5]RK FORN MAIO 24'!$A$1:$M$120,12,FALSE)</f>
        <v>38.14</v>
      </c>
      <c r="DB7" s="31">
        <f>VLOOKUP(CZ1,'[5]RK FORN MAIO 24'!$A$1:$M$120,13,FALSE)</f>
        <v>0.53</v>
      </c>
      <c r="DC7" s="31" t="e">
        <f>VLOOKUP(DC1,'[5]RK FORN MAIO 24'!$A$1:$M$120,8,FALSE)</f>
        <v>#N/A</v>
      </c>
      <c r="DD7" s="31" t="e">
        <f>VLOOKUP(DC1,'[5]RK FORN MAIO 24'!$A$1:$M$120,12,FALSE)</f>
        <v>#N/A</v>
      </c>
      <c r="DE7" s="31" t="e">
        <f>VLOOKUP(DC1,'[5]RK FORN MAIO 24'!$A$1:$M$120,13,FALSE)</f>
        <v>#N/A</v>
      </c>
      <c r="DF7" s="30">
        <f>VLOOKUP(DF1,'[5]RK FORN MAIO 24'!$A$1:$M$120,8,FALSE)</f>
        <v>4065.6</v>
      </c>
      <c r="DG7" s="31">
        <f>VLOOKUP(DF1,'[5]RK FORN MAIO 24'!$A$1:$M$120,12,FALSE)</f>
        <v>42.64</v>
      </c>
      <c r="DH7" s="31">
        <f>VLOOKUP(DF1,'[5]RK FORN MAIO 24'!$A$1:$M$120,13,FALSE)</f>
        <v>0.3</v>
      </c>
      <c r="DI7" s="30">
        <f>VLOOKUP(DI1,'[5]RK FORN MAIO 24'!$A$1:$M$120,8,FALSE)</f>
        <v>4834.66</v>
      </c>
      <c r="DJ7" s="31">
        <f>VLOOKUP(DI1,'[5]RK FORN MAIO 24'!$A$1:$M$120,12,FALSE)</f>
        <v>35.83</v>
      </c>
      <c r="DK7" s="31">
        <f>VLOOKUP(DI1,'[5]RK FORN MAIO 24'!$A$1:$M$120,13,FALSE)</f>
        <v>0.39</v>
      </c>
      <c r="DL7" s="30">
        <f>VLOOKUP(DL1,'[5]RK FORN MAIO 24'!$A$1:$M$120,8,FALSE)</f>
        <v>18145.54</v>
      </c>
      <c r="DM7" s="31">
        <f>VLOOKUP(DL1,'[5]RK FORN MAIO 24'!$A$1:$M$120,12,FALSE)</f>
        <v>34.61</v>
      </c>
      <c r="DN7" s="31">
        <f>VLOOKUP(DL1,'[5]RK FORN MAIO 24'!$A$1:$M$120,13,FALSE)</f>
        <v>1.33</v>
      </c>
      <c r="DO7" s="30">
        <f>VLOOKUP(DO1,'[5]RK FORN MAIO 24'!$A$1:$M$120,8,FALSE)</f>
        <v>27495.7</v>
      </c>
      <c r="DP7" s="31">
        <f>VLOOKUP(DO1,'[5]RK FORN MAIO 24'!$A$1:$M$120,12,FALSE)</f>
        <v>20.239999999999998</v>
      </c>
      <c r="DQ7" s="31">
        <f>VLOOKUP(DO1,'[5]RK FORN MAIO 24'!$A$1:$M$120,13,FALSE)</f>
        <v>2.2400000000000002</v>
      </c>
      <c r="DR7" s="30">
        <f>VLOOKUP(DR1,'[5]RK FORN MAIO 24'!$A$1:$M$120,8,FALSE)</f>
        <v>1746</v>
      </c>
      <c r="DS7" s="31">
        <f>VLOOKUP(DR1,'[5]RK FORN MAIO 24'!$A$1:$M$120,12,FALSE)</f>
        <v>42.98</v>
      </c>
      <c r="DT7" s="31">
        <f>VLOOKUP(DR1,'[5]RK FORN MAIO 24'!$A$1:$M$120,13,FALSE)</f>
        <v>0.13</v>
      </c>
      <c r="DU7" s="30">
        <f>VLOOKUP(DU1,'[5]RK FORN MAIO 24'!$A$1:$M$120,8,FALSE)</f>
        <v>26.9</v>
      </c>
      <c r="DV7" s="31">
        <f>VLOOKUP(DU1,'[5]RK FORN MAIO 24'!$A$1:$M$120,12,FALSE)</f>
        <v>35.5</v>
      </c>
      <c r="DW7" s="31">
        <f>VLOOKUP(DU1,'[5]RK FORN MAIO 24'!$A$1:$M$120,13,FALSE)</f>
        <v>0</v>
      </c>
      <c r="DX7" s="30">
        <f>VLOOKUP(DX1,'[5]RK FORN MAIO 24'!$A$1:$M$120,8,FALSE)</f>
        <v>1471.12</v>
      </c>
      <c r="DY7" s="31">
        <f>VLOOKUP(DX1,'[5]RK FORN MAIO 24'!$A$1:$M$120,12,FALSE)</f>
        <v>34.99</v>
      </c>
      <c r="DZ7" s="31">
        <f>VLOOKUP(DX1,'[5]RK FORN MAIO 24'!$A$1:$M$120,13,FALSE)</f>
        <v>0.11</v>
      </c>
      <c r="EA7" s="30">
        <f>VLOOKUP(EA1,'[5]RK FORN MAIO 24'!$A$1:$M$120,8,FALSE)</f>
        <v>2938.884</v>
      </c>
      <c r="EB7" s="31">
        <f>VLOOKUP(EA1,'[5]RK FORN MAIO 24'!$A$1:$M$120,12,FALSE)</f>
        <v>39.47</v>
      </c>
      <c r="EC7" s="31">
        <f>VLOOKUP(EA1,'[5]RK FORN MAIO 24'!$A$1:$M$120,13,FALSE)</f>
        <v>0.21</v>
      </c>
    </row>
    <row r="8" spans="1:133" x14ac:dyDescent="0.2">
      <c r="A8" s="32">
        <v>45444</v>
      </c>
      <c r="B8" s="30">
        <f>VLOOKUP(B1,'[6]RK FORN JUN 24'!$A$1:$M$121,8,FALSE)</f>
        <v>129470.0889</v>
      </c>
      <c r="C8" s="31">
        <f>VLOOKUP(B1,'[6]RK FORN JUN 24'!$A$1:$M$121,12,FALSE)</f>
        <v>36.700000000000003</v>
      </c>
      <c r="D8" s="31">
        <f>VLOOKUP(B1,'[6]RK FORN JUN 24'!$A$1:$M$121,13,FALSE)</f>
        <v>10.53</v>
      </c>
      <c r="E8" s="30">
        <f>VLOOKUP(E1,'[6]RK FORN JUN 24'!$A$1:$M$121,8,FALSE)</f>
        <v>83879.872099999993</v>
      </c>
      <c r="F8" s="31">
        <f>VLOOKUP(E1,'[6]RK FORN JUN 24'!$A$1:$M$121,12,FALSE)</f>
        <v>39.5</v>
      </c>
      <c r="G8" s="31">
        <f>VLOOKUP(E1,'[6]RK FORN JUN 24'!$A$1:$M$121,13,FALSE)</f>
        <v>6.82</v>
      </c>
      <c r="H8" s="31" t="e">
        <f>VLOOKUP(H1,'[6]RK FORN JUN 24'!$A$1:$M$121,8,FALSE)</f>
        <v>#N/A</v>
      </c>
      <c r="I8" s="31" t="e">
        <f>VLOOKUP(H1,'[6]RK FORN JUN 24'!$A$1:$M$121,12,FALSE)</f>
        <v>#N/A</v>
      </c>
      <c r="J8" s="31" t="e">
        <f>VLOOKUP(H1,'[6]RK FORN JUN 24'!$A$1:$M$121,13,FALSE)</f>
        <v>#N/A</v>
      </c>
      <c r="K8" s="30">
        <f>VLOOKUP(K1,'[6]RK FORN JUN 24'!$A$1:$M$121,8,FALSE)</f>
        <v>39938.82</v>
      </c>
      <c r="L8" s="31">
        <f>VLOOKUP(K1,'[6]RK FORN JUN 24'!$A$1:$M$121,12,FALSE)</f>
        <v>38.01</v>
      </c>
      <c r="M8" s="31">
        <f>VLOOKUP(K1,'[6]RK FORN JUN 24'!$A$1:$M$121,13,FALSE)</f>
        <v>3.26</v>
      </c>
      <c r="N8" s="30">
        <f>VLOOKUP(N1,'[6]RK FORN JUN 24'!$A$1:$M$121,8,FALSE)</f>
        <v>76244.87</v>
      </c>
      <c r="O8" s="31">
        <f>VLOOKUP(N1,'[6]RK FORN JUN 24'!$A$1:$M$121,12,FALSE)</f>
        <v>38.44</v>
      </c>
      <c r="P8" s="31">
        <f>VLOOKUP(N1,'[6]RK FORN JUN 24'!$A$1:$M$121,13,FALSE)</f>
        <v>6.14</v>
      </c>
      <c r="Q8" s="30">
        <f>VLOOKUP(Q1,'[6]RK FORN JUN 24'!$A$1:$M$121,8,FALSE)</f>
        <v>109013.05190000001</v>
      </c>
      <c r="R8" s="31">
        <f>VLOOKUP(Q1,'[6]RK FORN JUN 24'!$A$1:$M$121,12,FALSE)</f>
        <v>34.51</v>
      </c>
      <c r="S8" s="31">
        <f>VLOOKUP(Q1,'[6]RK FORN JUN 24'!$A$1:$M$121,13,FALSE)</f>
        <v>9.23</v>
      </c>
      <c r="T8" s="30">
        <f>VLOOKUP(T1,'[6]RK FORN JUN 24'!$A$1:$M$121,8,FALSE)</f>
        <v>45303.13</v>
      </c>
      <c r="U8" s="31">
        <f>VLOOKUP(T1,'[6]RK FORN JUN 24'!$A$1:$M$121,12,FALSE)</f>
        <v>36.85</v>
      </c>
      <c r="V8" s="31">
        <f>VLOOKUP(T1,'[6]RK FORN JUN 24'!$A$1:$M$121,13,FALSE)</f>
        <v>3.74</v>
      </c>
      <c r="W8" s="30">
        <f>VLOOKUP(W1,'[6]RK FORN JUN 24'!$A$1:$M$121,8,FALSE)</f>
        <v>90156.466899999999</v>
      </c>
      <c r="X8" s="31">
        <f>VLOOKUP(W1,'[6]RK FORN JUN 24'!$A$1:$M$121,12,FALSE)</f>
        <v>41.21</v>
      </c>
      <c r="Y8" s="31">
        <f>VLOOKUP(W1,'[6]RK FORN JUN 24'!$A$1:$M$121,13,FALSE)</f>
        <v>7.35</v>
      </c>
      <c r="Z8" s="30">
        <f>VLOOKUP(Z1,'[6]RK FORN JUN 24'!$A$1:$M$121,8,FALSE)</f>
        <v>17094.338899999999</v>
      </c>
      <c r="AA8" s="31">
        <f>VLOOKUP(Z1,'[6]RK FORN JUN 24'!$A$1:$M$121,12,FALSE)</f>
        <v>23.56</v>
      </c>
      <c r="AB8" s="31">
        <f>VLOOKUP(Z1,'[6]RK FORN JUN 24'!$A$1:$M$121,13,FALSE)</f>
        <v>1.73</v>
      </c>
      <c r="AC8" s="30">
        <f>VLOOKUP(AC1,'[6]RK FORN JUN 24'!$A$1:$M$121,8,FALSE)</f>
        <v>90156.466899999999</v>
      </c>
      <c r="AD8" s="31">
        <f>VLOOKUP(AC1,'[6]RK FORN JUN 24'!$A$1:$M$121,12,FALSE)</f>
        <v>41.21</v>
      </c>
      <c r="AE8" s="31">
        <f>VLOOKUP(AC1,'[6]RK FORN JUN 24'!$A$1:$M$121,13,FALSE)</f>
        <v>7.35</v>
      </c>
      <c r="AF8" s="30">
        <f>VLOOKUP(AF1,'[6]RK FORN JUN 24'!$A$1:$M$121,8,FALSE)</f>
        <v>41613.33</v>
      </c>
      <c r="AG8" s="31">
        <f>VLOOKUP(AF1,'[6]RK FORN JUN 24'!$A$1:$M$121,12,FALSE)</f>
        <v>30.59</v>
      </c>
      <c r="AH8" s="31">
        <f>VLOOKUP(AF1,'[6]RK FORN JUN 24'!$A$1:$M$121,13,FALSE)</f>
        <v>3.36</v>
      </c>
      <c r="AI8" s="30">
        <f>VLOOKUP(AI1,'[6]RK FORN JUN 24'!$A$1:$M$121,8,FALSE)</f>
        <v>6312.3678</v>
      </c>
      <c r="AJ8" s="31">
        <f>VLOOKUP(AI1,'[6]RK FORN JUN 24'!$A$1:$M$121,12,FALSE)</f>
        <v>37.299999999999997</v>
      </c>
      <c r="AK8" s="31">
        <f>VLOOKUP(AI1,'[6]RK FORN JUN 24'!$A$1:$M$121,13,FALSE)</f>
        <v>0.51</v>
      </c>
      <c r="AL8" s="30">
        <f>VLOOKUP(AL1,'[6]RK FORN JUN 24'!$A$1:$M$121,8,FALSE)</f>
        <v>18925.400000000001</v>
      </c>
      <c r="AM8" s="31">
        <f>VLOOKUP(AL1,'[6]RK FORN JUN 24'!$A$1:$M$121,12,FALSE)</f>
        <v>42.73</v>
      </c>
      <c r="AN8" s="31">
        <f>VLOOKUP(AL1,'[6]RK FORN JUN 24'!$A$1:$M$121,13,FALSE)</f>
        <v>1.53</v>
      </c>
      <c r="AO8" s="30">
        <f>VLOOKUP(AO1,'[6]RK FORN JUN 24'!$A$1:$M$121,8,FALSE)</f>
        <v>61431.5</v>
      </c>
      <c r="AP8" s="31">
        <f>VLOOKUP(AO1,'[6]RK FORN JUN 24'!$A$1:$M$121,12,FALSE)</f>
        <v>13.92</v>
      </c>
      <c r="AQ8" s="31">
        <f>VLOOKUP(AO1,'[6]RK FORN JUN 24'!$A$1:$M$121,13,FALSE)</f>
        <v>5.03</v>
      </c>
      <c r="AR8" s="30">
        <f>VLOOKUP(AR1,'[6]RK FORN JUN 24'!$A$1:$M$121,8,FALSE)</f>
        <v>13982.31</v>
      </c>
      <c r="AS8" s="31">
        <f>VLOOKUP(AR1,'[6]RK FORN JUN 24'!$A$1:$M$121,12,FALSE)</f>
        <v>31.73</v>
      </c>
      <c r="AT8" s="31">
        <f>VLOOKUP(AR1,'[6]RK FORN JUN 24'!$A$1:$M$121,13,FALSE)</f>
        <v>1.1299999999999999</v>
      </c>
      <c r="AU8" s="30">
        <f>VLOOKUP(AU1,'[6]RK FORN JUN 24'!$A$1:$M$121,8,FALSE)</f>
        <v>36675.089999999997</v>
      </c>
      <c r="AV8" s="31">
        <f>VLOOKUP(AU1,'[6]RK FORN JUN 24'!$A$1:$M$121,12,FALSE)</f>
        <v>34.92</v>
      </c>
      <c r="AW8" s="31">
        <f>VLOOKUP(AU1,'[6]RK FORN JUN 24'!$A$1:$M$121,13,FALSE)</f>
        <v>3</v>
      </c>
      <c r="AX8" s="30">
        <f>VLOOKUP(AX1,'[6]RK FORN JUN 24'!$A$1:$M$121,8,FALSE)</f>
        <v>398.72</v>
      </c>
      <c r="AY8" s="31">
        <f>VLOOKUP(AX1,'[6]RK FORN JUN 24'!$A$1:$M$121,12,FALSE)</f>
        <v>14.3</v>
      </c>
      <c r="AZ8" s="31">
        <f>VLOOKUP(AX1,'[6]RK FORN JUN 24'!$A$1:$M$121,13,FALSE)</f>
        <v>0.03</v>
      </c>
      <c r="BA8" s="30">
        <f>VLOOKUP(BA1,'[6]RK FORN JUN 24'!$A$1:$M$121,8,FALSE)</f>
        <v>19842.64</v>
      </c>
      <c r="BB8" s="31">
        <f>VLOOKUP(BA1,'[6]RK FORN JUN 24'!$A$1:$M$121,12,FALSE)</f>
        <v>35.28</v>
      </c>
      <c r="BC8" s="31">
        <f>VLOOKUP(BA1,'[6]RK FORN JUN 24'!$A$1:$M$121,13,FALSE)</f>
        <v>1.64</v>
      </c>
      <c r="BD8" s="30">
        <f>VLOOKUP(BD1,'[6]RK FORN JUN 24'!$A$1:$M$121,8,FALSE)</f>
        <v>13578.06</v>
      </c>
      <c r="BE8" s="31">
        <f>VLOOKUP(BD1,'[6]RK FORN JUN 24'!$A$1:$M$121,12,FALSE)</f>
        <v>50.07</v>
      </c>
      <c r="BF8" s="31">
        <f>VLOOKUP(BD1,'[6]RK FORN JUN 24'!$A$1:$M$121,13,FALSE)</f>
        <v>1.0900000000000001</v>
      </c>
      <c r="BG8" s="30">
        <f>VLOOKUP(BG1,'[6]RK FORN JUN 24'!$A$1:$M$121,8,FALSE)</f>
        <v>17103.29</v>
      </c>
      <c r="BH8" s="31">
        <f>VLOOKUP(BG1,'[6]RK FORN JUN 24'!$A$1:$M$121,12,FALSE)</f>
        <v>41.48</v>
      </c>
      <c r="BI8" s="31">
        <f>VLOOKUP(BG1,'[6]RK FORN JUN 24'!$A$1:$M$121,13,FALSE)</f>
        <v>1.39</v>
      </c>
      <c r="BJ8" s="31" t="e">
        <f>VLOOKUP(BJ1,'[6]RK FORN JUN 24'!$A$1:$M$121,8,FALSE)</f>
        <v>#N/A</v>
      </c>
      <c r="BK8" s="31" t="e">
        <f>VLOOKUP(BJ1,'[6]RK FORN JUN 24'!$A$1:$M$121,12,FALSE)</f>
        <v>#N/A</v>
      </c>
      <c r="BL8" s="31" t="e">
        <f>VLOOKUP(BJ1,'[6]RK FORN JUN 24'!$A$1:$M$121,13,FALSE)</f>
        <v>#N/A</v>
      </c>
      <c r="BM8" s="31" t="e">
        <f>VLOOKUP(BM1,'[6]RK FORN JUN 24'!$A$1:$M$121,8,FALSE)</f>
        <v>#N/A</v>
      </c>
      <c r="BN8" s="31" t="e">
        <f>VLOOKUP(BM1,'[6]RK FORN JUN 24'!$A$1:$M$121,12,FALSE)</f>
        <v>#N/A</v>
      </c>
      <c r="BO8" s="31" t="e">
        <f>VLOOKUP(BM1,'[6]RK FORN JUN 24'!$A$1:$M$121,13,FALSE)</f>
        <v>#N/A</v>
      </c>
      <c r="BP8" s="31" t="e">
        <f>VLOOKUP(BP1,'[6]RK FORN JUN 24'!$A$1:$M$121,8,FALSE)</f>
        <v>#N/A</v>
      </c>
      <c r="BQ8" s="31" t="e">
        <f>VLOOKUP(BP1,'[6]RK FORN JUN 24'!$A$1:$M$121,12,FALSE)</f>
        <v>#N/A</v>
      </c>
      <c r="BR8" s="31" t="e">
        <f>VLOOKUP(BP1,'[6]RK FORN JUN 24'!$A$1:$M$121,13,FALSE)</f>
        <v>#N/A</v>
      </c>
      <c r="BS8" s="31" t="e">
        <f>VLOOKUP(BS1,'[6]RK FORN JUN 24'!$A$1:$M$121,8,FALSE)</f>
        <v>#N/A</v>
      </c>
      <c r="BT8" s="31" t="e">
        <f>VLOOKUP(BS1,'[6]RK FORN JUN 24'!$A$1:$M$121,12,FALSE)</f>
        <v>#N/A</v>
      </c>
      <c r="BU8" s="31" t="e">
        <f>VLOOKUP(BS1,'[6]RK FORN JUN 24'!$A$1:$M$121,13,FALSE)</f>
        <v>#N/A</v>
      </c>
      <c r="BV8" s="30">
        <f>VLOOKUP(BV1,'[6]RK FORN JUN 24'!$A$1:$M$121,8,FALSE)</f>
        <v>5096.66</v>
      </c>
      <c r="BW8" s="31">
        <f>VLOOKUP(BV1,'[6]RK FORN JUN 24'!$A$1:$M$121,12,FALSE)</f>
        <v>42.53</v>
      </c>
      <c r="BX8" s="31">
        <f>VLOOKUP(BV1,'[6]RK FORN JUN 24'!$A$1:$M$121,13,FALSE)</f>
        <v>0.41</v>
      </c>
      <c r="BY8" s="30">
        <f>VLOOKUP(BY1,'[6]RK FORN JUN 24'!$A$1:$M$121,8,FALSE)</f>
        <v>10552.64</v>
      </c>
      <c r="BZ8" s="31">
        <f>VLOOKUP(BY1,'[6]RK FORN JUN 24'!$A$1:$M$121,12,FALSE)</f>
        <v>41.4</v>
      </c>
      <c r="CA8" s="31">
        <f>VLOOKUP(BY1,'[6]RK FORN JUN 24'!$A$1:$M$121,13,FALSE)</f>
        <v>0.86</v>
      </c>
      <c r="CB8" s="31" t="e">
        <f>VLOOKUP(CB1,'[6]RK FORN JUN 24'!$A$1:$M$121,8,FALSE)</f>
        <v>#N/A</v>
      </c>
      <c r="CC8" s="31" t="e">
        <f>VLOOKUP(CB1,'[6]RK FORN JUN 24'!$A$1:$M$121,12,FALSE)</f>
        <v>#N/A</v>
      </c>
      <c r="CD8" s="31" t="e">
        <f>VLOOKUP(CB1,'[6]RK FORN JUN 24'!$A$1:$M$121,13,FALSE)</f>
        <v>#N/A</v>
      </c>
      <c r="CE8" s="30">
        <f>VLOOKUP(CE1,'[6]RK FORN JUN 24'!$A$1:$M$121,8,FALSE)</f>
        <v>9720.2999999999993</v>
      </c>
      <c r="CF8" s="31">
        <f>VLOOKUP(CE1,'[6]RK FORN JUN 24'!$A$1:$M$121,12,FALSE)</f>
        <v>34.89</v>
      </c>
      <c r="CG8" s="31">
        <f>VLOOKUP(CE1,'[6]RK FORN JUN 24'!$A$1:$M$121,13,FALSE)</f>
        <v>0.78</v>
      </c>
      <c r="CH8" s="30">
        <f>VLOOKUP(CH1,'[6]RK FORN JUN 24'!$A$1:$M$121,8,FALSE)</f>
        <v>10046.65</v>
      </c>
      <c r="CI8" s="31">
        <f>VLOOKUP(CH1,'[6]RK FORN JUN 24'!$A$1:$M$121,12,FALSE)</f>
        <v>46.87</v>
      </c>
      <c r="CJ8" s="31">
        <f>VLOOKUP(CH1,'[6]RK FORN JUN 24'!$A$1:$M$121,13,FALSE)</f>
        <v>0.81</v>
      </c>
      <c r="CK8" s="30">
        <f>VLOOKUP(CK1,'[6]RK FORN JUN 24'!$A$1:$M$121,8,FALSE)</f>
        <v>7724.85</v>
      </c>
      <c r="CL8" s="31">
        <f>VLOOKUP(CK1,'[6]RK FORN JUN 24'!$A$1:$M$121,12,FALSE)</f>
        <v>37.590000000000003</v>
      </c>
      <c r="CM8" s="31">
        <f>VLOOKUP(CK1,'[6]RK FORN JUN 24'!$A$1:$M$121,13,FALSE)</f>
        <v>0.62</v>
      </c>
      <c r="CN8" s="30">
        <f>VLOOKUP(CN1,'[6]RK FORN JUN 24'!$A$1:$M$121,8,FALSE)</f>
        <v>6546.13</v>
      </c>
      <c r="CO8" s="31">
        <f>VLOOKUP(CN1,'[6]RK FORN JUN 24'!$A$1:$M$121,12,FALSE)</f>
        <v>41.91</v>
      </c>
      <c r="CP8" s="31">
        <f>VLOOKUP(CN1,'[6]RK FORN JUN 24'!$A$1:$M$121,13,FALSE)</f>
        <v>0.54</v>
      </c>
      <c r="CQ8" s="30">
        <f>VLOOKUP(CQ1,'[6]RK FORN JUN 24'!$A$1:$M$121,8,FALSE)</f>
        <v>6698.26</v>
      </c>
      <c r="CR8" s="31">
        <f>VLOOKUP(CQ1,'[6]RK FORN JUN 24'!$A$1:$M$121,12,FALSE)</f>
        <v>44.36</v>
      </c>
      <c r="CS8" s="31">
        <f>VLOOKUP(CQ1,'[6]RK FORN JUN 24'!$A$1:$M$121,13,FALSE)</f>
        <v>0.54</v>
      </c>
      <c r="CT8" s="30">
        <f>VLOOKUP(CT1,'[6]RK FORN JUN 24'!$A$1:$M$121,8,FALSE)</f>
        <v>7827.73</v>
      </c>
      <c r="CU8" s="31">
        <f>VLOOKUP(CT1,'[6]RK FORN JUN 24'!$A$1:$M$121,12,FALSE)</f>
        <v>30.88</v>
      </c>
      <c r="CV8" s="31">
        <f>VLOOKUP(CT1,'[6]RK FORN JUN 24'!$A$1:$M$121,13,FALSE)</f>
        <v>0.63</v>
      </c>
      <c r="CW8" s="30">
        <f>VLOOKUP(CW1,'[6]RK FORN JUN 24'!$A$1:$M$121,8,FALSE)</f>
        <v>4113.88</v>
      </c>
      <c r="CX8" s="31">
        <f>VLOOKUP(CW1,'[6]RK FORN JUN 24'!$A$1:$M$121,12,FALSE)</f>
        <v>38.49</v>
      </c>
      <c r="CY8" s="31">
        <f>VLOOKUP(CW1,'[6]RK FORN JUN 24'!$A$1:$M$121,13,FALSE)</f>
        <v>0.34</v>
      </c>
      <c r="CZ8" s="30">
        <f>VLOOKUP(CZ1,'[6]RK FORN JUN 24'!$A$1:$M$121,8,FALSE)</f>
        <v>6566.81</v>
      </c>
      <c r="DA8" s="31">
        <f>VLOOKUP(CZ1,'[6]RK FORN JUN 24'!$A$1:$M$121,12,FALSE)</f>
        <v>38.1</v>
      </c>
      <c r="DB8" s="31">
        <f>VLOOKUP(CZ1,'[6]RK FORN JUN 24'!$A$1:$M$121,13,FALSE)</f>
        <v>0.53</v>
      </c>
      <c r="DC8" s="31" t="e">
        <f>VLOOKUP(DC1,'[6]RK FORN JUN 24'!$A$1:$M$121,8,FALSE)</f>
        <v>#N/A</v>
      </c>
      <c r="DD8" s="31" t="e">
        <f>VLOOKUP(DC1,'[6]RK FORN JUN 24'!$A$1:$M$121,12,FALSE)</f>
        <v>#N/A</v>
      </c>
      <c r="DE8" s="31" t="e">
        <f>VLOOKUP(DC1,'[6]RK FORN JUN 24'!$A$1:$M$121,13,FALSE)</f>
        <v>#N/A</v>
      </c>
      <c r="DF8" s="30">
        <f>VLOOKUP(DF1,'[6]RK FORN JUN 24'!$A$1:$M$121,8,FALSE)</f>
        <v>3588.36</v>
      </c>
      <c r="DG8" s="31">
        <f>VLOOKUP(DF1,'[6]RK FORN JUN 24'!$A$1:$M$121,12,FALSE)</f>
        <v>39.75</v>
      </c>
      <c r="DH8" s="31">
        <f>VLOOKUP(DF1,'[6]RK FORN JUN 24'!$A$1:$M$121,13,FALSE)</f>
        <v>0.3</v>
      </c>
      <c r="DI8" s="30">
        <f>VLOOKUP(DI1,'[6]RK FORN JUN 24'!$A$1:$M$121,8,FALSE)</f>
        <v>5934.79</v>
      </c>
      <c r="DJ8" s="31">
        <f>VLOOKUP(DI1,'[6]RK FORN JUN 24'!$A$1:$M$121,12,FALSE)</f>
        <v>35.619999999999997</v>
      </c>
      <c r="DK8" s="31">
        <f>VLOOKUP(DI1,'[6]RK FORN JUN 24'!$A$1:$M$121,13,FALSE)</f>
        <v>0.51</v>
      </c>
      <c r="DL8" s="30">
        <f>VLOOKUP(DL1,'[6]RK FORN JUN 24'!$A$1:$M$121,8,FALSE)</f>
        <v>15369.14</v>
      </c>
      <c r="DM8" s="31">
        <f>VLOOKUP(DL1,'[6]RK FORN JUN 24'!$A$1:$M$121,12,FALSE)</f>
        <v>37.159999999999997</v>
      </c>
      <c r="DN8" s="31">
        <f>VLOOKUP(DL1,'[6]RK FORN JUN 24'!$A$1:$M$121,13,FALSE)</f>
        <v>1.24</v>
      </c>
      <c r="DO8" s="30">
        <f>VLOOKUP(DO1,'[6]RK FORN JUN 24'!$A$1:$M$121,8,FALSE)</f>
        <v>33840.300000000003</v>
      </c>
      <c r="DP8" s="31">
        <f>VLOOKUP(DO1,'[6]RK FORN JUN 24'!$A$1:$M$121,12,FALSE)</f>
        <v>20.440000000000001</v>
      </c>
      <c r="DQ8" s="31">
        <f>VLOOKUP(DO1,'[6]RK FORN JUN 24'!$A$1:$M$121,13,FALSE)</f>
        <v>2.76</v>
      </c>
      <c r="DR8" s="30">
        <f>VLOOKUP(DR1,'[6]RK FORN JUN 24'!$A$1:$M$121,8,FALSE)</f>
        <v>1462.59</v>
      </c>
      <c r="DS8" s="31">
        <f>VLOOKUP(DR1,'[6]RK FORN JUN 24'!$A$1:$M$121,12,FALSE)</f>
        <v>38.42</v>
      </c>
      <c r="DT8" s="31">
        <f>VLOOKUP(DR1,'[6]RK FORN JUN 24'!$A$1:$M$121,13,FALSE)</f>
        <v>0.12</v>
      </c>
      <c r="DU8" s="30" t="e">
        <f>VLOOKUP(DU1,'[6]RK FORN JUN 24'!$A$1:$M$121,8,FALSE)</f>
        <v>#N/A</v>
      </c>
      <c r="DV8" s="31" t="e">
        <f>VLOOKUP(DU1,'[6]RK FORN JUN 24'!$A$1:$M$121,12,FALSE)</f>
        <v>#N/A</v>
      </c>
      <c r="DW8" s="31" t="e">
        <f>VLOOKUP(DU1,'[6]RK FORN JUN 24'!$A$1:$M$121,13,FALSE)</f>
        <v>#N/A</v>
      </c>
      <c r="DX8" s="30">
        <f>VLOOKUP(DX1,'[6]RK FORN JUN 24'!$A$1:$M$121,8,FALSE)</f>
        <v>617.79999999999995</v>
      </c>
      <c r="DY8" s="31">
        <f>VLOOKUP(DX1,'[6]RK FORN JUN 24'!$A$1:$M$121,12,FALSE)</f>
        <v>38.4</v>
      </c>
      <c r="DZ8" s="31">
        <f>VLOOKUP(DX1,'[6]RK FORN JUN 24'!$A$1:$M$121,13,FALSE)</f>
        <v>0.05</v>
      </c>
      <c r="EA8" s="30">
        <f>VLOOKUP(EA1,'[6]RK FORN JUN 24'!$A$1:$M$121,8,FALSE)</f>
        <v>15962.4753</v>
      </c>
      <c r="EB8" s="31">
        <f>VLOOKUP(EA1,'[6]RK FORN JUN 24'!$A$1:$M$121,12,FALSE)</f>
        <v>40.200000000000003</v>
      </c>
      <c r="EC8" s="31">
        <f>VLOOKUP(EA1,'[6]RK FORN JUN 24'!$A$1:$M$121,13,FALSE)</f>
        <v>1.28</v>
      </c>
    </row>
    <row r="9" spans="1:133" x14ac:dyDescent="0.2">
      <c r="A9" s="32">
        <v>45474</v>
      </c>
      <c r="B9" s="30">
        <f>VLOOKUP(B1,'[7]RK FORN JUL 24'!$A$1:$M$120,8,FALSE)</f>
        <v>183018.2647</v>
      </c>
      <c r="C9" s="31">
        <f>VLOOKUP(B1,'[7]RK FORN JUL 24'!$A$1:$M$120,12,FALSE)</f>
        <v>29.36</v>
      </c>
      <c r="D9" s="31">
        <f>VLOOKUP(B1,'[7]RK FORN JUL 24'!$A$1:$M$120,13,FALSE)</f>
        <v>13.04</v>
      </c>
      <c r="E9" s="30">
        <f>VLOOKUP(E1,'[7]RK FORN JUL 24'!$A$1:$M$120,8,FALSE)</f>
        <v>87469.004799999995</v>
      </c>
      <c r="F9" s="31">
        <f>VLOOKUP(E1,'[7]RK FORN JUL 24'!$A$1:$M$120,12,FALSE)</f>
        <v>40.270000000000003</v>
      </c>
      <c r="G9" s="31">
        <f>VLOOKUP(E1,'[7]RK FORN JUL 24'!$A$1:$M$120,13,FALSE)</f>
        <v>5.98</v>
      </c>
      <c r="H9" s="31" t="e">
        <f>VLOOKUP(H1,'[7]RK FORN JUL 24'!$A$1:$M$120,8,FALSE)</f>
        <v>#N/A</v>
      </c>
      <c r="I9" s="31" t="e">
        <f>VLOOKUP(H1,'[7]RK FORN JUL 24'!$A$1:$M$120,12,FALSE)</f>
        <v>#N/A</v>
      </c>
      <c r="J9" s="31" t="e">
        <f>VLOOKUP(H1,'[7]RK FORN JUL 24'!$A$1:$M$120,13,FALSE)</f>
        <v>#N/A</v>
      </c>
      <c r="K9" s="30">
        <f>VLOOKUP(K1,'[7]RK FORN JUL 24'!$A$1:$M$120,8,FALSE)</f>
        <v>69808.41</v>
      </c>
      <c r="L9" s="31">
        <f>VLOOKUP(K1,'[7]RK FORN JUL 24'!$A$1:$M$120,12,FALSE)</f>
        <v>32.880000000000003</v>
      </c>
      <c r="M9" s="31">
        <f>VLOOKUP(K1,'[7]RK FORN JUL 24'!$A$1:$M$120,13,FALSE)</f>
        <v>4.75</v>
      </c>
      <c r="N9" s="30">
        <f>VLOOKUP(N1,'[7]RK FORN JUL 24'!$A$1:$M$120,8,FALSE)</f>
        <v>102672.34</v>
      </c>
      <c r="O9" s="31">
        <f>VLOOKUP(N1,'[7]RK FORN JUL 24'!$A$1:$M$120,12,FALSE)</f>
        <v>34.520000000000003</v>
      </c>
      <c r="P9" s="31">
        <f>VLOOKUP(N1,'[7]RK FORN JUL 24'!$A$1:$M$120,13,FALSE)</f>
        <v>7.06</v>
      </c>
      <c r="Q9" s="30">
        <f>VLOOKUP(Q1,'[7]RK FORN JUL 24'!$A$1:$M$120,8,FALSE)</f>
        <v>172209.693</v>
      </c>
      <c r="R9" s="31">
        <f>VLOOKUP(Q1,'[7]RK FORN JUL 24'!$A$1:$M$120,12,FALSE)</f>
        <v>35.86</v>
      </c>
      <c r="S9" s="31">
        <f>VLOOKUP(Q1,'[7]RK FORN JUL 24'!$A$1:$M$120,13,FALSE)</f>
        <v>11.97</v>
      </c>
      <c r="T9" s="30">
        <f>VLOOKUP(T1,'[7]RK FORN JUL 24'!$A$1:$M$120,8,FALSE)</f>
        <v>49712.47</v>
      </c>
      <c r="U9" s="31">
        <f>VLOOKUP(T1,'[7]RK FORN JUL 24'!$A$1:$M$120,12,FALSE)</f>
        <v>36.06</v>
      </c>
      <c r="V9" s="31">
        <f>VLOOKUP(T1,'[7]RK FORN JUL 24'!$A$1:$M$120,13,FALSE)</f>
        <v>3.42</v>
      </c>
      <c r="W9" s="30">
        <f>VLOOKUP(W1,'[7]RK FORN JUL 24'!$A$1:$M$120,8,FALSE)</f>
        <v>71359.672300000006</v>
      </c>
      <c r="X9" s="31">
        <f>VLOOKUP(W1,'[7]RK FORN JUL 24'!$A$1:$M$120,12,FALSE)</f>
        <v>38.43</v>
      </c>
      <c r="Y9" s="31">
        <f>VLOOKUP(W1,'[7]RK FORN JUL 24'!$A$1:$M$120,13,FALSE)</f>
        <v>5.0599999999999996</v>
      </c>
      <c r="Z9" s="30">
        <f>VLOOKUP(Z1,'[7]RK FORN JUL 24'!$A$1:$M$120,8,FALSE)</f>
        <v>27284.3658</v>
      </c>
      <c r="AA9" s="31">
        <f>VLOOKUP(Z1,'[7]RK FORN JUL 24'!$A$1:$M$120,12,FALSE)</f>
        <v>37.1</v>
      </c>
      <c r="AB9" s="31">
        <f>VLOOKUP(Z1,'[7]RK FORN JUL 24'!$A$1:$M$120,13,FALSE)</f>
        <v>1.85</v>
      </c>
      <c r="AC9" s="30">
        <f>VLOOKUP(AC1,'[7]RK FORN JUL 24'!$A$1:$M$120,8,FALSE)</f>
        <v>71359.672300000006</v>
      </c>
      <c r="AD9" s="31">
        <f>VLOOKUP(AC1,'[7]RK FORN JUL 24'!$A$1:$M$120,12,FALSE)</f>
        <v>38.43</v>
      </c>
      <c r="AE9" s="31">
        <f>VLOOKUP(AC1,'[7]RK FORN JUL 24'!$A$1:$M$120,13,FALSE)</f>
        <v>5.0599999999999996</v>
      </c>
      <c r="AF9" s="30">
        <f>VLOOKUP(AF1,'[7]RK FORN JUL 24'!$A$1:$M$120,8,FALSE)</f>
        <v>40640.17</v>
      </c>
      <c r="AG9" s="31">
        <f>VLOOKUP(AF1,'[7]RK FORN JUL 24'!$A$1:$M$120,12,FALSE)</f>
        <v>32.1</v>
      </c>
      <c r="AH9" s="31">
        <f>VLOOKUP(AF1,'[7]RK FORN JUL 24'!$A$1:$M$120,13,FALSE)</f>
        <v>2.84</v>
      </c>
      <c r="AI9" s="30">
        <f>VLOOKUP(AI1,'[7]RK FORN JUL 24'!$A$1:$M$120,8,FALSE)</f>
        <v>6384.9996000000001</v>
      </c>
      <c r="AJ9" s="31">
        <f>VLOOKUP(AI1,'[7]RK FORN JUL 24'!$A$1:$M$120,12,FALSE)</f>
        <v>33.46</v>
      </c>
      <c r="AK9" s="31">
        <f>VLOOKUP(AI1,'[7]RK FORN JUL 24'!$A$1:$M$120,13,FALSE)</f>
        <v>0.43</v>
      </c>
      <c r="AL9" s="30">
        <f>VLOOKUP(AL1,'[7]RK FORN JUL 24'!$A$1:$M$120,8,FALSE)</f>
        <v>22869.53</v>
      </c>
      <c r="AM9" s="31">
        <f>VLOOKUP(AL1,'[7]RK FORN JUL 24'!$A$1:$M$120,12,FALSE)</f>
        <v>44.79</v>
      </c>
      <c r="AN9" s="31">
        <f>VLOOKUP(AL1,'[7]RK FORN JUL 24'!$A$1:$M$120,13,FALSE)</f>
        <v>1.55</v>
      </c>
      <c r="AO9" s="30">
        <f>VLOOKUP(AO1,'[7]RK FORN JUL 24'!$A$1:$M$120,8,FALSE)</f>
        <v>30721.66</v>
      </c>
      <c r="AP9" s="31">
        <f>VLOOKUP(AO1,'[7]RK FORN JUL 24'!$A$1:$M$120,12,FALSE)</f>
        <v>13.74</v>
      </c>
      <c r="AQ9" s="31">
        <f>VLOOKUP(AO1,'[7]RK FORN JUL 24'!$A$1:$M$120,13,FALSE)</f>
        <v>2.15</v>
      </c>
      <c r="AR9" s="30">
        <f>VLOOKUP(AR1,'[7]RK FORN JUL 24'!$A$1:$M$120,8,FALSE)</f>
        <v>33606.92</v>
      </c>
      <c r="AS9" s="31">
        <f>VLOOKUP(AR1,'[7]RK FORN JUL 24'!$A$1:$M$120,12,FALSE)</f>
        <v>31.1</v>
      </c>
      <c r="AT9" s="31">
        <f>VLOOKUP(AR1,'[7]RK FORN JUL 24'!$A$1:$M$120,13,FALSE)</f>
        <v>2.2999999999999998</v>
      </c>
      <c r="AU9" s="30">
        <f>VLOOKUP(AU1,'[7]RK FORN JUL 24'!$A$1:$M$120,8,FALSE)</f>
        <v>45482.91</v>
      </c>
      <c r="AV9" s="31">
        <f>VLOOKUP(AU1,'[7]RK FORN JUL 24'!$A$1:$M$120,12,FALSE)</f>
        <v>34.549999999999997</v>
      </c>
      <c r="AW9" s="31">
        <f>VLOOKUP(AU1,'[7]RK FORN JUL 24'!$A$1:$M$120,13,FALSE)</f>
        <v>3.11</v>
      </c>
      <c r="AX9" s="30">
        <f>VLOOKUP(AX1,'[7]RK FORN JUL 24'!$A$1:$M$120,8,FALSE)</f>
        <v>984.34</v>
      </c>
      <c r="AY9" s="31">
        <f>VLOOKUP(AX1,'[7]RK FORN JUL 24'!$A$1:$M$120,12,FALSE)</f>
        <v>23.76</v>
      </c>
      <c r="AZ9" s="31">
        <f>VLOOKUP(AX1,'[7]RK FORN JUL 24'!$A$1:$M$120,13,FALSE)</f>
        <v>7.0000000000000007E-2</v>
      </c>
      <c r="BA9" s="30">
        <f>VLOOKUP(BA1,'[7]RK FORN JUL 24'!$A$1:$M$120,8,FALSE)</f>
        <v>21473.69</v>
      </c>
      <c r="BB9" s="31">
        <f>VLOOKUP(BA1,'[7]RK FORN JUL 24'!$A$1:$M$120,12,FALSE)</f>
        <v>36.869999999999997</v>
      </c>
      <c r="BC9" s="31">
        <f>VLOOKUP(BA1,'[7]RK FORN JUL 24'!$A$1:$M$120,13,FALSE)</f>
        <v>1.49</v>
      </c>
      <c r="BD9" s="30">
        <f>VLOOKUP(BD1,'[7]RK FORN JUL 24'!$A$1:$M$120,8,FALSE)</f>
        <v>15769.86</v>
      </c>
      <c r="BE9" s="31">
        <f>VLOOKUP(BD1,'[7]RK FORN JUL 24'!$A$1:$M$120,12,FALSE)</f>
        <v>49.83</v>
      </c>
      <c r="BF9" s="31">
        <f>VLOOKUP(BD1,'[7]RK FORN JUL 24'!$A$1:$M$120,13,FALSE)</f>
        <v>1.0900000000000001</v>
      </c>
      <c r="BG9" s="30">
        <f>VLOOKUP(BG1,'[7]RK FORN JUL 24'!$A$1:$M$120,8,FALSE)</f>
        <v>11417.4</v>
      </c>
      <c r="BH9" s="31">
        <f>VLOOKUP(BG1,'[7]RK FORN JUL 24'!$A$1:$M$120,12,FALSE)</f>
        <v>42.1</v>
      </c>
      <c r="BI9" s="31">
        <f>VLOOKUP(BG1,'[7]RK FORN JUL 24'!$A$1:$M$120,13,FALSE)</f>
        <v>0.79</v>
      </c>
      <c r="BJ9" s="31" t="e">
        <f>VLOOKUP(BJ1,'[7]RK FORN JUL 24'!$A$1:$M$120,8,FALSE)</f>
        <v>#N/A</v>
      </c>
      <c r="BK9" s="31" t="e">
        <f>VLOOKUP(BJ1,'[7]RK FORN JUL 24'!$A$1:$M$120,12,FALSE)</f>
        <v>#N/A</v>
      </c>
      <c r="BL9" s="31" t="e">
        <f>VLOOKUP(BJ1,'[7]RK FORN JUL 24'!$A$1:$M$120,13,FALSE)</f>
        <v>#N/A</v>
      </c>
      <c r="BM9" s="31" t="e">
        <f>VLOOKUP(BM1,'[7]RK FORN JUL 24'!$A$1:$M$120,8,FALSE)</f>
        <v>#N/A</v>
      </c>
      <c r="BN9" s="31" t="e">
        <f>VLOOKUP(BM1,'[7]RK FORN JUL 24'!$A$1:$M$120,12,FALSE)</f>
        <v>#N/A</v>
      </c>
      <c r="BO9" s="31" t="e">
        <f>VLOOKUP(BM1,'[7]RK FORN JUL 24'!$A$1:$M$120,13,FALSE)</f>
        <v>#N/A</v>
      </c>
      <c r="BP9" s="31" t="e">
        <f>VLOOKUP(BP1,'[7]RK FORN JUL 24'!$A$1:$M$120,8,FALSE)</f>
        <v>#N/A</v>
      </c>
      <c r="BQ9" s="31" t="e">
        <f>VLOOKUP(BP1,'[7]RK FORN JUL 24'!$A$1:$M$120,12,FALSE)</f>
        <v>#N/A</v>
      </c>
      <c r="BR9" s="31" t="e">
        <f>VLOOKUP(BP1,'[7]RK FORN JUL 24'!$A$1:$M$120,13,FALSE)</f>
        <v>#N/A</v>
      </c>
      <c r="BS9" s="31" t="e">
        <f>VLOOKUP(BS1,'[7]RK FORN JUL 24'!$A$1:$M$120,8,FALSE)</f>
        <v>#N/A</v>
      </c>
      <c r="BT9" s="31" t="e">
        <f>VLOOKUP(BS1,'[7]RK FORN JUL 24'!$A$1:$M$120,12,FALSE)</f>
        <v>#N/A</v>
      </c>
      <c r="BU9" s="31" t="e">
        <f>VLOOKUP(BS1,'[7]RK FORN JUL 24'!$A$1:$M$120,13,FALSE)</f>
        <v>#N/A</v>
      </c>
      <c r="BV9" s="30">
        <f>VLOOKUP(BV1,'[7]RK FORN JUL 24'!$A$1:$M$120,8,FALSE)</f>
        <v>13303.96</v>
      </c>
      <c r="BW9" s="31">
        <f>VLOOKUP(BV1,'[7]RK FORN JUL 24'!$A$1:$M$120,12,FALSE)</f>
        <v>39.17</v>
      </c>
      <c r="BX9" s="31">
        <f>VLOOKUP(BV1,'[7]RK FORN JUL 24'!$A$1:$M$120,13,FALSE)</f>
        <v>0.91</v>
      </c>
      <c r="BY9" s="30">
        <f>VLOOKUP(BY1,'[7]RK FORN JUL 24'!$A$1:$M$120,8,FALSE)</f>
        <v>18127.990000000002</v>
      </c>
      <c r="BZ9" s="31">
        <f>VLOOKUP(BY1,'[7]RK FORN JUL 24'!$A$1:$M$120,12,FALSE)</f>
        <v>39.65</v>
      </c>
      <c r="CA9" s="31">
        <f>VLOOKUP(BY1,'[7]RK FORN JUL 24'!$A$1:$M$120,13,FALSE)</f>
        <v>1.26</v>
      </c>
      <c r="CB9" s="31" t="e">
        <f>VLOOKUP(CB1,'[7]RK FORN JUL 24'!$A$1:$M$120,8,FALSE)</f>
        <v>#N/A</v>
      </c>
      <c r="CC9" s="31" t="e">
        <f>VLOOKUP(CB1,'[7]RK FORN JUL 24'!$A$1:$M$120,12,FALSE)</f>
        <v>#N/A</v>
      </c>
      <c r="CD9" s="31" t="e">
        <f>VLOOKUP(CB1,'[7]RK FORN JUL 24'!$A$1:$M$120,13,FALSE)</f>
        <v>#N/A</v>
      </c>
      <c r="CE9" s="30">
        <f>VLOOKUP(CE1,'[7]RK FORN JUL 24'!$A$1:$M$120,8,FALSE)</f>
        <v>11104.89</v>
      </c>
      <c r="CF9" s="31">
        <f>VLOOKUP(CE1,'[7]RK FORN JUL 24'!$A$1:$M$120,12,FALSE)</f>
        <v>34.880000000000003</v>
      </c>
      <c r="CG9" s="31">
        <f>VLOOKUP(CE1,'[7]RK FORN JUL 24'!$A$1:$M$120,13,FALSE)</f>
        <v>0.78</v>
      </c>
      <c r="CH9" s="30">
        <f>VLOOKUP(CH1,'[7]RK FORN JUL 24'!$A$1:$M$120,8,FALSE)</f>
        <v>8927.25</v>
      </c>
      <c r="CI9" s="31">
        <f>VLOOKUP(CH1,'[7]RK FORN JUL 24'!$A$1:$M$120,12,FALSE)</f>
        <v>45.52</v>
      </c>
      <c r="CJ9" s="31">
        <f>VLOOKUP(CH1,'[7]RK FORN JUL 24'!$A$1:$M$120,13,FALSE)</f>
        <v>0.62</v>
      </c>
      <c r="CK9" s="30">
        <f>VLOOKUP(CK1,'[7]RK FORN JUL 24'!$A$1:$M$120,8,FALSE)</f>
        <v>16114.17</v>
      </c>
      <c r="CL9" s="31">
        <f>VLOOKUP(CK1,'[7]RK FORN JUL 24'!$A$1:$M$120,12,FALSE)</f>
        <v>37.5</v>
      </c>
      <c r="CM9" s="31">
        <f>VLOOKUP(CK1,'[7]RK FORN JUL 24'!$A$1:$M$120,13,FALSE)</f>
        <v>1.1299999999999999</v>
      </c>
      <c r="CN9" s="30">
        <f>VLOOKUP(CN1,'[7]RK FORN JUL 24'!$A$1:$M$120,8,FALSE)</f>
        <v>8279.9699999999993</v>
      </c>
      <c r="CO9" s="31">
        <f>VLOOKUP(CN1,'[7]RK FORN JUL 24'!$A$1:$M$120,12,FALSE)</f>
        <v>42.98</v>
      </c>
      <c r="CP9" s="31">
        <f>VLOOKUP(CN1,'[7]RK FORN JUL 24'!$A$1:$M$120,13,FALSE)</f>
        <v>0.56999999999999995</v>
      </c>
      <c r="CQ9" s="30">
        <f>VLOOKUP(CQ1,'[7]RK FORN JUL 24'!$A$1:$M$120,8,FALSE)</f>
        <v>5410.91</v>
      </c>
      <c r="CR9" s="31">
        <f>VLOOKUP(CQ1,'[7]RK FORN JUL 24'!$A$1:$M$120,12,FALSE)</f>
        <v>44.2</v>
      </c>
      <c r="CS9" s="31">
        <f>VLOOKUP(CQ1,'[7]RK FORN JUL 24'!$A$1:$M$120,13,FALSE)</f>
        <v>0.37</v>
      </c>
      <c r="CT9" s="30">
        <f>VLOOKUP(CT1,'[7]RK FORN JUL 24'!$A$1:$M$120,8,FALSE)</f>
        <v>8867.5</v>
      </c>
      <c r="CU9" s="31">
        <f>VLOOKUP(CT1,'[7]RK FORN JUL 24'!$A$1:$M$120,12,FALSE)</f>
        <v>29.94</v>
      </c>
      <c r="CV9" s="31">
        <f>VLOOKUP(CT1,'[7]RK FORN JUL 24'!$A$1:$M$120,13,FALSE)</f>
        <v>0.6</v>
      </c>
      <c r="CW9" s="30">
        <f>VLOOKUP(CW1,'[7]RK FORN JUL 24'!$A$1:$M$120,8,FALSE)</f>
        <v>4530.93</v>
      </c>
      <c r="CX9" s="31">
        <f>VLOOKUP(CW1,'[7]RK FORN JUL 24'!$A$1:$M$120,12,FALSE)</f>
        <v>38.909999999999997</v>
      </c>
      <c r="CY9" s="31">
        <f>VLOOKUP(CW1,'[7]RK FORN JUL 24'!$A$1:$M$120,13,FALSE)</f>
        <v>0.32</v>
      </c>
      <c r="CZ9" s="30">
        <f>VLOOKUP(CZ1,'[7]RK FORN JUL 24'!$A$1:$M$120,8,FALSE)</f>
        <v>8766.64</v>
      </c>
      <c r="DA9" s="31">
        <f>VLOOKUP(CZ1,'[7]RK FORN JUL 24'!$A$1:$M$120,12,FALSE)</f>
        <v>38.090000000000003</v>
      </c>
      <c r="DB9" s="31">
        <f>VLOOKUP(CZ1,'[7]RK FORN JUL 24'!$A$1:$M$120,13,FALSE)</f>
        <v>0.6</v>
      </c>
      <c r="DC9" s="31" t="e">
        <f>VLOOKUP(DC1,'[7]RK FORN JUL 24'!$A$1:$M$120,8,FALSE)</f>
        <v>#N/A</v>
      </c>
      <c r="DD9" s="31" t="e">
        <f>VLOOKUP(DC1,'[7]RK FORN JUL 24'!$A$1:$M$120,12,FALSE)</f>
        <v>#N/A</v>
      </c>
      <c r="DE9" s="31" t="e">
        <f>VLOOKUP(DC1,'[7]RK FORN JUL 24'!$A$1:$M$120,13,FALSE)</f>
        <v>#N/A</v>
      </c>
      <c r="DF9" s="30">
        <f>VLOOKUP(DF1,'[7]RK FORN JUL 24'!$A$1:$M$120,8,FALSE)</f>
        <v>4903.59</v>
      </c>
      <c r="DG9" s="31">
        <f>VLOOKUP(DF1,'[7]RK FORN JUL 24'!$A$1:$M$120,12,FALSE)</f>
        <v>41.2</v>
      </c>
      <c r="DH9" s="31">
        <f>VLOOKUP(DF1,'[7]RK FORN JUL 24'!$A$1:$M$120,13,FALSE)</f>
        <v>0.34</v>
      </c>
      <c r="DI9" s="30">
        <f>VLOOKUP(DI1,'[7]RK FORN JUL 24'!$A$1:$M$120,8,FALSE)</f>
        <v>6687.4</v>
      </c>
      <c r="DJ9" s="31">
        <f>VLOOKUP(DI1,'[7]RK FORN JUL 24'!$A$1:$M$120,12,FALSE)</f>
        <v>36.270000000000003</v>
      </c>
      <c r="DK9" s="31">
        <f>VLOOKUP(DI1,'[7]RK FORN JUL 24'!$A$1:$M$120,13,FALSE)</f>
        <v>0.45</v>
      </c>
      <c r="DL9" s="30">
        <f>VLOOKUP(DL1,'[7]RK FORN JUL 24'!$A$1:$M$120,8,FALSE)</f>
        <v>16458.95</v>
      </c>
      <c r="DM9" s="31">
        <f>VLOOKUP(DL1,'[7]RK FORN JUL 24'!$A$1:$M$120,12,FALSE)</f>
        <v>35.29</v>
      </c>
      <c r="DN9" s="31">
        <f>VLOOKUP(DL1,'[7]RK FORN JUL 24'!$A$1:$M$120,13,FALSE)</f>
        <v>1.1399999999999999</v>
      </c>
      <c r="DO9" s="30">
        <f>VLOOKUP(DO1,'[7]RK FORN JUL 24'!$A$1:$M$120,8,FALSE)</f>
        <v>11542.7</v>
      </c>
      <c r="DP9" s="31">
        <f>VLOOKUP(DO1,'[7]RK FORN JUL 24'!$A$1:$M$120,12,FALSE)</f>
        <v>25.43</v>
      </c>
      <c r="DQ9" s="31">
        <f>VLOOKUP(DO1,'[7]RK FORN JUL 24'!$A$1:$M$120,13,FALSE)</f>
        <v>0.78</v>
      </c>
      <c r="DR9" s="30">
        <f>VLOOKUP(DR1,'[7]RK FORN JUL 24'!$A$1:$M$120,8,FALSE)</f>
        <v>1385</v>
      </c>
      <c r="DS9" s="31">
        <f>VLOOKUP(DR1,'[7]RK FORN JUL 24'!$A$1:$M$120,12,FALSE)</f>
        <v>36.21</v>
      </c>
      <c r="DT9" s="31">
        <f>VLOOKUP(DR1,'[7]RK FORN JUL 24'!$A$1:$M$120,13,FALSE)</f>
        <v>0.1</v>
      </c>
      <c r="DU9" s="30">
        <f>VLOOKUP(DU1,'[7]RK FORN JUL 24'!$A$1:$M$120,8,FALSE)</f>
        <v>53.8</v>
      </c>
      <c r="DV9" s="31">
        <f>VLOOKUP(DU1,'[7]RK FORN JUL 24'!$A$1:$M$120,12,FALSE)</f>
        <v>35.5</v>
      </c>
      <c r="DW9" s="31">
        <f>VLOOKUP(DU1,'[7]RK FORN JUL 24'!$A$1:$M$120,13,FALSE)</f>
        <v>0</v>
      </c>
      <c r="DX9" s="30">
        <f>VLOOKUP(DX1,'[7]RK FORN JUL 24'!$A$1:$M$120,8,FALSE)</f>
        <v>1096.46</v>
      </c>
      <c r="DY9" s="31">
        <f>VLOOKUP(DX1,'[7]RK FORN JUL 24'!$A$1:$M$120,12,FALSE)</f>
        <v>32.57</v>
      </c>
      <c r="DZ9" s="31">
        <f>VLOOKUP(DX1,'[7]RK FORN JUL 24'!$A$1:$M$120,13,FALSE)</f>
        <v>0.1</v>
      </c>
      <c r="EA9" s="30">
        <f>VLOOKUP(EA1,'[7]RK FORN JUL 24'!$A$1:$M$120,8,FALSE)</f>
        <v>15232.402</v>
      </c>
      <c r="EB9" s="31">
        <f>VLOOKUP(EA1,'[7]RK FORN JUL 24'!$A$1:$M$120,12,FALSE)</f>
        <v>38.6</v>
      </c>
      <c r="EC9" s="31">
        <f>VLOOKUP(EA1,'[7]RK FORN JUL 24'!$A$1:$M$120,13,FALSE)</f>
        <v>1.1000000000000001</v>
      </c>
    </row>
    <row r="10" spans="1:133" x14ac:dyDescent="0.2">
      <c r="A10" s="32">
        <v>45505</v>
      </c>
      <c r="B10" s="30">
        <f>VLOOKUP(B1,'[8]RK FORN AGO 24'!$A$1:$M$124,8,FALSE)</f>
        <v>70966.259399999995</v>
      </c>
      <c r="C10" s="31">
        <f>VLOOKUP(B1,'[8]RK FORN AGO 24'!$A$1:$M$124,12,FALSE)</f>
        <v>36.76</v>
      </c>
      <c r="D10" s="31">
        <f>VLOOKUP(B1,'[8]RK FORN AGO 24'!$A$1:$M$124,13,FALSE)</f>
        <v>4.82</v>
      </c>
      <c r="E10" s="30">
        <f>VLOOKUP(E1,'[8]RK FORN AGO 24'!$A$1:$M$124,8,FALSE)</f>
        <v>96717.172600000005</v>
      </c>
      <c r="F10" s="31">
        <f>VLOOKUP(E1,'[8]RK FORN AGO 24'!$A$1:$M$124,12,FALSE)</f>
        <v>39.32</v>
      </c>
      <c r="G10" s="31">
        <f>VLOOKUP(E1,'[8]RK FORN AGO 24'!$A$1:$M$124,13,FALSE)</f>
        <v>6.3</v>
      </c>
      <c r="H10" s="31" t="e">
        <f>VLOOKUP(H1,'[8]RK FORN AGO 24'!$A$1:$M$124,8,FALSE)</f>
        <v>#N/A</v>
      </c>
      <c r="I10" s="31" t="e">
        <f>VLOOKUP(H1,'[8]RK FORN AGO 24'!$A$1:$M$124,12,FALSE)</f>
        <v>#N/A</v>
      </c>
      <c r="J10" s="31" t="e">
        <f>VLOOKUP(H1,'[8]RK FORN AGO 24'!$A$1:$M$124,13,FALSE)</f>
        <v>#N/A</v>
      </c>
      <c r="K10" s="30">
        <f>VLOOKUP(K1,'[8]RK FORN AGO 24'!$A$1:$M$124,8,FALSE)</f>
        <v>81981.539999999994</v>
      </c>
      <c r="L10" s="31">
        <f>VLOOKUP(K1,'[8]RK FORN AGO 24'!$A$1:$M$124,12,FALSE)</f>
        <v>38.64</v>
      </c>
      <c r="M10" s="31">
        <f>VLOOKUP(K1,'[8]RK FORN AGO 24'!$A$1:$M$124,13,FALSE)</f>
        <v>5.36</v>
      </c>
      <c r="N10" s="30">
        <f>VLOOKUP(N1,'[8]RK FORN AGO 24'!$A$1:$M$124,8,FALSE)</f>
        <v>97799.37</v>
      </c>
      <c r="O10" s="31">
        <f>VLOOKUP(N1,'[8]RK FORN AGO 24'!$A$1:$M$124,12,FALSE)</f>
        <v>36.61</v>
      </c>
      <c r="P10" s="31">
        <f>VLOOKUP(N1,'[8]RK FORN AGO 24'!$A$1:$M$124,13,FALSE)</f>
        <v>6.46</v>
      </c>
      <c r="Q10" s="30">
        <f>VLOOKUP(Q1,'[8]RK FORN AGO 24'!$A$1:$M$124,8,FALSE)</f>
        <v>126069.413</v>
      </c>
      <c r="R10" s="31">
        <f>VLOOKUP(Q1,'[8]RK FORN AGO 24'!$A$1:$M$124,12,FALSE)</f>
        <v>37.74</v>
      </c>
      <c r="S10" s="31">
        <f>VLOOKUP(Q1,'[8]RK FORN AGO 24'!$A$1:$M$124,13,FALSE)</f>
        <v>8.24</v>
      </c>
      <c r="T10" s="30">
        <f>VLOOKUP(T1,'[8]RK FORN AGO 24'!$A$1:$M$124,8,FALSE)</f>
        <v>48532.69</v>
      </c>
      <c r="U10" s="31">
        <f>VLOOKUP(T1,'[8]RK FORN AGO 24'!$A$1:$M$124,12,FALSE)</f>
        <v>34.86</v>
      </c>
      <c r="V10" s="31">
        <f>VLOOKUP(T1,'[8]RK FORN AGO 24'!$A$1:$M$124,13,FALSE)</f>
        <v>3.19</v>
      </c>
      <c r="W10" s="30">
        <f>VLOOKUP(W1,'[8]RK FORN AGO 24'!$A$1:$M$124,8,FALSE)</f>
        <v>241450.27359999999</v>
      </c>
      <c r="X10" s="31">
        <f>VLOOKUP(W1,'[8]RK FORN AGO 24'!$A$1:$M$124,12,FALSE)</f>
        <v>34.58</v>
      </c>
      <c r="Y10" s="31">
        <f>VLOOKUP(W1,'[8]RK FORN AGO 24'!$A$1:$M$124,13,FALSE)</f>
        <v>15.87</v>
      </c>
      <c r="Z10" s="30">
        <f>VLOOKUP(Z1,'[8]RK FORN AGO 24'!$A$1:$M$124,8,FALSE)</f>
        <v>49662.266300000003</v>
      </c>
      <c r="AA10" s="31">
        <f>VLOOKUP(Z1,'[8]RK FORN AGO 24'!$A$1:$M$124,12,FALSE)</f>
        <v>36.89</v>
      </c>
      <c r="AB10" s="31">
        <f>VLOOKUP(Z1,'[8]RK FORN AGO 24'!$A$1:$M$124,13,FALSE)</f>
        <v>3.23</v>
      </c>
      <c r="AC10" s="30">
        <f>VLOOKUP(AC1,'[8]RK FORN AGO 24'!$A$1:$M$124,8,FALSE)</f>
        <v>241450.27359999999</v>
      </c>
      <c r="AD10" s="31">
        <f>VLOOKUP(AC1,'[8]RK FORN AGO 24'!$A$1:$M$124,12,FALSE)</f>
        <v>34.58</v>
      </c>
      <c r="AE10" s="31">
        <f>VLOOKUP(AC1,'[8]RK FORN AGO 24'!$A$1:$M$124,13,FALSE)</f>
        <v>15.87</v>
      </c>
      <c r="AF10" s="30">
        <f>VLOOKUP(AF1,'[8]RK FORN AGO 24'!$A$1:$M$124,8,FALSE)</f>
        <v>43626.68</v>
      </c>
      <c r="AG10" s="31">
        <f>VLOOKUP(AF1,'[8]RK FORN AGO 24'!$A$1:$M$124,12,FALSE)</f>
        <v>32.729999999999997</v>
      </c>
      <c r="AH10" s="31">
        <f>VLOOKUP(AF1,'[8]RK FORN AGO 24'!$A$1:$M$124,13,FALSE)</f>
        <v>2.9</v>
      </c>
      <c r="AI10" s="30">
        <f>VLOOKUP(AI1,'[8]RK FORN AGO 24'!$A$1:$M$124,8,FALSE)</f>
        <v>6500.5739999999996</v>
      </c>
      <c r="AJ10" s="31">
        <f>VLOOKUP(AI1,'[8]RK FORN AGO 24'!$A$1:$M$124,12,FALSE)</f>
        <v>36.450000000000003</v>
      </c>
      <c r="AK10" s="31">
        <f>VLOOKUP(AI1,'[8]RK FORN AGO 24'!$A$1:$M$124,13,FALSE)</f>
        <v>0.43</v>
      </c>
      <c r="AL10" s="30">
        <f>VLOOKUP(AL1,'[8]RK FORN AGO 24'!$A$1:$M$124,8,FALSE)</f>
        <v>19596.62</v>
      </c>
      <c r="AM10" s="31">
        <f>VLOOKUP(AL1,'[8]RK FORN AGO 24'!$A$1:$M$124,12,FALSE)</f>
        <v>44.23</v>
      </c>
      <c r="AN10" s="31">
        <f>VLOOKUP(AL1,'[8]RK FORN AGO 24'!$A$1:$M$124,13,FALSE)</f>
        <v>1.27</v>
      </c>
      <c r="AO10" s="30">
        <f>VLOOKUP(AO1,'[8]RK FORN AGO 24'!$A$1:$M$124,8,FALSE)</f>
        <v>-73.900000000000006</v>
      </c>
      <c r="AP10" s="31">
        <f>VLOOKUP(AO1,'[8]RK FORN AGO 24'!$A$1:$M$124,12,FALSE)</f>
        <v>0</v>
      </c>
      <c r="AQ10" s="31">
        <f>VLOOKUP(AO1,'[8]RK FORN AGO 24'!$A$1:$M$124,13,FALSE)</f>
        <v>0</v>
      </c>
      <c r="AR10" s="30">
        <f>VLOOKUP(AR1,'[8]RK FORN AGO 24'!$A$1:$M$124,8,FALSE)</f>
        <v>40097.33</v>
      </c>
      <c r="AS10" s="31">
        <f>VLOOKUP(AR1,'[8]RK FORN AGO 24'!$A$1:$M$124,12,FALSE)</f>
        <v>32.64</v>
      </c>
      <c r="AT10" s="31">
        <f>VLOOKUP(AR1,'[8]RK FORN AGO 24'!$A$1:$M$124,13,FALSE)</f>
        <v>2.61</v>
      </c>
      <c r="AU10" s="30">
        <f>VLOOKUP(AU1,'[8]RK FORN AGO 24'!$A$1:$M$124,8,FALSE)</f>
        <v>51336.14</v>
      </c>
      <c r="AV10" s="31">
        <f>VLOOKUP(AU1,'[8]RK FORN AGO 24'!$A$1:$M$124,12,FALSE)</f>
        <v>35.4</v>
      </c>
      <c r="AW10" s="31">
        <f>VLOOKUP(AU1,'[8]RK FORN AGO 24'!$A$1:$M$124,13,FALSE)</f>
        <v>3.44</v>
      </c>
      <c r="AX10" s="30">
        <f>VLOOKUP(AX1,'[8]RK FORN AGO 24'!$A$1:$M$124,8,FALSE)</f>
        <v>1296.31</v>
      </c>
      <c r="AY10" s="31">
        <f>VLOOKUP(AX1,'[8]RK FORN AGO 24'!$A$1:$M$124,12,FALSE)</f>
        <v>32.99</v>
      </c>
      <c r="AZ10" s="31">
        <f>VLOOKUP(AX1,'[8]RK FORN AGO 24'!$A$1:$M$124,13,FALSE)</f>
        <v>0.08</v>
      </c>
      <c r="BA10" s="30">
        <f>VLOOKUP(BA1,'[8]RK FORN AGO 24'!$A$1:$M$124,8,FALSE)</f>
        <v>13974.62</v>
      </c>
      <c r="BB10" s="31">
        <f>VLOOKUP(BA1,'[8]RK FORN AGO 24'!$A$1:$M$124,12,FALSE)</f>
        <v>38.57</v>
      </c>
      <c r="BC10" s="31">
        <f>VLOOKUP(BA1,'[8]RK FORN AGO 24'!$A$1:$M$124,13,FALSE)</f>
        <v>0.94</v>
      </c>
      <c r="BD10" s="30">
        <f>VLOOKUP(BD1,'[8]RK FORN AGO 24'!$A$1:$M$124,8,FALSE)</f>
        <v>13716.11</v>
      </c>
      <c r="BE10" s="31">
        <f>VLOOKUP(BD1,'[8]RK FORN AGO 24'!$A$1:$M$124,12,FALSE)</f>
        <v>50.57</v>
      </c>
      <c r="BF10" s="31">
        <f>VLOOKUP(BD1,'[8]RK FORN AGO 24'!$A$1:$M$124,13,FALSE)</f>
        <v>0.91</v>
      </c>
      <c r="BG10" s="30">
        <f>VLOOKUP(BG1,'[8]RK FORN AGO 24'!$A$1:$M$124,8,FALSE)</f>
        <v>9085.52</v>
      </c>
      <c r="BH10" s="31">
        <f>VLOOKUP(BG1,'[8]RK FORN AGO 24'!$A$1:$M$124,12,FALSE)</f>
        <v>39.28</v>
      </c>
      <c r="BI10" s="31">
        <f>VLOOKUP(BG1,'[8]RK FORN AGO 24'!$A$1:$M$124,13,FALSE)</f>
        <v>0.6</v>
      </c>
      <c r="BJ10" s="31" t="e">
        <f>VLOOKUP(BJ1,'[8]RK FORN AGO 24'!$A$1:$M$124,8,FALSE)</f>
        <v>#N/A</v>
      </c>
      <c r="BK10" s="31" t="e">
        <f>VLOOKUP(BJ1,'[8]RK FORN AGO 24'!$A$1:$M$124,12,FALSE)</f>
        <v>#N/A</v>
      </c>
      <c r="BL10" s="31" t="e">
        <f>VLOOKUP(BJ1,'[8]RK FORN AGO 24'!$A$1:$M$124,13,FALSE)</f>
        <v>#N/A</v>
      </c>
      <c r="BM10" s="31" t="e">
        <f>VLOOKUP(BM1,'[8]RK FORN AGO 24'!$A$1:$M$124,8,FALSE)</f>
        <v>#N/A</v>
      </c>
      <c r="BN10" s="31" t="e">
        <f>VLOOKUP(BM1,'[8]RK FORN AGO 24'!$A$1:$M$124,12,FALSE)</f>
        <v>#N/A</v>
      </c>
      <c r="BO10" s="31" t="e">
        <f>VLOOKUP(BM1,'[8]RK FORN AGO 24'!$A$1:$M$124,13,FALSE)</f>
        <v>#N/A</v>
      </c>
      <c r="BP10" s="31" t="e">
        <f>VLOOKUP(BP1,'[8]RK FORN AGO 24'!$A$1:$M$124,8,FALSE)</f>
        <v>#N/A</v>
      </c>
      <c r="BQ10" s="31" t="e">
        <f>VLOOKUP(BP1,'[8]RK FORN AGO 24'!$A$1:$M$124,12,FALSE)</f>
        <v>#N/A</v>
      </c>
      <c r="BR10" s="31" t="e">
        <f>VLOOKUP(BP1,'[8]RK FORN AGO 24'!$A$1:$M$124,13,FALSE)</f>
        <v>#N/A</v>
      </c>
      <c r="BS10" s="31" t="e">
        <f>VLOOKUP(BS1,'[8]RK FORN AGO 24'!$A$1:$M$124,8,FALSE)</f>
        <v>#N/A</v>
      </c>
      <c r="BT10" s="31" t="e">
        <f>VLOOKUP(BS1,'[8]RK FORN AGO 24'!$A$1:$M$124,12,FALSE)</f>
        <v>#N/A</v>
      </c>
      <c r="BU10" s="31" t="e">
        <f>VLOOKUP(BS1,'[8]RK FORN AGO 24'!$A$1:$M$124,13,FALSE)</f>
        <v>#N/A</v>
      </c>
      <c r="BV10" s="30">
        <f>VLOOKUP(BV1,'[8]RK FORN AGO 24'!$A$1:$M$124,8,FALSE)</f>
        <v>17588.02</v>
      </c>
      <c r="BW10" s="31">
        <f>VLOOKUP(BV1,'[8]RK FORN AGO 24'!$A$1:$M$124,12,FALSE)</f>
        <v>39.58</v>
      </c>
      <c r="BX10" s="31">
        <f>VLOOKUP(BV1,'[8]RK FORN AGO 24'!$A$1:$M$124,13,FALSE)</f>
        <v>1.1399999999999999</v>
      </c>
      <c r="BY10" s="30">
        <f>VLOOKUP(BY1,'[8]RK FORN AGO 24'!$A$1:$M$124,8,FALSE)</f>
        <v>11070.88</v>
      </c>
      <c r="BZ10" s="31">
        <f>VLOOKUP(BY1,'[8]RK FORN AGO 24'!$A$1:$M$124,12,FALSE)</f>
        <v>40.4</v>
      </c>
      <c r="CA10" s="31">
        <f>VLOOKUP(BY1,'[8]RK FORN AGO 24'!$A$1:$M$124,13,FALSE)</f>
        <v>0.73</v>
      </c>
      <c r="CB10" s="31" t="e">
        <f>VLOOKUP(CB1,'[8]RK FORN AGO 24'!$A$1:$M$124,8,FALSE)</f>
        <v>#N/A</v>
      </c>
      <c r="CC10" s="31" t="e">
        <f>VLOOKUP(CB1,'[8]RK FORN AGO 24'!$A$1:$M$124,12,FALSE)</f>
        <v>#N/A</v>
      </c>
      <c r="CD10" s="31" t="e">
        <f>VLOOKUP(CB1,'[8]RK FORN AGO 24'!$A$1:$M$124,13,FALSE)</f>
        <v>#N/A</v>
      </c>
      <c r="CE10" s="30">
        <f>VLOOKUP(CE1,'[8]RK FORN AGO 24'!$A$1:$M$124,8,FALSE)</f>
        <v>8283.64</v>
      </c>
      <c r="CF10" s="31">
        <f>VLOOKUP(CE1,'[8]RK FORN AGO 24'!$A$1:$M$124,12,FALSE)</f>
        <v>37.28</v>
      </c>
      <c r="CG10" s="31">
        <f>VLOOKUP(CE1,'[8]RK FORN AGO 24'!$A$1:$M$124,13,FALSE)</f>
        <v>0.54</v>
      </c>
      <c r="CH10" s="30">
        <f>VLOOKUP(CH1,'[8]RK FORN AGO 24'!$A$1:$M$124,8,FALSE)</f>
        <v>12052.57</v>
      </c>
      <c r="CI10" s="31">
        <f>VLOOKUP(CH1,'[8]RK FORN AGO 24'!$A$1:$M$124,12,FALSE)</f>
        <v>43.2</v>
      </c>
      <c r="CJ10" s="31">
        <f>VLOOKUP(CH1,'[8]RK FORN AGO 24'!$A$1:$M$124,13,FALSE)</f>
        <v>0.79</v>
      </c>
      <c r="CK10" s="30">
        <f>VLOOKUP(CK1,'[8]RK FORN AGO 24'!$A$1:$M$124,8,FALSE)</f>
        <v>12953.81</v>
      </c>
      <c r="CL10" s="31">
        <f>VLOOKUP(CK1,'[8]RK FORN AGO 24'!$A$1:$M$124,12,FALSE)</f>
        <v>37.43</v>
      </c>
      <c r="CM10" s="31">
        <f>VLOOKUP(CK1,'[8]RK FORN AGO 24'!$A$1:$M$124,13,FALSE)</f>
        <v>0.85</v>
      </c>
      <c r="CN10" s="30">
        <f>VLOOKUP(CN1,'[8]RK FORN AGO 24'!$A$1:$M$124,8,FALSE)</f>
        <v>6765.06</v>
      </c>
      <c r="CO10" s="31">
        <f>VLOOKUP(CN1,'[8]RK FORN AGO 24'!$A$1:$M$124,12,FALSE)</f>
        <v>43.36</v>
      </c>
      <c r="CP10" s="31">
        <f>VLOOKUP(CN1,'[8]RK FORN AGO 24'!$A$1:$M$124,13,FALSE)</f>
        <v>0.45</v>
      </c>
      <c r="CQ10" s="30">
        <f>VLOOKUP(CQ1,'[8]RK FORN AGO 24'!$A$1:$M$124,8,FALSE)</f>
        <v>5125.1099999999997</v>
      </c>
      <c r="CR10" s="31">
        <f>VLOOKUP(CQ1,'[8]RK FORN AGO 24'!$A$1:$M$124,12,FALSE)</f>
        <v>44.61</v>
      </c>
      <c r="CS10" s="31">
        <f>VLOOKUP(CQ1,'[8]RK FORN AGO 24'!$A$1:$M$124,13,FALSE)</f>
        <v>0.33</v>
      </c>
      <c r="CT10" s="30">
        <f>VLOOKUP(CT1,'[8]RK FORN AGO 24'!$A$1:$M$124,8,FALSE)</f>
        <v>7043.82</v>
      </c>
      <c r="CU10" s="31">
        <f>VLOOKUP(CT1,'[8]RK FORN AGO 24'!$A$1:$M$124,12,FALSE)</f>
        <v>32.15</v>
      </c>
      <c r="CV10" s="31">
        <f>VLOOKUP(CT1,'[8]RK FORN AGO 24'!$A$1:$M$124,13,FALSE)</f>
        <v>0.46</v>
      </c>
      <c r="CW10" s="30">
        <f>VLOOKUP(CW1,'[8]RK FORN AGO 24'!$A$1:$M$124,8,FALSE)</f>
        <v>4811.3100000000004</v>
      </c>
      <c r="CX10" s="31">
        <f>VLOOKUP(CW1,'[8]RK FORN AGO 24'!$A$1:$M$124,12,FALSE)</f>
        <v>36.799999999999997</v>
      </c>
      <c r="CY10" s="31">
        <f>VLOOKUP(CW1,'[8]RK FORN AGO 24'!$A$1:$M$124,13,FALSE)</f>
        <v>0.31</v>
      </c>
      <c r="CZ10" s="30">
        <f>VLOOKUP(CZ1,'[8]RK FORN AGO 24'!$A$1:$M$124,8,FALSE)</f>
        <v>8184.61</v>
      </c>
      <c r="DA10" s="31">
        <f>VLOOKUP(CZ1,'[8]RK FORN AGO 24'!$A$1:$M$124,12,FALSE)</f>
        <v>38.21</v>
      </c>
      <c r="DB10" s="31">
        <f>VLOOKUP(CZ1,'[8]RK FORN AGO 24'!$A$1:$M$124,13,FALSE)</f>
        <v>0.54</v>
      </c>
      <c r="DC10" s="31" t="e">
        <f>VLOOKUP(DC1,'[8]RK FORN AGO 24'!$A$1:$M$124,8,FALSE)</f>
        <v>#N/A</v>
      </c>
      <c r="DD10" s="31" t="e">
        <f>VLOOKUP(DC1,'[8]RK FORN AGO 24'!$A$1:$M$124,12,FALSE)</f>
        <v>#N/A</v>
      </c>
      <c r="DE10" s="31" t="e">
        <f>VLOOKUP(DC1,'[8]RK FORN AGO 24'!$A$1:$M$124,13,FALSE)</f>
        <v>#N/A</v>
      </c>
      <c r="DF10" s="30">
        <f>VLOOKUP(DF1,'[8]RK FORN AGO 24'!$A$1:$M$124,8,FALSE)</f>
        <v>4798.3999999999996</v>
      </c>
      <c r="DG10" s="31">
        <f>VLOOKUP(DF1,'[8]RK FORN AGO 24'!$A$1:$M$124,12,FALSE)</f>
        <v>41.04</v>
      </c>
      <c r="DH10" s="31">
        <f>VLOOKUP(DF1,'[8]RK FORN AGO 24'!$A$1:$M$124,13,FALSE)</f>
        <v>0.32</v>
      </c>
      <c r="DI10" s="30">
        <f>VLOOKUP(DI1,'[8]RK FORN AGO 24'!$A$1:$M$124,8,FALSE)</f>
        <v>7392.52</v>
      </c>
      <c r="DJ10" s="31">
        <f>VLOOKUP(DI1,'[8]RK FORN AGO 24'!$A$1:$M$124,12,FALSE)</f>
        <v>38.67</v>
      </c>
      <c r="DK10" s="31">
        <f>VLOOKUP(DI1,'[8]RK FORN AGO 24'!$A$1:$M$124,13,FALSE)</f>
        <v>0.49</v>
      </c>
      <c r="DL10" s="30">
        <f>VLOOKUP(DL1,'[8]RK FORN AGO 24'!$A$1:$M$124,8,FALSE)</f>
        <v>27043.21</v>
      </c>
      <c r="DM10" s="31">
        <f>VLOOKUP(DL1,'[8]RK FORN AGO 24'!$A$1:$M$124,12,FALSE)</f>
        <v>35.590000000000003</v>
      </c>
      <c r="DN10" s="31">
        <f>VLOOKUP(DL1,'[8]RK FORN AGO 24'!$A$1:$M$124,13,FALSE)</f>
        <v>1.81</v>
      </c>
      <c r="DO10" s="30">
        <f>VLOOKUP(DO1,'[8]RK FORN AGO 24'!$A$1:$M$124,8,FALSE)</f>
        <v>33333.589999999997</v>
      </c>
      <c r="DP10" s="31">
        <f>VLOOKUP(DO1,'[8]RK FORN AGO 24'!$A$1:$M$124,12,FALSE)</f>
        <v>23.92</v>
      </c>
      <c r="DQ10" s="31">
        <f>VLOOKUP(DO1,'[8]RK FORN AGO 24'!$A$1:$M$124,13,FALSE)</f>
        <v>2.2000000000000002</v>
      </c>
      <c r="DR10" s="30">
        <f>VLOOKUP(DR1,'[8]RK FORN AGO 24'!$A$1:$M$124,8,FALSE)</f>
        <v>1036.03</v>
      </c>
      <c r="DS10" s="31">
        <f>VLOOKUP(DR1,'[8]RK FORN AGO 24'!$A$1:$M$124,12,FALSE)</f>
        <v>42.24</v>
      </c>
      <c r="DT10" s="31">
        <f>VLOOKUP(DR1,'[8]RK FORN AGO 24'!$A$1:$M$124,13,FALSE)</f>
        <v>7.0000000000000007E-2</v>
      </c>
      <c r="DU10" s="30">
        <f>VLOOKUP(DU1,'[8]RK FORN AGO 24'!$A$1:$M$124,8,FALSE)</f>
        <v>26.9</v>
      </c>
      <c r="DV10" s="31">
        <f>VLOOKUP(DU1,'[8]RK FORN AGO 24'!$A$1:$M$124,12,FALSE)</f>
        <v>35.5</v>
      </c>
      <c r="DW10" s="31">
        <f>VLOOKUP(DU1,'[8]RK FORN AGO 24'!$A$1:$M$124,13,FALSE)</f>
        <v>0</v>
      </c>
      <c r="DX10" s="30">
        <f>VLOOKUP(DX1,'[8]RK FORN AGO 24'!$A$1:$M$124,8,FALSE)</f>
        <v>823.6</v>
      </c>
      <c r="DY10" s="31">
        <f>VLOOKUP(DX1,'[8]RK FORN AGO 24'!$A$1:$M$124,12,FALSE)</f>
        <v>35.380000000000003</v>
      </c>
      <c r="DZ10" s="31">
        <f>VLOOKUP(DX1,'[8]RK FORN AGO 24'!$A$1:$M$124,13,FALSE)</f>
        <v>0.06</v>
      </c>
      <c r="EA10" s="30">
        <f>VLOOKUP(EA1,'[8]RK FORN AGO 24'!$A$1:$M$124,8,FALSE)</f>
        <v>9993.5982000000004</v>
      </c>
      <c r="EB10" s="31">
        <f>VLOOKUP(EA1,'[8]RK FORN AGO 24'!$A$1:$M$124,12,FALSE)</f>
        <v>37</v>
      </c>
      <c r="EC10" s="31">
        <f>VLOOKUP(EA1,'[8]RK FORN AGO 24'!$A$1:$M$124,13,FALSE)</f>
        <v>0.65</v>
      </c>
    </row>
    <row r="11" spans="1:133" x14ac:dyDescent="0.2">
      <c r="A11" s="32">
        <v>45536</v>
      </c>
      <c r="B11" s="30">
        <f>VLOOKUP(B1,'[9]RK FORN SET 24'!$A$1:$M$122,8,FALSE)</f>
        <v>114484.0172</v>
      </c>
      <c r="C11" s="31">
        <f>VLOOKUP(B1,'[9]RK FORN SET 24'!$A$1:$M$122,12,FALSE)</f>
        <v>33.74</v>
      </c>
      <c r="D11" s="31">
        <f>VLOOKUP(B1,'[9]RK FORN SET 24'!$A$1:$M$122,13,FALSE)</f>
        <v>7.89</v>
      </c>
      <c r="E11" s="30">
        <f>VLOOKUP(E1,'[9]RK FORN SET 24'!$A$1:$M$122,8,FALSE)</f>
        <v>84694.804000000004</v>
      </c>
      <c r="F11" s="31">
        <f>VLOOKUP(E1,'[9]RK FORN SET 24'!$A$1:$M$122,12,FALSE)</f>
        <v>39.33</v>
      </c>
      <c r="G11" s="31">
        <f>VLOOKUP(E1,'[9]RK FORN SET 24'!$A$1:$M$122,13,FALSE)</f>
        <v>5.85</v>
      </c>
      <c r="H11" s="31" t="e">
        <f>VLOOKUP(H1,'[9]RK FORN SET 24'!$A$1:$M$122,8,FALSE)</f>
        <v>#N/A</v>
      </c>
      <c r="I11" s="31" t="e">
        <f>VLOOKUP(H1,'[9]RK FORN SET 24'!$A$1:$M$122,12,FALSE)</f>
        <v>#N/A</v>
      </c>
      <c r="J11" s="31" t="e">
        <f>VLOOKUP(H1,'[9]RK FORN SET 24'!$A$1:$M$122,13,FALSE)</f>
        <v>#N/A</v>
      </c>
      <c r="K11" s="30">
        <f>VLOOKUP(K1,'[9]RK FORN SET 24'!$A$1:$M$122,8,FALSE)</f>
        <v>85028.38</v>
      </c>
      <c r="L11" s="31">
        <f>VLOOKUP(K1,'[9]RK FORN SET 24'!$A$1:$M$122,12,FALSE)</f>
        <v>38.96</v>
      </c>
      <c r="M11" s="31">
        <f>VLOOKUP(K1,'[9]RK FORN SET 24'!$A$1:$M$122,13,FALSE)</f>
        <v>5.72</v>
      </c>
      <c r="N11" s="30">
        <f>VLOOKUP(N1,'[9]RK FORN SET 24'!$A$1:$M$122,8,FALSE)</f>
        <v>104547.26</v>
      </c>
      <c r="O11" s="31">
        <f>VLOOKUP(N1,'[9]RK FORN SET 24'!$A$1:$M$122,12,FALSE)</f>
        <v>37.840000000000003</v>
      </c>
      <c r="P11" s="31">
        <f>VLOOKUP(N1,'[9]RK FORN SET 24'!$A$1:$M$122,13,FALSE)</f>
        <v>7.18</v>
      </c>
      <c r="Q11" s="30">
        <f>VLOOKUP(Q1,'[9]RK FORN SET 24'!$A$1:$M$122,8,FALSE)</f>
        <v>189939.74290000001</v>
      </c>
      <c r="R11" s="31">
        <f>VLOOKUP(Q1,'[9]RK FORN SET 24'!$A$1:$M$122,12,FALSE)</f>
        <v>35.479999999999997</v>
      </c>
      <c r="S11" s="31">
        <f>VLOOKUP(Q1,'[9]RK FORN SET 24'!$A$1:$M$122,13,FALSE)</f>
        <v>13.06</v>
      </c>
      <c r="T11" s="30">
        <f>VLOOKUP(T1,'[9]RK FORN SET 24'!$A$1:$M$122,8,FALSE)</f>
        <v>45406.01</v>
      </c>
      <c r="U11" s="31">
        <f>VLOOKUP(T1,'[9]RK FORN SET 24'!$A$1:$M$122,12,FALSE)</f>
        <v>34.6</v>
      </c>
      <c r="V11" s="31">
        <f>VLOOKUP(T1,'[9]RK FORN SET 24'!$A$1:$M$122,13,FALSE)</f>
        <v>3.08</v>
      </c>
      <c r="W11" s="30">
        <f>VLOOKUP(W1,'[9]RK FORN SET 24'!$A$1:$M$122,8,FALSE)</f>
        <v>216523.06099999999</v>
      </c>
      <c r="X11" s="31">
        <f>VLOOKUP(W1,'[9]RK FORN SET 24'!$A$1:$M$122,12,FALSE)</f>
        <v>36.26</v>
      </c>
      <c r="Y11" s="31">
        <f>VLOOKUP(W1,'[9]RK FORN SET 24'!$A$1:$M$122,13,FALSE)</f>
        <v>14.84</v>
      </c>
      <c r="Z11" s="30">
        <f>VLOOKUP(Z1,'[9]RK FORN SET 24'!$A$1:$M$122,8,FALSE)</f>
        <v>36407.8102</v>
      </c>
      <c r="AA11" s="31">
        <f>VLOOKUP(Z1,'[9]RK FORN SET 24'!$A$1:$M$122,12,FALSE)</f>
        <v>30.08</v>
      </c>
      <c r="AB11" s="31">
        <f>VLOOKUP(Z1,'[9]RK FORN SET 24'!$A$1:$M$122,13,FALSE)</f>
        <v>2.4700000000000002</v>
      </c>
      <c r="AC11" s="30">
        <f>VLOOKUP(AC1,'[9]RK FORN SET 24'!$A$1:$M$122,8,FALSE)</f>
        <v>216523.06099999999</v>
      </c>
      <c r="AD11" s="31">
        <f>VLOOKUP(AC1,'[9]RK FORN SET 24'!$A$1:$M$122,12,FALSE)</f>
        <v>36.26</v>
      </c>
      <c r="AE11" s="31">
        <f>VLOOKUP(AC1,'[9]RK FORN SET 24'!$A$1:$M$122,13,FALSE)</f>
        <v>14.84</v>
      </c>
      <c r="AF11" s="30">
        <f>VLOOKUP(AF1,'[9]RK FORN SET 24'!$A$1:$M$122,8,FALSE)</f>
        <v>51608.83</v>
      </c>
      <c r="AG11" s="31">
        <f>VLOOKUP(AF1,'[9]RK FORN SET 24'!$A$1:$M$122,12,FALSE)</f>
        <v>32.659999999999997</v>
      </c>
      <c r="AH11" s="31">
        <f>VLOOKUP(AF1,'[9]RK FORN SET 24'!$A$1:$M$122,13,FALSE)</f>
        <v>3.48</v>
      </c>
      <c r="AI11" s="30">
        <f>VLOOKUP(AI1,'[9]RK FORN SET 24'!$A$1:$M$122,8,FALSE)</f>
        <v>7074.6372000000001</v>
      </c>
      <c r="AJ11" s="31">
        <f>VLOOKUP(AI1,'[9]RK FORN SET 24'!$A$1:$M$122,12,FALSE)</f>
        <v>36.340000000000003</v>
      </c>
      <c r="AK11" s="31">
        <f>VLOOKUP(AI1,'[9]RK FORN SET 24'!$A$1:$M$122,13,FALSE)</f>
        <v>0.47</v>
      </c>
      <c r="AL11" s="30">
        <f>VLOOKUP(AL1,'[9]RK FORN SET 24'!$A$1:$M$122,8,FALSE)</f>
        <v>21670.74</v>
      </c>
      <c r="AM11" s="31">
        <f>VLOOKUP(AL1,'[9]RK FORN SET 24'!$A$1:$M$122,12,FALSE)</f>
        <v>44.88</v>
      </c>
      <c r="AN11" s="31">
        <f>VLOOKUP(AL1,'[9]RK FORN SET 24'!$A$1:$M$122,13,FALSE)</f>
        <v>1.46</v>
      </c>
      <c r="AO11" s="30">
        <f>VLOOKUP(AO1,'[9]RK FORN SET 24'!$A$1:$M$122,8,FALSE)</f>
        <v>372.66</v>
      </c>
      <c r="AP11" s="31">
        <f>VLOOKUP(AO1,'[9]RK FORN SET 24'!$A$1:$M$122,12,FALSE)</f>
        <v>35.68</v>
      </c>
      <c r="AQ11" s="31">
        <f>VLOOKUP(AO1,'[9]RK FORN SET 24'!$A$1:$M$122,13,FALSE)</f>
        <v>0.02</v>
      </c>
      <c r="AR11" s="30">
        <f>VLOOKUP(AR1,'[9]RK FORN SET 24'!$A$1:$M$122,8,FALSE)</f>
        <v>31088.91</v>
      </c>
      <c r="AS11" s="31">
        <f>VLOOKUP(AR1,'[9]RK FORN SET 24'!$A$1:$M$122,12,FALSE)</f>
        <v>32.29</v>
      </c>
      <c r="AT11" s="31">
        <f>VLOOKUP(AR1,'[9]RK FORN SET 24'!$A$1:$M$122,13,FALSE)</f>
        <v>2.08</v>
      </c>
      <c r="AU11" s="30">
        <f>VLOOKUP(AU1,'[9]RK FORN SET 24'!$A$1:$M$122,8,FALSE)</f>
        <v>51876.69</v>
      </c>
      <c r="AV11" s="31">
        <f>VLOOKUP(AU1,'[9]RK FORN SET 24'!$A$1:$M$122,12,FALSE)</f>
        <v>37.18</v>
      </c>
      <c r="AW11" s="31">
        <f>VLOOKUP(AU1,'[9]RK FORN SET 24'!$A$1:$M$122,13,FALSE)</f>
        <v>3.6</v>
      </c>
      <c r="AX11" s="30">
        <f>VLOOKUP(AX1,'[9]RK FORN SET 24'!$A$1:$M$122,8,FALSE)</f>
        <v>105.9</v>
      </c>
      <c r="AY11" s="31">
        <f>VLOOKUP(AX1,'[9]RK FORN SET 24'!$A$1:$M$122,12,FALSE)</f>
        <v>40.200000000000003</v>
      </c>
      <c r="AZ11" s="31">
        <f>VLOOKUP(AX1,'[9]RK FORN SET 24'!$A$1:$M$122,13,FALSE)</f>
        <v>0.01</v>
      </c>
      <c r="BA11" s="30">
        <f>VLOOKUP(BA1,'[9]RK FORN SET 24'!$A$1:$M$122,8,FALSE)</f>
        <v>12584</v>
      </c>
      <c r="BB11" s="31">
        <f>VLOOKUP(BA1,'[9]RK FORN SET 24'!$A$1:$M$122,12,FALSE)</f>
        <v>35.97</v>
      </c>
      <c r="BC11" s="31">
        <f>VLOOKUP(BA1,'[9]RK FORN SET 24'!$A$1:$M$122,13,FALSE)</f>
        <v>0.87</v>
      </c>
      <c r="BD11" s="30">
        <f>VLOOKUP(BD1,'[9]RK FORN SET 24'!$A$1:$M$122,8,FALSE)</f>
        <v>9307.61</v>
      </c>
      <c r="BE11" s="31">
        <f>VLOOKUP(BD1,'[9]RK FORN SET 24'!$A$1:$M$122,12,FALSE)</f>
        <v>50.31</v>
      </c>
      <c r="BF11" s="31">
        <f>VLOOKUP(BD1,'[9]RK FORN SET 24'!$A$1:$M$122,13,FALSE)</f>
        <v>0.64</v>
      </c>
      <c r="BG11" s="30">
        <f>VLOOKUP(BG1,'[9]RK FORN SET 24'!$A$1:$M$122,8,FALSE)</f>
        <v>7368.7</v>
      </c>
      <c r="BH11" s="31">
        <f>VLOOKUP(BG1,'[9]RK FORN SET 24'!$A$1:$M$122,12,FALSE)</f>
        <v>41.86</v>
      </c>
      <c r="BI11" s="31">
        <f>VLOOKUP(BG1,'[9]RK FORN SET 24'!$A$1:$M$122,13,FALSE)</f>
        <v>0.51</v>
      </c>
      <c r="BJ11" s="31" t="e">
        <f>VLOOKUP(BJ1,'[9]RK FORN SET 24'!$A$1:$M$122,8,FALSE)</f>
        <v>#N/A</v>
      </c>
      <c r="BK11" s="31" t="e">
        <f>VLOOKUP(BJ1,'[9]RK FORN SET 24'!$A$1:$M$122,12,FALSE)</f>
        <v>#N/A</v>
      </c>
      <c r="BL11" s="31" t="e">
        <f>VLOOKUP(BJ1,'[9]RK FORN SET 24'!$A$1:$M$122,13,FALSE)</f>
        <v>#N/A</v>
      </c>
      <c r="BM11" s="31" t="e">
        <f>VLOOKUP(BM1,'[9]RK FORN SET 24'!$A$1:$M$122,8,FALSE)</f>
        <v>#N/A</v>
      </c>
      <c r="BN11" s="31" t="e">
        <f>VLOOKUP(BM1,'[9]RK FORN SET 24'!$A$1:$M$122,12,FALSE)</f>
        <v>#N/A</v>
      </c>
      <c r="BO11" s="31" t="e">
        <f>VLOOKUP(BM1,'[9]RK FORN SET 24'!$A$1:$M$122,13,FALSE)</f>
        <v>#N/A</v>
      </c>
      <c r="BP11" s="31" t="e">
        <f>VLOOKUP(BP1,'[9]RK FORN SET 24'!$A$1:$M$122,8,FALSE)</f>
        <v>#N/A</v>
      </c>
      <c r="BQ11" s="31" t="e">
        <f>VLOOKUP(BP1,'[9]RK FORN SET 24'!$A$1:$M$122,12,FALSE)</f>
        <v>#N/A</v>
      </c>
      <c r="BR11" s="31" t="e">
        <f>VLOOKUP(BP1,'[9]RK FORN SET 24'!$A$1:$M$122,13,FALSE)</f>
        <v>#N/A</v>
      </c>
      <c r="BS11" s="30">
        <f>VLOOKUP(BS1,'[9]RK FORN SET 24'!$A$1:$M$122,8,FALSE)</f>
        <v>7701.27</v>
      </c>
      <c r="BT11" s="31">
        <f>VLOOKUP(BS1,'[9]RK FORN SET 24'!$A$1:$M$122,12,FALSE)</f>
        <v>35.89</v>
      </c>
      <c r="BU11" s="31">
        <f>VLOOKUP(BS1,'[9]RK FORN SET 24'!$A$1:$M$122,13,FALSE)</f>
        <v>0.52</v>
      </c>
      <c r="BV11" s="30">
        <f>VLOOKUP(BV1,'[9]RK FORN SET 24'!$A$1:$M$122,8,FALSE)</f>
        <v>17220.919999999998</v>
      </c>
      <c r="BW11" s="31">
        <f>VLOOKUP(BV1,'[9]RK FORN SET 24'!$A$1:$M$122,12,FALSE)</f>
        <v>38.54</v>
      </c>
      <c r="BX11" s="31">
        <f>VLOOKUP(BV1,'[9]RK FORN SET 24'!$A$1:$M$122,13,FALSE)</f>
        <v>1.18</v>
      </c>
      <c r="BY11" s="30">
        <f>VLOOKUP(BY1,'[9]RK FORN SET 24'!$A$1:$M$122,8,FALSE)</f>
        <v>10543.4</v>
      </c>
      <c r="BZ11" s="31">
        <f>VLOOKUP(BY1,'[9]RK FORN SET 24'!$A$1:$M$122,12,FALSE)</f>
        <v>40.229999999999997</v>
      </c>
      <c r="CA11" s="31">
        <f>VLOOKUP(BY1,'[9]RK FORN SET 24'!$A$1:$M$122,13,FALSE)</f>
        <v>0.74</v>
      </c>
      <c r="CB11" s="31" t="e">
        <f>VLOOKUP(CB1,'[9]RK FORN SET 24'!$A$1:$M$122,8,FALSE)</f>
        <v>#N/A</v>
      </c>
      <c r="CC11" s="31" t="e">
        <f>VLOOKUP(CB1,'[9]RK FORN SET 24'!$A$1:$M$122,12,FALSE)</f>
        <v>#N/A</v>
      </c>
      <c r="CD11" s="31" t="e">
        <f>VLOOKUP(CB1,'[9]RK FORN SET 24'!$A$1:$M$122,13,FALSE)</f>
        <v>#N/A</v>
      </c>
      <c r="CE11" s="30">
        <f>VLOOKUP(CE1,'[9]RK FORN SET 24'!$A$1:$M$122,8,FALSE)</f>
        <v>10295.06</v>
      </c>
      <c r="CF11" s="31">
        <f>VLOOKUP(CE1,'[9]RK FORN SET 24'!$A$1:$M$122,12,FALSE)</f>
        <v>36.79</v>
      </c>
      <c r="CG11" s="31">
        <f>VLOOKUP(CE1,'[9]RK FORN SET 24'!$A$1:$M$122,13,FALSE)</f>
        <v>0.7</v>
      </c>
      <c r="CH11" s="30">
        <f>VLOOKUP(CH1,'[9]RK FORN SET 24'!$A$1:$M$122,8,FALSE)</f>
        <v>9075.7099999999991</v>
      </c>
      <c r="CI11" s="31">
        <f>VLOOKUP(CH1,'[9]RK FORN SET 24'!$A$1:$M$122,12,FALSE)</f>
        <v>44.56</v>
      </c>
      <c r="CJ11" s="31">
        <f>VLOOKUP(CH1,'[9]RK FORN SET 24'!$A$1:$M$122,13,FALSE)</f>
        <v>0.61</v>
      </c>
      <c r="CK11" s="30">
        <f>VLOOKUP(CK1,'[9]RK FORN SET 24'!$A$1:$M$122,8,FALSE)</f>
        <v>11299.05</v>
      </c>
      <c r="CL11" s="31">
        <f>VLOOKUP(CK1,'[9]RK FORN SET 24'!$A$1:$M$122,12,FALSE)</f>
        <v>36</v>
      </c>
      <c r="CM11" s="31">
        <f>VLOOKUP(CK1,'[9]RK FORN SET 24'!$A$1:$M$122,13,FALSE)</f>
        <v>0.77</v>
      </c>
      <c r="CN11" s="30">
        <f>VLOOKUP(CN1,'[9]RK FORN SET 24'!$A$1:$M$122,8,FALSE)</f>
        <v>4713.46</v>
      </c>
      <c r="CO11" s="31">
        <f>VLOOKUP(CN1,'[9]RK FORN SET 24'!$A$1:$M$122,12,FALSE)</f>
        <v>42.96</v>
      </c>
      <c r="CP11" s="31">
        <f>VLOOKUP(CN1,'[9]RK FORN SET 24'!$A$1:$M$122,13,FALSE)</f>
        <v>0.32</v>
      </c>
      <c r="CQ11" s="30">
        <f>VLOOKUP(CQ1,'[9]RK FORN SET 24'!$A$1:$M$122,8,FALSE)</f>
        <v>5374.14</v>
      </c>
      <c r="CR11" s="31">
        <f>VLOOKUP(CQ1,'[9]RK FORN SET 24'!$A$1:$M$122,12,FALSE)</f>
        <v>44.65</v>
      </c>
      <c r="CS11" s="31">
        <f>VLOOKUP(CQ1,'[9]RK FORN SET 24'!$A$1:$M$122,13,FALSE)</f>
        <v>0.36</v>
      </c>
      <c r="CT11" s="30">
        <f>VLOOKUP(CT1,'[9]RK FORN SET 24'!$A$1:$M$122,8,FALSE)</f>
        <v>7484.82</v>
      </c>
      <c r="CU11" s="31">
        <f>VLOOKUP(CT1,'[9]RK FORN SET 24'!$A$1:$M$122,12,FALSE)</f>
        <v>31.76</v>
      </c>
      <c r="CV11" s="31">
        <f>VLOOKUP(CT1,'[9]RK FORN SET 24'!$A$1:$M$122,13,FALSE)</f>
        <v>0.5</v>
      </c>
      <c r="CW11" s="30">
        <f>VLOOKUP(CW1,'[9]RK FORN SET 24'!$A$1:$M$122,8,FALSE)</f>
        <v>6929.62</v>
      </c>
      <c r="CX11" s="31">
        <f>VLOOKUP(CW1,'[9]RK FORN SET 24'!$A$1:$M$122,12,FALSE)</f>
        <v>34.86</v>
      </c>
      <c r="CY11" s="31">
        <f>VLOOKUP(CW1,'[9]RK FORN SET 24'!$A$1:$M$122,13,FALSE)</f>
        <v>0.47</v>
      </c>
      <c r="CZ11" s="30">
        <f>VLOOKUP(CZ1,'[9]RK FORN SET 24'!$A$1:$M$122,8,FALSE)</f>
        <v>7104.64</v>
      </c>
      <c r="DA11" s="31">
        <f>VLOOKUP(CZ1,'[9]RK FORN SET 24'!$A$1:$M$122,12,FALSE)</f>
        <v>36.89</v>
      </c>
      <c r="DB11" s="31">
        <f>VLOOKUP(CZ1,'[9]RK FORN SET 24'!$A$1:$M$122,13,FALSE)</f>
        <v>0.48</v>
      </c>
      <c r="DC11" s="31" t="e">
        <f>VLOOKUP(DC1,'[9]RK FORN SET 24'!$A$1:$M$122,8,FALSE)</f>
        <v>#N/A</v>
      </c>
      <c r="DD11" s="31" t="e">
        <f>VLOOKUP(DC1,'[9]RK FORN SET 24'!$A$1:$M$122,12,FALSE)</f>
        <v>#N/A</v>
      </c>
      <c r="DE11" s="31" t="e">
        <f>VLOOKUP(DC1,'[9]RK FORN SET 24'!$A$1:$M$122,13,FALSE)</f>
        <v>#N/A</v>
      </c>
      <c r="DF11" s="30">
        <f>VLOOKUP(DF1,'[9]RK FORN SET 24'!$A$1:$M$122,8,FALSE)</f>
        <v>6485.64</v>
      </c>
      <c r="DG11" s="31">
        <f>VLOOKUP(DF1,'[9]RK FORN SET 24'!$A$1:$M$122,12,FALSE)</f>
        <v>39.67</v>
      </c>
      <c r="DH11" s="31">
        <f>VLOOKUP(DF1,'[9]RK FORN SET 24'!$A$1:$M$122,13,FALSE)</f>
        <v>0.44</v>
      </c>
      <c r="DI11" s="30">
        <f>VLOOKUP(DI1,'[9]RK FORN SET 24'!$A$1:$M$122,8,FALSE)</f>
        <v>3914.83</v>
      </c>
      <c r="DJ11" s="31">
        <f>VLOOKUP(DI1,'[9]RK FORN SET 24'!$A$1:$M$122,12,FALSE)</f>
        <v>44.35</v>
      </c>
      <c r="DK11" s="31">
        <f>VLOOKUP(DI1,'[9]RK FORN SET 24'!$A$1:$M$122,13,FALSE)</f>
        <v>0.27</v>
      </c>
      <c r="DL11" s="30">
        <f>VLOOKUP(DL1,'[9]RK FORN SET 24'!$A$1:$M$122,8,FALSE)</f>
        <v>19195.169999999998</v>
      </c>
      <c r="DM11" s="31">
        <f>VLOOKUP(DL1,'[9]RK FORN SET 24'!$A$1:$M$122,12,FALSE)</f>
        <v>37.549999999999997</v>
      </c>
      <c r="DN11" s="31">
        <f>VLOOKUP(DL1,'[9]RK FORN SET 24'!$A$1:$M$122,13,FALSE)</f>
        <v>1.31</v>
      </c>
      <c r="DO11" s="30">
        <f>VLOOKUP(DO1,'[9]RK FORN SET 24'!$A$1:$M$122,8,FALSE)</f>
        <v>27103.74</v>
      </c>
      <c r="DP11" s="31">
        <f>VLOOKUP(DO1,'[9]RK FORN SET 24'!$A$1:$M$122,12,FALSE)</f>
        <v>24.42</v>
      </c>
      <c r="DQ11" s="31">
        <f>VLOOKUP(DO1,'[9]RK FORN SET 24'!$A$1:$M$122,13,FALSE)</f>
        <v>1.81</v>
      </c>
      <c r="DR11" s="30">
        <f>VLOOKUP(DR1,'[9]RK FORN SET 24'!$A$1:$M$122,8,FALSE)</f>
        <v>1223.8900000000001</v>
      </c>
      <c r="DS11" s="31">
        <f>VLOOKUP(DR1,'[9]RK FORN SET 24'!$A$1:$M$122,12,FALSE)</f>
        <v>40.47</v>
      </c>
      <c r="DT11" s="31">
        <f>VLOOKUP(DR1,'[9]RK FORN SET 24'!$A$1:$M$122,13,FALSE)</f>
        <v>0.08</v>
      </c>
      <c r="DU11" s="30" t="e">
        <f>VLOOKUP(DU1,'[9]RK FORN SET 24'!$A$1:$M$122,8,FALSE)</f>
        <v>#N/A</v>
      </c>
      <c r="DV11" s="31" t="e">
        <f>VLOOKUP(DU1,'[9]RK FORN SET 24'!$A$1:$M$122,12,FALSE)</f>
        <v>#N/A</v>
      </c>
      <c r="DW11" s="31" t="e">
        <f>VLOOKUP(DU1,'[9]RK FORN SET 24'!$A$1:$M$122,13,FALSE)</f>
        <v>#N/A</v>
      </c>
      <c r="DX11" s="30">
        <f>VLOOKUP(DX1,'[9]RK FORN SET 24'!$A$1:$M$122,8,FALSE)</f>
        <v>1296.27</v>
      </c>
      <c r="DY11" s="31">
        <f>VLOOKUP(DX1,'[9]RK FORN SET 24'!$A$1:$M$122,12,FALSE)</f>
        <v>35.090000000000003</v>
      </c>
      <c r="DZ11" s="31">
        <f>VLOOKUP(DX1,'[9]RK FORN SET 24'!$A$1:$M$122,13,FALSE)</f>
        <v>0.09</v>
      </c>
      <c r="EA11" s="30">
        <f>VLOOKUP(EA1,'[9]RK FORN SET 24'!$A$1:$M$122,8,FALSE)</f>
        <v>9295.2620000000006</v>
      </c>
      <c r="EB11" s="31">
        <f>VLOOKUP(EA1,'[9]RK FORN SET 24'!$A$1:$M$122,12,FALSE)</f>
        <v>37.75</v>
      </c>
      <c r="EC11" s="31">
        <f>VLOOKUP(EA1,'[9]RK FORN SET 24'!$A$1:$M$122,13,FALSE)</f>
        <v>0.7</v>
      </c>
    </row>
    <row r="12" spans="1:133" x14ac:dyDescent="0.2">
      <c r="A12" s="32">
        <v>45566</v>
      </c>
      <c r="B12" s="30">
        <f>VLOOKUP(B1,'[10]RK FORN OUT 24'!$A$1:$M$123,8,FALSE)</f>
        <v>110814.9537</v>
      </c>
      <c r="C12" s="31">
        <f>VLOOKUP(B1,'[10]RK FORN OUT 24'!$A$1:$M$123,12,FALSE)</f>
        <v>34.950000000000003</v>
      </c>
      <c r="D12" s="31">
        <f>VLOOKUP(B1,'[10]RK FORN OUT 24'!$A$1:$M$123,13,FALSE)</f>
        <v>7.77</v>
      </c>
      <c r="E12" s="30">
        <f>VLOOKUP(E1,'[10]RK FORN OUT 24'!$A$1:$M$123,8,FALSE)</f>
        <v>133795.9736</v>
      </c>
      <c r="F12" s="31">
        <f>VLOOKUP(E1,'[10]RK FORN OUT 24'!$A$1:$M$123,12,FALSE)</f>
        <v>37.75</v>
      </c>
      <c r="G12" s="31">
        <f>VLOOKUP(E1,'[10]RK FORN OUT 24'!$A$1:$M$123,13,FALSE)</f>
        <v>8.65</v>
      </c>
      <c r="H12" s="31" t="e">
        <f>VLOOKUP(H1,'[10]RK FORN OUT 24'!$A$1:$M$123,8,FALSE)</f>
        <v>#N/A</v>
      </c>
      <c r="I12" s="31" t="e">
        <f>VLOOKUP(H1,'[10]RK FORN OUT 24'!$A$1:$M$123,12,FALSE)</f>
        <v>#N/A</v>
      </c>
      <c r="J12" s="31" t="e">
        <f>VLOOKUP(H1,'[10]RK FORN OUT 24'!$A$1:$M$123,13,FALSE)</f>
        <v>#N/A</v>
      </c>
      <c r="K12" s="30">
        <f>VLOOKUP(K1,'[10]RK FORN OUT 24'!$A$1:$M$123,8,FALSE)</f>
        <v>106554.83</v>
      </c>
      <c r="L12" s="31">
        <f>VLOOKUP(K1,'[10]RK FORN OUT 24'!$A$1:$M$123,12,FALSE)</f>
        <v>38.880000000000003</v>
      </c>
      <c r="M12" s="31">
        <f>VLOOKUP(K1,'[10]RK FORN OUT 24'!$A$1:$M$123,13,FALSE)</f>
        <v>6.95</v>
      </c>
      <c r="N12" s="30">
        <f>VLOOKUP(N1,'[10]RK FORN OUT 24'!$A$1:$M$123,8,FALSE)</f>
        <v>110408.92</v>
      </c>
      <c r="O12" s="31">
        <f>VLOOKUP(N1,'[10]RK FORN OUT 24'!$A$1:$M$123,12,FALSE)</f>
        <v>37.96</v>
      </c>
      <c r="P12" s="31">
        <f>VLOOKUP(N1,'[10]RK FORN OUT 24'!$A$1:$M$123,13,FALSE)</f>
        <v>7.18</v>
      </c>
      <c r="Q12" s="30">
        <f>VLOOKUP(Q1,'[10]RK FORN OUT 24'!$A$1:$M$123,8,FALSE)</f>
        <v>156910.4258</v>
      </c>
      <c r="R12" s="31">
        <f>VLOOKUP(Q1,'[10]RK FORN OUT 24'!$A$1:$M$123,12,FALSE)</f>
        <v>35.159999999999997</v>
      </c>
      <c r="S12" s="31">
        <f>VLOOKUP(Q1,'[10]RK FORN OUT 24'!$A$1:$M$123,13,FALSE)</f>
        <v>10.199999999999999</v>
      </c>
      <c r="T12" s="30">
        <f>VLOOKUP(T1,'[10]RK FORN OUT 24'!$A$1:$M$123,8,FALSE)</f>
        <v>42991.15</v>
      </c>
      <c r="U12" s="31">
        <f>VLOOKUP(T1,'[10]RK FORN OUT 24'!$A$1:$M$123,12,FALSE)</f>
        <v>34.979999999999997</v>
      </c>
      <c r="V12" s="31">
        <f>VLOOKUP(T1,'[10]RK FORN OUT 24'!$A$1:$M$123,13,FALSE)</f>
        <v>2.76</v>
      </c>
      <c r="W12" s="30">
        <f>VLOOKUP(W1,'[10]RK FORN OUT 24'!$A$1:$M$123,8,FALSE)</f>
        <v>210532.18239999999</v>
      </c>
      <c r="X12" s="31">
        <f>VLOOKUP(W1,'[10]RK FORN OUT 24'!$A$1:$M$123,12,FALSE)</f>
        <v>36.89</v>
      </c>
      <c r="Y12" s="31">
        <f>VLOOKUP(W1,'[10]RK FORN OUT 24'!$A$1:$M$123,13,FALSE)</f>
        <v>13.97</v>
      </c>
      <c r="Z12" s="30">
        <f>VLOOKUP(Z1,'[10]RK FORN OUT 24'!$A$1:$M$123,8,FALSE)</f>
        <v>48032.560599999997</v>
      </c>
      <c r="AA12" s="31">
        <f>VLOOKUP(Z1,'[10]RK FORN OUT 24'!$A$1:$M$123,12,FALSE)</f>
        <v>33.549999999999997</v>
      </c>
      <c r="AB12" s="31">
        <f>VLOOKUP(Z1,'[10]RK FORN OUT 24'!$A$1:$M$123,13,FALSE)</f>
        <v>3.19</v>
      </c>
      <c r="AC12" s="30">
        <f>VLOOKUP(AC1,'[10]RK FORN OUT 24'!$A$1:$M$123,8,FALSE)</f>
        <v>210532.18239999999</v>
      </c>
      <c r="AD12" s="31">
        <f>VLOOKUP(AC1,'[10]RK FORN OUT 24'!$A$1:$M$123,12,FALSE)</f>
        <v>36.89</v>
      </c>
      <c r="AE12" s="31">
        <f>VLOOKUP(AC1,'[10]RK FORN OUT 24'!$A$1:$M$123,13,FALSE)</f>
        <v>13.97</v>
      </c>
      <c r="AF12" s="30">
        <f>VLOOKUP(AF1,'[10]RK FORN OUT 24'!$A$1:$M$123,8,FALSE)</f>
        <v>46034.63</v>
      </c>
      <c r="AG12" s="31">
        <f>VLOOKUP(AF1,'[10]RK FORN OUT 24'!$A$1:$M$123,12,FALSE)</f>
        <v>31.42</v>
      </c>
      <c r="AH12" s="31">
        <f>VLOOKUP(AF1,'[10]RK FORN OUT 24'!$A$1:$M$123,13,FALSE)</f>
        <v>3.08</v>
      </c>
      <c r="AI12" s="30">
        <f>VLOOKUP(AI1,'[10]RK FORN OUT 24'!$A$1:$M$123,8,FALSE)</f>
        <v>2895.4636</v>
      </c>
      <c r="AJ12" s="31">
        <f>VLOOKUP(AI1,'[10]RK FORN OUT 24'!$A$1:$M$123,12,FALSE)</f>
        <v>35.76</v>
      </c>
      <c r="AK12" s="31">
        <f>VLOOKUP(AI1,'[10]RK FORN OUT 24'!$A$1:$M$123,13,FALSE)</f>
        <v>0.18</v>
      </c>
      <c r="AL12" s="30">
        <f>VLOOKUP(AL1,'[10]RK FORN OUT 24'!$A$1:$M$123,8,FALSE)</f>
        <v>27634.07</v>
      </c>
      <c r="AM12" s="31">
        <f>VLOOKUP(AL1,'[10]RK FORN OUT 24'!$A$1:$M$123,12,FALSE)</f>
        <v>44.43</v>
      </c>
      <c r="AN12" s="31">
        <f>VLOOKUP(AL1,'[10]RK FORN OUT 24'!$A$1:$M$123,13,FALSE)</f>
        <v>1.78</v>
      </c>
      <c r="AO12" s="30">
        <f>VLOOKUP(AO1,'[10]RK FORN OUT 24'!$A$1:$M$123,8,FALSE)</f>
        <v>888</v>
      </c>
      <c r="AP12" s="31">
        <f>VLOOKUP(AO1,'[10]RK FORN OUT 24'!$A$1:$M$123,12,FALSE)</f>
        <v>34.93</v>
      </c>
      <c r="AQ12" s="31">
        <f>VLOOKUP(AO1,'[10]RK FORN OUT 24'!$A$1:$M$123,13,FALSE)</f>
        <v>0.06</v>
      </c>
      <c r="AR12" s="30">
        <f>VLOOKUP(AR1,'[10]RK FORN OUT 24'!$A$1:$M$123,8,FALSE)</f>
        <v>33322.800000000003</v>
      </c>
      <c r="AS12" s="31">
        <f>VLOOKUP(AR1,'[10]RK FORN OUT 24'!$A$1:$M$123,12,FALSE)</f>
        <v>31.78</v>
      </c>
      <c r="AT12" s="31">
        <f>VLOOKUP(AR1,'[10]RK FORN OUT 24'!$A$1:$M$123,13,FALSE)</f>
        <v>2.25</v>
      </c>
      <c r="AU12" s="30">
        <f>VLOOKUP(AU1,'[10]RK FORN OUT 24'!$A$1:$M$123,8,FALSE)</f>
        <v>41203.68</v>
      </c>
      <c r="AV12" s="31">
        <f>VLOOKUP(AU1,'[10]RK FORN OUT 24'!$A$1:$M$123,12,FALSE)</f>
        <v>36.880000000000003</v>
      </c>
      <c r="AW12" s="31">
        <f>VLOOKUP(AU1,'[10]RK FORN OUT 24'!$A$1:$M$123,13,FALSE)</f>
        <v>2.83</v>
      </c>
      <c r="AX12" s="30" t="e">
        <f>VLOOKUP(AX1,'[10]RK FORN OUT 24'!$A$1:$M$123,8,FALSE)</f>
        <v>#N/A</v>
      </c>
      <c r="AY12" s="31" t="e">
        <f>VLOOKUP(AX1,'[10]RK FORN OUT 24'!$A$1:$M$123,12,FALSE)</f>
        <v>#N/A</v>
      </c>
      <c r="AZ12" s="31" t="e">
        <f>VLOOKUP(AX1,'[10]RK FORN OUT 24'!$A$1:$M$123,13,FALSE)</f>
        <v>#N/A</v>
      </c>
      <c r="BA12" s="30">
        <f>VLOOKUP(BA1,'[10]RK FORN OUT 24'!$A$1:$M$123,8,FALSE)</f>
        <v>12375.75</v>
      </c>
      <c r="BB12" s="31">
        <f>VLOOKUP(BA1,'[10]RK FORN OUT 24'!$A$1:$M$123,12,FALSE)</f>
        <v>36.08</v>
      </c>
      <c r="BC12" s="31">
        <f>VLOOKUP(BA1,'[10]RK FORN OUT 24'!$A$1:$M$123,13,FALSE)</f>
        <v>0.81</v>
      </c>
      <c r="BD12" s="30">
        <f>VLOOKUP(BD1,'[10]RK FORN OUT 24'!$A$1:$M$123,8,FALSE)</f>
        <v>9440.69</v>
      </c>
      <c r="BE12" s="31">
        <f>VLOOKUP(BD1,'[10]RK FORN OUT 24'!$A$1:$M$123,12,FALSE)</f>
        <v>49.56</v>
      </c>
      <c r="BF12" s="31">
        <f>VLOOKUP(BD1,'[10]RK FORN OUT 24'!$A$1:$M$123,13,FALSE)</f>
        <v>0.62</v>
      </c>
      <c r="BG12" s="30">
        <f>VLOOKUP(BG1,'[10]RK FORN OUT 24'!$A$1:$M$123,8,FALSE)</f>
        <v>8057.96</v>
      </c>
      <c r="BH12" s="31">
        <f>VLOOKUP(BG1,'[10]RK FORN OUT 24'!$A$1:$M$123,12,FALSE)</f>
        <v>40.33</v>
      </c>
      <c r="BI12" s="31">
        <f>VLOOKUP(BG1,'[10]RK FORN OUT 24'!$A$1:$M$123,13,FALSE)</f>
        <v>0.54</v>
      </c>
      <c r="BJ12" s="30">
        <f>VLOOKUP(BJ1,'[10]RK FORN OUT 24'!$A$1:$M$123,8,FALSE)</f>
        <v>3778.83</v>
      </c>
      <c r="BK12" s="31">
        <f>VLOOKUP(BJ1,'[10]RK FORN OUT 24'!$A$1:$M$123,12,FALSE)</f>
        <v>66.989999999999995</v>
      </c>
      <c r="BL12" s="31">
        <f>VLOOKUP(BJ1,'[10]RK FORN OUT 24'!$A$1:$M$123,13,FALSE)</f>
        <v>0.24</v>
      </c>
      <c r="BM12" s="31" t="e">
        <f>VLOOKUP(BM1,'[10]RK FORN OUT 24'!$A$1:$M$123,8,FALSE)</f>
        <v>#N/A</v>
      </c>
      <c r="BN12" s="31" t="e">
        <f>VLOOKUP(BM1,'[10]RK FORN OUT 24'!$A$1:$M$123,12,FALSE)</f>
        <v>#N/A</v>
      </c>
      <c r="BO12" s="31" t="e">
        <f>VLOOKUP(BM1,'[10]RK FORN OUT 24'!$A$1:$M$123,13,FALSE)</f>
        <v>#N/A</v>
      </c>
      <c r="BP12" s="31" t="e">
        <f>VLOOKUP(BP1,'[10]RK FORN OUT 24'!$A$1:$M$123,8,FALSE)</f>
        <v>#N/A</v>
      </c>
      <c r="BQ12" s="31" t="e">
        <f>VLOOKUP(BP1,'[10]RK FORN OUT 24'!$A$1:$M$123,12,FALSE)</f>
        <v>#N/A</v>
      </c>
      <c r="BR12" s="31" t="e">
        <f>VLOOKUP(BP1,'[10]RK FORN OUT 24'!$A$1:$M$123,13,FALSE)</f>
        <v>#N/A</v>
      </c>
      <c r="BS12" s="30">
        <f>VLOOKUP(BS1,'[10]RK FORN OUT 24'!$A$1:$M$123,8,FALSE)</f>
        <v>8990.7819999999992</v>
      </c>
      <c r="BT12" s="31">
        <f>VLOOKUP(BS1,'[10]RK FORN OUT 24'!$A$1:$M$123,12,FALSE)</f>
        <v>35.549999999999997</v>
      </c>
      <c r="BU12" s="31">
        <f>VLOOKUP(BS1,'[10]RK FORN OUT 24'!$A$1:$M$123,13,FALSE)</f>
        <v>0.59</v>
      </c>
      <c r="BV12" s="30">
        <f>VLOOKUP(BV1,'[10]RK FORN OUT 24'!$A$1:$M$123,8,FALSE)</f>
        <v>14998.98</v>
      </c>
      <c r="BW12" s="31">
        <f>VLOOKUP(BV1,'[10]RK FORN OUT 24'!$A$1:$M$123,12,FALSE)</f>
        <v>38.229999999999997</v>
      </c>
      <c r="BX12" s="31">
        <f>VLOOKUP(BV1,'[10]RK FORN OUT 24'!$A$1:$M$123,13,FALSE)</f>
        <v>0.97</v>
      </c>
      <c r="BY12" s="30">
        <f>VLOOKUP(BY1,'[10]RK FORN OUT 24'!$A$1:$M$123,8,FALSE)</f>
        <v>9894.9500000000007</v>
      </c>
      <c r="BZ12" s="31">
        <f>VLOOKUP(BY1,'[10]RK FORN OUT 24'!$A$1:$M$123,12,FALSE)</f>
        <v>40.98</v>
      </c>
      <c r="CA12" s="31">
        <f>VLOOKUP(BY1,'[10]RK FORN OUT 24'!$A$1:$M$123,13,FALSE)</f>
        <v>0.65</v>
      </c>
      <c r="CB12" s="31" t="e">
        <f>VLOOKUP(CB1,'[10]RK FORN OUT 24'!$A$1:$M$123,8,FALSE)</f>
        <v>#N/A</v>
      </c>
      <c r="CC12" s="31" t="e">
        <f>VLOOKUP(CB1,'[10]RK FORN OUT 24'!$A$1:$M$123,12,FALSE)</f>
        <v>#N/A</v>
      </c>
      <c r="CD12" s="31" t="e">
        <f>VLOOKUP(CB1,'[10]RK FORN OUT 24'!$A$1:$M$123,13,FALSE)</f>
        <v>#N/A</v>
      </c>
      <c r="CE12" s="30">
        <f>VLOOKUP(CE1,'[10]RK FORN OUT 24'!$A$1:$M$123,8,FALSE)</f>
        <v>11860.02</v>
      </c>
      <c r="CF12" s="31">
        <f>VLOOKUP(CE1,'[10]RK FORN OUT 24'!$A$1:$M$123,12,FALSE)</f>
        <v>35.200000000000003</v>
      </c>
      <c r="CG12" s="31">
        <f>VLOOKUP(CE1,'[10]RK FORN OUT 24'!$A$1:$M$123,13,FALSE)</f>
        <v>0.78</v>
      </c>
      <c r="CH12" s="30">
        <f>VLOOKUP(CH1,'[10]RK FORN OUT 24'!$A$1:$M$123,8,FALSE)</f>
        <v>10129.959999999999</v>
      </c>
      <c r="CI12" s="31">
        <f>VLOOKUP(CH1,'[10]RK FORN OUT 24'!$A$1:$M$123,12,FALSE)</f>
        <v>44.16</v>
      </c>
      <c r="CJ12" s="31">
        <f>VLOOKUP(CH1,'[10]RK FORN OUT 24'!$A$1:$M$123,13,FALSE)</f>
        <v>0.65</v>
      </c>
      <c r="CK12" s="30">
        <f>VLOOKUP(CK1,'[10]RK FORN OUT 24'!$A$1:$M$123,8,FALSE)</f>
        <v>15678.3</v>
      </c>
      <c r="CL12" s="31">
        <f>VLOOKUP(CK1,'[10]RK FORN OUT 24'!$A$1:$M$123,12,FALSE)</f>
        <v>35.11</v>
      </c>
      <c r="CM12" s="31">
        <f>VLOOKUP(CK1,'[10]RK FORN OUT 24'!$A$1:$M$123,13,FALSE)</f>
        <v>1.04</v>
      </c>
      <c r="CN12" s="30">
        <f>VLOOKUP(CN1,'[10]RK FORN OUT 24'!$A$1:$M$123,8,FALSE)</f>
        <v>5315.52</v>
      </c>
      <c r="CO12" s="31">
        <f>VLOOKUP(CN1,'[10]RK FORN OUT 24'!$A$1:$M$123,12,FALSE)</f>
        <v>41.88</v>
      </c>
      <c r="CP12" s="31">
        <f>VLOOKUP(CN1,'[10]RK FORN OUT 24'!$A$1:$M$123,13,FALSE)</f>
        <v>0.36</v>
      </c>
      <c r="CQ12" s="30">
        <f>VLOOKUP(CQ1,'[10]RK FORN OUT 24'!$A$1:$M$123,8,FALSE)</f>
        <v>5254.85</v>
      </c>
      <c r="CR12" s="31">
        <f>VLOOKUP(CQ1,'[10]RK FORN OUT 24'!$A$1:$M$123,12,FALSE)</f>
        <v>43.64</v>
      </c>
      <c r="CS12" s="31">
        <f>VLOOKUP(CQ1,'[10]RK FORN OUT 24'!$A$1:$M$123,13,FALSE)</f>
        <v>0.34</v>
      </c>
      <c r="CT12" s="30">
        <f>VLOOKUP(CT1,'[10]RK FORN OUT 24'!$A$1:$M$123,8,FALSE)</f>
        <v>9405.9599999999991</v>
      </c>
      <c r="CU12" s="31">
        <f>VLOOKUP(CT1,'[10]RK FORN OUT 24'!$A$1:$M$123,12,FALSE)</f>
        <v>32.159999999999997</v>
      </c>
      <c r="CV12" s="31">
        <f>VLOOKUP(CT1,'[10]RK FORN OUT 24'!$A$1:$M$123,13,FALSE)</f>
        <v>0.6</v>
      </c>
      <c r="CW12" s="30">
        <f>VLOOKUP(CW1,'[10]RK FORN OUT 24'!$A$1:$M$123,8,FALSE)</f>
        <v>5841.66</v>
      </c>
      <c r="CX12" s="31">
        <f>VLOOKUP(CW1,'[10]RK FORN OUT 24'!$A$1:$M$123,12,FALSE)</f>
        <v>35.35</v>
      </c>
      <c r="CY12" s="31">
        <f>VLOOKUP(CW1,'[10]RK FORN OUT 24'!$A$1:$M$123,13,FALSE)</f>
        <v>0.38</v>
      </c>
      <c r="CZ12" s="30">
        <f>VLOOKUP(CZ1,'[10]RK FORN OUT 24'!$A$1:$M$123,8,FALSE)</f>
        <v>8209.3799999999992</v>
      </c>
      <c r="DA12" s="31">
        <f>VLOOKUP(CZ1,'[10]RK FORN OUT 24'!$A$1:$M$123,12,FALSE)</f>
        <v>35.799999999999997</v>
      </c>
      <c r="DB12" s="31">
        <f>VLOOKUP(CZ1,'[10]RK FORN OUT 24'!$A$1:$M$123,13,FALSE)</f>
        <v>0.54</v>
      </c>
      <c r="DC12" s="31" t="e">
        <f>VLOOKUP(DC1,'[10]RK FORN OUT 24'!$A$1:$M$123,8,FALSE)</f>
        <v>#N/A</v>
      </c>
      <c r="DD12" s="31" t="e">
        <f>VLOOKUP(DC1,'[10]RK FORN OUT 24'!$A$1:$M$123,12,FALSE)</f>
        <v>#N/A</v>
      </c>
      <c r="DE12" s="31" t="e">
        <f>VLOOKUP(DC1,'[10]RK FORN OUT 24'!$A$1:$M$123,13,FALSE)</f>
        <v>#N/A</v>
      </c>
      <c r="DF12" s="30">
        <f>VLOOKUP(DF1,'[10]RK FORN OUT 24'!$A$1:$M$123,8,FALSE)</f>
        <v>5553.82</v>
      </c>
      <c r="DG12" s="31">
        <f>VLOOKUP(DF1,'[10]RK FORN OUT 24'!$A$1:$M$123,12,FALSE)</f>
        <v>36.159999999999997</v>
      </c>
      <c r="DH12" s="31">
        <f>VLOOKUP(DF1,'[10]RK FORN OUT 24'!$A$1:$M$123,13,FALSE)</f>
        <v>0.38</v>
      </c>
      <c r="DI12" s="30">
        <f>VLOOKUP(DI1,'[10]RK FORN OUT 24'!$A$1:$M$123,8,FALSE)</f>
        <v>4496.74</v>
      </c>
      <c r="DJ12" s="31">
        <f>VLOOKUP(DI1,'[10]RK FORN OUT 24'!$A$1:$M$123,12,FALSE)</f>
        <v>39.39</v>
      </c>
      <c r="DK12" s="31">
        <f>VLOOKUP(DI1,'[10]RK FORN OUT 24'!$A$1:$M$123,13,FALSE)</f>
        <v>0.33</v>
      </c>
      <c r="DL12" s="30">
        <f>VLOOKUP(DL1,'[10]RK FORN OUT 24'!$A$1:$M$123,8,FALSE)</f>
        <v>13839.78</v>
      </c>
      <c r="DM12" s="31">
        <f>VLOOKUP(DL1,'[10]RK FORN OUT 24'!$A$1:$M$123,12,FALSE)</f>
        <v>34.909999999999997</v>
      </c>
      <c r="DN12" s="31">
        <f>VLOOKUP(DL1,'[10]RK FORN OUT 24'!$A$1:$M$123,13,FALSE)</f>
        <v>0.88</v>
      </c>
      <c r="DO12" s="30">
        <f>VLOOKUP(DO1,'[10]RK FORN OUT 24'!$A$1:$M$123,8,FALSE)</f>
        <v>29143.64</v>
      </c>
      <c r="DP12" s="31">
        <f>VLOOKUP(DO1,'[10]RK FORN OUT 24'!$A$1:$M$123,12,FALSE)</f>
        <v>23.73</v>
      </c>
      <c r="DQ12" s="31">
        <f>VLOOKUP(DO1,'[10]RK FORN OUT 24'!$A$1:$M$123,13,FALSE)</f>
        <v>1.92</v>
      </c>
      <c r="DR12" s="30">
        <f>VLOOKUP(DR1,'[10]RK FORN OUT 24'!$A$1:$M$123,8,FALSE)</f>
        <v>1629.33</v>
      </c>
      <c r="DS12" s="31">
        <f>VLOOKUP(DR1,'[10]RK FORN OUT 24'!$A$1:$M$123,12,FALSE)</f>
        <v>39.979999999999997</v>
      </c>
      <c r="DT12" s="31">
        <f>VLOOKUP(DR1,'[10]RK FORN OUT 24'!$A$1:$M$123,13,FALSE)</f>
        <v>0.1</v>
      </c>
      <c r="DU12" s="30" t="e">
        <f>VLOOKUP(DU1,'[10]RK FORN OUT 24'!$A$1:$M$123,8,FALSE)</f>
        <v>#N/A</v>
      </c>
      <c r="DV12" s="31" t="e">
        <f>VLOOKUP(DU1,'[10]RK FORN OUT 24'!$A$1:$M$123,12,FALSE)</f>
        <v>#N/A</v>
      </c>
      <c r="DW12" s="31" t="e">
        <f>VLOOKUP(DU1,'[10]RK FORN OUT 24'!$A$1:$M$123,13,FALSE)</f>
        <v>#N/A</v>
      </c>
      <c r="DX12" s="30">
        <f>VLOOKUP(DX1,'[10]RK FORN OUT 24'!$A$1:$M$123,8,FALSE)</f>
        <v>982.3</v>
      </c>
      <c r="DY12" s="31">
        <f>VLOOKUP(DX1,'[10]RK FORN OUT 24'!$A$1:$M$123,12,FALSE)</f>
        <v>34.090000000000003</v>
      </c>
      <c r="DZ12" s="31">
        <f>VLOOKUP(DX1,'[10]RK FORN OUT 24'!$A$1:$M$123,13,FALSE)</f>
        <v>0.06</v>
      </c>
      <c r="EA12" s="30">
        <f>VLOOKUP(EA1,'[10]RK FORN OUT 24'!$A$1:$M$123,8,FALSE)</f>
        <v>6517.2802000000001</v>
      </c>
      <c r="EB12" s="31">
        <f>VLOOKUP(EA1,'[10]RK FORN OUT 24'!$A$1:$M$123,12,FALSE)</f>
        <v>40.29</v>
      </c>
      <c r="EC12" s="31">
        <f>VLOOKUP(EA1,'[10]RK FORN OUT 24'!$A$1:$M$123,13,FALSE)</f>
        <v>0.48</v>
      </c>
    </row>
    <row r="13" spans="1:133" x14ac:dyDescent="0.2">
      <c r="A13" s="32">
        <v>45597</v>
      </c>
      <c r="B13" s="30">
        <f>VLOOKUP(B1,'[11]RK FORN NOV 24'!$A$1:$M$118,8,FALSE)</f>
        <v>141508.75829999999</v>
      </c>
      <c r="C13" s="31">
        <f>VLOOKUP(B1,'[11]RK FORN NOV 24'!$A$1:$M$118,12,FALSE)</f>
        <v>35.700000000000003</v>
      </c>
      <c r="D13" s="31">
        <f>VLOOKUP(B1,'[11]RK FORN NOV 24'!$A$1:$M$118,13,FALSE)</f>
        <v>8.0500000000000007</v>
      </c>
      <c r="E13" s="30">
        <f>VLOOKUP(E1,'[11]RK FORN NOV 24'!$A$1:$M$118,8,FALSE)</f>
        <v>164289.20139999999</v>
      </c>
      <c r="F13" s="31">
        <f>VLOOKUP(E1,'[11]RK FORN NOV 24'!$A$1:$M$118,12,FALSE)</f>
        <v>40.659999999999997</v>
      </c>
      <c r="G13" s="31">
        <f>VLOOKUP(E1,'[11]RK FORN NOV 24'!$A$1:$M$118,13,FALSE)</f>
        <v>8.83</v>
      </c>
      <c r="H13" s="31" t="e">
        <f>VLOOKUP(H1,'[11]RK FORN NOV 24'!$A$1:$M$118,8,FALSE)</f>
        <v>#N/A</v>
      </c>
      <c r="I13" s="31" t="e">
        <f>VLOOKUP(H1,'[11]RK FORN NOV 24'!$A$1:$M$118,12,FALSE)</f>
        <v>#N/A</v>
      </c>
      <c r="J13" s="31" t="e">
        <f>VLOOKUP(H1,'[11]RK FORN NOV 24'!$A$1:$M$118,13,FALSE)</f>
        <v>#N/A</v>
      </c>
      <c r="K13" s="30">
        <f>VLOOKUP(K1,'[11]RK FORN NOV 24'!$A$1:$M$118,8,FALSE)</f>
        <v>148920.25</v>
      </c>
      <c r="L13" s="31">
        <f>VLOOKUP(K1,'[11]RK FORN NOV 24'!$A$1:$M$118,12,FALSE)</f>
        <v>39.89</v>
      </c>
      <c r="M13" s="31">
        <f>VLOOKUP(K1,'[11]RK FORN NOV 24'!$A$1:$M$118,13,FALSE)</f>
        <v>8.02</v>
      </c>
      <c r="N13" s="30">
        <f>VLOOKUP(N1,'[11]RK FORN NOV 24'!$A$1:$M$118,8,FALSE)</f>
        <v>123719.8</v>
      </c>
      <c r="O13" s="31">
        <f>VLOOKUP(N1,'[11]RK FORN NOV 24'!$A$1:$M$118,12,FALSE)</f>
        <v>37.659999999999997</v>
      </c>
      <c r="P13" s="31">
        <f>VLOOKUP(N1,'[11]RK FORN NOV 24'!$A$1:$M$118,13,FALSE)</f>
        <v>6.82</v>
      </c>
      <c r="Q13" s="30">
        <f>VLOOKUP(Q1,'[11]RK FORN NOV 24'!$A$1:$M$118,8,FALSE)</f>
        <v>152832.44440000001</v>
      </c>
      <c r="R13" s="31">
        <f>VLOOKUP(Q1,'[11]RK FORN NOV 24'!$A$1:$M$118,12,FALSE)</f>
        <v>36.72</v>
      </c>
      <c r="S13" s="31">
        <f>VLOOKUP(Q1,'[11]RK FORN NOV 24'!$A$1:$M$118,13,FALSE)</f>
        <v>8.17</v>
      </c>
      <c r="T13" s="30">
        <f>VLOOKUP(T1,'[11]RK FORN NOV 24'!$A$1:$M$118,8,FALSE)</f>
        <v>58075.92</v>
      </c>
      <c r="U13" s="31">
        <f>VLOOKUP(T1,'[11]RK FORN NOV 24'!$A$1:$M$118,12,FALSE)</f>
        <v>34.94</v>
      </c>
      <c r="V13" s="31">
        <f>VLOOKUP(T1,'[11]RK FORN NOV 24'!$A$1:$M$118,13,FALSE)</f>
        <v>3.14</v>
      </c>
      <c r="W13" s="30">
        <f>VLOOKUP(W1,'[11]RK FORN NOV 24'!$A$1:$M$118,8,FALSE)</f>
        <v>300804.00280000002</v>
      </c>
      <c r="X13" s="31">
        <f>VLOOKUP(W1,'[11]RK FORN NOV 24'!$A$1:$M$118,12,FALSE)</f>
        <v>35.69</v>
      </c>
      <c r="Y13" s="31">
        <f>VLOOKUP(W1,'[11]RK FORN NOV 24'!$A$1:$M$118,13,FALSE)</f>
        <v>16.39</v>
      </c>
      <c r="Z13" s="30">
        <f>VLOOKUP(Z1,'[11]RK FORN NOV 24'!$A$1:$M$118,8,FALSE)</f>
        <v>47839.379800000002</v>
      </c>
      <c r="AA13" s="31">
        <f>VLOOKUP(Z1,'[11]RK FORN NOV 24'!$A$1:$M$118,12,FALSE)</f>
        <v>37.450000000000003</v>
      </c>
      <c r="AB13" s="31">
        <f>VLOOKUP(Z1,'[11]RK FORN NOV 24'!$A$1:$M$118,13,FALSE)</f>
        <v>2.54</v>
      </c>
      <c r="AC13" s="30">
        <f>VLOOKUP(AC1,'[11]RK FORN NOV 24'!$A$1:$M$118,8,FALSE)</f>
        <v>300804.00280000002</v>
      </c>
      <c r="AD13" s="31">
        <f>VLOOKUP(AC1,'[11]RK FORN NOV 24'!$A$1:$M$118,12,FALSE)</f>
        <v>35.69</v>
      </c>
      <c r="AE13" s="31">
        <f>VLOOKUP(AC1,'[11]RK FORN NOV 24'!$A$1:$M$118,13,FALSE)</f>
        <v>16.39</v>
      </c>
      <c r="AF13" s="30">
        <f>VLOOKUP(AF1,'[11]RK FORN NOV 24'!$A$1:$M$118,8,FALSE)</f>
        <v>50040.51</v>
      </c>
      <c r="AG13" s="31">
        <f>VLOOKUP(AF1,'[11]RK FORN NOV 24'!$A$1:$M$118,12,FALSE)</f>
        <v>31.86</v>
      </c>
      <c r="AH13" s="31">
        <f>VLOOKUP(AF1,'[11]RK FORN NOV 24'!$A$1:$M$118,13,FALSE)</f>
        <v>2.78</v>
      </c>
      <c r="AI13" s="30">
        <f>VLOOKUP(AI1,'[11]RK FORN NOV 24'!$A$1:$M$118,8,FALSE)</f>
        <v>10230.353999999999</v>
      </c>
      <c r="AJ13" s="31">
        <f>VLOOKUP(AI1,'[11]RK FORN NOV 24'!$A$1:$M$118,12,FALSE)</f>
        <v>36.53</v>
      </c>
      <c r="AK13" s="31">
        <f>VLOOKUP(AI1,'[11]RK FORN NOV 24'!$A$1:$M$118,13,FALSE)</f>
        <v>0.54</v>
      </c>
      <c r="AL13" s="30">
        <f>VLOOKUP(AL1,'[11]RK FORN NOV 24'!$A$1:$M$118,8,FALSE)</f>
        <v>37314.18</v>
      </c>
      <c r="AM13" s="31">
        <f>VLOOKUP(AL1,'[11]RK FORN NOV 24'!$A$1:$M$118,12,FALSE)</f>
        <v>44.09</v>
      </c>
      <c r="AN13" s="31">
        <f>VLOOKUP(AL1,'[11]RK FORN NOV 24'!$A$1:$M$118,13,FALSE)</f>
        <v>1.99</v>
      </c>
      <c r="AO13" s="30" t="e">
        <f>VLOOKUP(AO1,'[11]RK FORN NOV 24'!$A$1:$M$118,8,FALSE)</f>
        <v>#N/A</v>
      </c>
      <c r="AP13" s="31" t="e">
        <f>VLOOKUP(AO1,'[11]RK FORN NOV 24'!$A$1:$M$118,12,FALSE)</f>
        <v>#N/A</v>
      </c>
      <c r="AQ13" s="31" t="e">
        <f>VLOOKUP(AO1,'[11]RK FORN NOV 24'!$A$1:$M$118,13,FALSE)</f>
        <v>#N/A</v>
      </c>
      <c r="AR13" s="30">
        <f>VLOOKUP(AR1,'[11]RK FORN NOV 24'!$A$1:$M$118,8,FALSE)</f>
        <v>49279.69</v>
      </c>
      <c r="AS13" s="31">
        <f>VLOOKUP(AR1,'[11]RK FORN NOV 24'!$A$1:$M$118,12,FALSE)</f>
        <v>31.01</v>
      </c>
      <c r="AT13" s="31">
        <f>VLOOKUP(AR1,'[11]RK FORN NOV 24'!$A$1:$M$118,13,FALSE)</f>
        <v>2.69</v>
      </c>
      <c r="AU13" s="30">
        <f>VLOOKUP(AU1,'[11]RK FORN NOV 24'!$A$1:$M$118,8,FALSE)</f>
        <v>50771.12</v>
      </c>
      <c r="AV13" s="31">
        <f>VLOOKUP(AU1,'[11]RK FORN NOV 24'!$A$1:$M$118,12,FALSE)</f>
        <v>37.159999999999997</v>
      </c>
      <c r="AW13" s="31">
        <f>VLOOKUP(AU1,'[11]RK FORN NOV 24'!$A$1:$M$118,13,FALSE)</f>
        <v>2.86</v>
      </c>
      <c r="AX13" s="30" t="e">
        <f>VLOOKUP(AX1,'[11]RK FORN NOV 24'!$A$1:$M$118,8,FALSE)</f>
        <v>#N/A</v>
      </c>
      <c r="AY13" s="31" t="e">
        <f>VLOOKUP(AX1,'[11]RK FORN NOV 24'!$A$1:$M$118,12,FALSE)</f>
        <v>#N/A</v>
      </c>
      <c r="AZ13" s="31" t="e">
        <f>VLOOKUP(AX1,'[11]RK FORN NOV 24'!$A$1:$M$118,13,FALSE)</f>
        <v>#N/A</v>
      </c>
      <c r="BA13" s="30">
        <f>VLOOKUP(BA1,'[11]RK FORN NOV 24'!$A$1:$M$118,8,FALSE)</f>
        <v>8984.73</v>
      </c>
      <c r="BB13" s="31">
        <f>VLOOKUP(BA1,'[11]RK FORN NOV 24'!$A$1:$M$118,12,FALSE)</f>
        <v>36.840000000000003</v>
      </c>
      <c r="BC13" s="31">
        <f>VLOOKUP(BA1,'[11]RK FORN NOV 24'!$A$1:$M$118,13,FALSE)</f>
        <v>0.48</v>
      </c>
      <c r="BD13" s="30">
        <f>VLOOKUP(BD1,'[11]RK FORN NOV 24'!$A$1:$M$118,8,FALSE)</f>
        <v>15007.67</v>
      </c>
      <c r="BE13" s="31">
        <f>VLOOKUP(BD1,'[11]RK FORN NOV 24'!$A$1:$M$118,12,FALSE)</f>
        <v>49.21</v>
      </c>
      <c r="BF13" s="31">
        <f>VLOOKUP(BD1,'[11]RK FORN NOV 24'!$A$1:$M$118,13,FALSE)</f>
        <v>0.8</v>
      </c>
      <c r="BG13" s="30">
        <f>VLOOKUP(BG1,'[11]RK FORN NOV 24'!$A$1:$M$118,8,FALSE)</f>
        <v>14271.84</v>
      </c>
      <c r="BH13" s="31">
        <f>VLOOKUP(BG1,'[11]RK FORN NOV 24'!$A$1:$M$118,12,FALSE)</f>
        <v>45.43</v>
      </c>
      <c r="BI13" s="31">
        <f>VLOOKUP(BG1,'[11]RK FORN NOV 24'!$A$1:$M$118,13,FALSE)</f>
        <v>0.76</v>
      </c>
      <c r="BJ13" s="30">
        <f>VLOOKUP(BJ1,'[11]RK FORN NOV 24'!$A$1:$M$118,8,FALSE)</f>
        <v>21853.655999999999</v>
      </c>
      <c r="BK13" s="31">
        <f>VLOOKUP(BJ1,'[11]RK FORN NOV 24'!$A$1:$M$118,12,FALSE)</f>
        <v>62.51</v>
      </c>
      <c r="BL13" s="31">
        <f>VLOOKUP(BJ1,'[11]RK FORN NOV 24'!$A$1:$M$118,13,FALSE)</f>
        <v>1.29</v>
      </c>
      <c r="BM13" s="31" t="e">
        <f>VLOOKUP(BM1,'[11]RK FORN NOV 24'!$A$1:$M$118,8,FALSE)</f>
        <v>#N/A</v>
      </c>
      <c r="BN13" s="31" t="e">
        <f>VLOOKUP(BM1,'[11]RK FORN NOV 24'!$A$1:$M$118,12,FALSE)</f>
        <v>#N/A</v>
      </c>
      <c r="BO13" s="31" t="e">
        <f>VLOOKUP(BM1,'[11]RK FORN NOV 24'!$A$1:$M$118,13,FALSE)</f>
        <v>#N/A</v>
      </c>
      <c r="BP13" s="31" t="e">
        <f>VLOOKUP(BP1,'[11]RK FORN NOV 24'!$A$1:$M$118,8,FALSE)</f>
        <v>#N/A</v>
      </c>
      <c r="BQ13" s="31" t="e">
        <f>VLOOKUP(BP1,'[11]RK FORN NOV 24'!$A$1:$M$118,12,FALSE)</f>
        <v>#N/A</v>
      </c>
      <c r="BR13" s="31" t="e">
        <f>VLOOKUP(BP1,'[11]RK FORN NOV 24'!$A$1:$M$118,13,FALSE)</f>
        <v>#N/A</v>
      </c>
      <c r="BS13" s="30">
        <f>VLOOKUP(BS1,'[11]RK FORN NOV 24'!$A$1:$M$118,8,FALSE)</f>
        <v>14342.932000000001</v>
      </c>
      <c r="BT13" s="31">
        <f>VLOOKUP(BS1,'[11]RK FORN NOV 24'!$A$1:$M$118,12,FALSE)</f>
        <v>35.4</v>
      </c>
      <c r="BU13" s="31">
        <f>VLOOKUP(BS1,'[11]RK FORN NOV 24'!$A$1:$M$118,13,FALSE)</f>
        <v>0.79</v>
      </c>
      <c r="BV13" s="30">
        <f>VLOOKUP(BV1,'[11]RK FORN NOV 24'!$A$1:$M$118,8,FALSE)</f>
        <v>12655.06</v>
      </c>
      <c r="BW13" s="31">
        <f>VLOOKUP(BV1,'[11]RK FORN NOV 24'!$A$1:$M$118,12,FALSE)</f>
        <v>37.97</v>
      </c>
      <c r="BX13" s="31">
        <f>VLOOKUP(BV1,'[11]RK FORN NOV 24'!$A$1:$M$118,13,FALSE)</f>
        <v>0.68</v>
      </c>
      <c r="BY13" s="30">
        <f>VLOOKUP(BY1,'[11]RK FORN NOV 24'!$A$1:$M$118,8,FALSE)</f>
        <v>7956.27</v>
      </c>
      <c r="BZ13" s="31">
        <f>VLOOKUP(BY1,'[11]RK FORN NOV 24'!$A$1:$M$118,12,FALSE)</f>
        <v>39.270000000000003</v>
      </c>
      <c r="CA13" s="31">
        <f>VLOOKUP(BY1,'[11]RK FORN NOV 24'!$A$1:$M$118,13,FALSE)</f>
        <v>0.44</v>
      </c>
      <c r="CB13" s="31" t="e">
        <f>VLOOKUP(CB1,'[11]RK FORN NOV 24'!$A$1:$M$118,8,FALSE)</f>
        <v>#N/A</v>
      </c>
      <c r="CC13" s="31" t="e">
        <f>VLOOKUP(CB1,'[11]RK FORN NOV 24'!$A$1:$M$118,12,FALSE)</f>
        <v>#N/A</v>
      </c>
      <c r="CD13" s="31" t="e">
        <f>VLOOKUP(CB1,'[11]RK FORN NOV 24'!$A$1:$M$118,13,FALSE)</f>
        <v>#N/A</v>
      </c>
      <c r="CE13" s="30">
        <f>VLOOKUP(CE1,'[11]RK FORN NOV 24'!$A$1:$M$118,8,FALSE)</f>
        <v>12171.02</v>
      </c>
      <c r="CF13" s="31">
        <f>VLOOKUP(CE1,'[11]RK FORN NOV 24'!$A$1:$M$118,12,FALSE)</f>
        <v>36.1</v>
      </c>
      <c r="CG13" s="31">
        <f>VLOOKUP(CE1,'[11]RK FORN NOV 24'!$A$1:$M$118,13,FALSE)</f>
        <v>0.66</v>
      </c>
      <c r="CH13" s="30">
        <f>VLOOKUP(CH1,'[11]RK FORN NOV 24'!$A$1:$M$118,8,FALSE)</f>
        <v>9944.16</v>
      </c>
      <c r="CI13" s="31">
        <f>VLOOKUP(CH1,'[11]RK FORN NOV 24'!$A$1:$M$118,12,FALSE)</f>
        <v>42.98</v>
      </c>
      <c r="CJ13" s="31">
        <f>VLOOKUP(CH1,'[11]RK FORN NOV 24'!$A$1:$M$118,13,FALSE)</f>
        <v>0.53</v>
      </c>
      <c r="CK13" s="30">
        <f>VLOOKUP(CK1,'[11]RK FORN NOV 24'!$A$1:$M$118,8,FALSE)</f>
        <v>21201.48</v>
      </c>
      <c r="CL13" s="31">
        <f>VLOOKUP(CK1,'[11]RK FORN NOV 24'!$A$1:$M$118,12,FALSE)</f>
        <v>35.19</v>
      </c>
      <c r="CM13" s="31">
        <f>VLOOKUP(CK1,'[11]RK FORN NOV 24'!$A$1:$M$118,13,FALSE)</f>
        <v>1.22</v>
      </c>
      <c r="CN13" s="30">
        <f>VLOOKUP(CN1,'[11]RK FORN NOV 24'!$A$1:$M$118,8,FALSE)</f>
        <v>6456.36</v>
      </c>
      <c r="CO13" s="31">
        <f>VLOOKUP(CN1,'[11]RK FORN NOV 24'!$A$1:$M$118,12,FALSE)</f>
        <v>41.51</v>
      </c>
      <c r="CP13" s="31">
        <f>VLOOKUP(CN1,'[11]RK FORN NOV 24'!$A$1:$M$118,13,FALSE)</f>
        <v>0.35</v>
      </c>
      <c r="CQ13" s="30">
        <f>VLOOKUP(CQ1,'[11]RK FORN NOV 24'!$A$1:$M$118,8,FALSE)</f>
        <v>4117.95</v>
      </c>
      <c r="CR13" s="31">
        <f>VLOOKUP(CQ1,'[11]RK FORN NOV 24'!$A$1:$M$118,12,FALSE)</f>
        <v>42.74</v>
      </c>
      <c r="CS13" s="31">
        <f>VLOOKUP(CQ1,'[11]RK FORN NOV 24'!$A$1:$M$118,13,FALSE)</f>
        <v>0.23</v>
      </c>
      <c r="CT13" s="30">
        <f>VLOOKUP(CT1,'[11]RK FORN NOV 24'!$A$1:$M$118,8,FALSE)</f>
        <v>9198</v>
      </c>
      <c r="CU13" s="31">
        <f>VLOOKUP(CT1,'[11]RK FORN NOV 24'!$A$1:$M$118,12,FALSE)</f>
        <v>31.1</v>
      </c>
      <c r="CV13" s="31">
        <f>VLOOKUP(CT1,'[11]RK FORN NOV 24'!$A$1:$M$118,13,FALSE)</f>
        <v>0.52</v>
      </c>
      <c r="CW13" s="30">
        <f>VLOOKUP(CW1,'[11]RK FORN NOV 24'!$A$1:$M$118,8,FALSE)</f>
        <v>5874.52</v>
      </c>
      <c r="CX13" s="31">
        <f>VLOOKUP(CW1,'[11]RK FORN NOV 24'!$A$1:$M$118,12,FALSE)</f>
        <v>36.22</v>
      </c>
      <c r="CY13" s="31">
        <f>VLOOKUP(CW1,'[11]RK FORN NOV 24'!$A$1:$M$118,13,FALSE)</f>
        <v>0.32</v>
      </c>
      <c r="CZ13" s="30">
        <f>VLOOKUP(CZ1,'[11]RK FORN NOV 24'!$A$1:$M$118,8,FALSE)</f>
        <v>8422.52</v>
      </c>
      <c r="DA13" s="31">
        <f>VLOOKUP(CZ1,'[11]RK FORN NOV 24'!$A$1:$M$118,12,FALSE)</f>
        <v>38.9</v>
      </c>
      <c r="DB13" s="31">
        <f>VLOOKUP(CZ1,'[11]RK FORN NOV 24'!$A$1:$M$118,13,FALSE)</f>
        <v>0.46</v>
      </c>
      <c r="DC13" s="31" t="e">
        <f>VLOOKUP(DC1,'[11]RK FORN NOV 24'!$A$1:$M$118,8,FALSE)</f>
        <v>#N/A</v>
      </c>
      <c r="DD13" s="31" t="e">
        <f>VLOOKUP(DC1,'[11]RK FORN NOV 24'!$A$1:$M$118,12,FALSE)</f>
        <v>#N/A</v>
      </c>
      <c r="DE13" s="31" t="e">
        <f>VLOOKUP(DC1,'[11]RK FORN NOV 24'!$A$1:$M$118,13,FALSE)</f>
        <v>#N/A</v>
      </c>
      <c r="DF13" s="30">
        <f>VLOOKUP(DF1,'[11]RK FORN NOV 24'!$A$1:$M$118,8,FALSE)</f>
        <v>5874</v>
      </c>
      <c r="DG13" s="31">
        <f>VLOOKUP(DF1,'[11]RK FORN NOV 24'!$A$1:$M$118,12,FALSE)</f>
        <v>41.87</v>
      </c>
      <c r="DH13" s="31">
        <f>VLOOKUP(DF1,'[11]RK FORN NOV 24'!$A$1:$M$118,13,FALSE)</f>
        <v>0.32</v>
      </c>
      <c r="DI13" s="30">
        <f>VLOOKUP(DI1,'[11]RK FORN NOV 24'!$A$1:$M$118,8,FALSE)</f>
        <v>5568.25</v>
      </c>
      <c r="DJ13" s="31">
        <f>VLOOKUP(DI1,'[11]RK FORN NOV 24'!$A$1:$M$118,12,FALSE)</f>
        <v>37.31</v>
      </c>
      <c r="DK13" s="31">
        <f>VLOOKUP(DI1,'[11]RK FORN NOV 24'!$A$1:$M$118,13,FALSE)</f>
        <v>0.3</v>
      </c>
      <c r="DL13" s="30">
        <f>VLOOKUP(DL1,'[11]RK FORN NOV 24'!$A$1:$M$118,8,FALSE)</f>
        <v>20923.419999999998</v>
      </c>
      <c r="DM13" s="31">
        <f>VLOOKUP(DL1,'[11]RK FORN NOV 24'!$A$1:$M$118,12,FALSE)</f>
        <v>30.3</v>
      </c>
      <c r="DN13" s="31">
        <f>VLOOKUP(DL1,'[11]RK FORN NOV 24'!$A$1:$M$118,13,FALSE)</f>
        <v>1.1499999999999999</v>
      </c>
      <c r="DO13" s="30">
        <f>VLOOKUP(DO1,'[11]RK FORN NOV 24'!$A$1:$M$118,8,FALSE)</f>
        <v>36342.14</v>
      </c>
      <c r="DP13" s="31">
        <f>VLOOKUP(DO1,'[11]RK FORN NOV 24'!$A$1:$M$118,12,FALSE)</f>
        <v>23.95</v>
      </c>
      <c r="DQ13" s="31">
        <f>VLOOKUP(DO1,'[11]RK FORN NOV 24'!$A$1:$M$118,13,FALSE)</f>
        <v>2.02</v>
      </c>
      <c r="DR13" s="30">
        <f>VLOOKUP(DR1,'[11]RK FORN NOV 24'!$A$1:$M$118,8,FALSE)</f>
        <v>687.8</v>
      </c>
      <c r="DS13" s="31">
        <f>VLOOKUP(DR1,'[11]RK FORN NOV 24'!$A$1:$M$118,12,FALSE)</f>
        <v>46.21</v>
      </c>
      <c r="DT13" s="31">
        <f>VLOOKUP(DR1,'[11]RK FORN NOV 24'!$A$1:$M$118,13,FALSE)</f>
        <v>0.04</v>
      </c>
      <c r="DU13" s="30" t="e">
        <f>VLOOKUP(DU1,'[11]RK FORN NOV 24'!$A$1:$M$118,8,FALSE)</f>
        <v>#N/A</v>
      </c>
      <c r="DV13" s="31" t="e">
        <f>VLOOKUP(DU1,'[11]RK FORN NOV 24'!$A$1:$M$118,12,FALSE)</f>
        <v>#N/A</v>
      </c>
      <c r="DW13" s="31" t="e">
        <f>VLOOKUP(DU1,'[11]RK FORN NOV 24'!$A$1:$M$118,13,FALSE)</f>
        <v>#N/A</v>
      </c>
      <c r="DX13" s="30">
        <f>VLOOKUP(DX1,'[11]RK FORN NOV 24'!$A$1:$M$118,8,FALSE)</f>
        <v>214.7</v>
      </c>
      <c r="DY13" s="31">
        <f>VLOOKUP(DX1,'[11]RK FORN NOV 24'!$A$1:$M$118,12,FALSE)</f>
        <v>36.81</v>
      </c>
      <c r="DZ13" s="31">
        <f>VLOOKUP(DX1,'[11]RK FORN NOV 24'!$A$1:$M$118,13,FALSE)</f>
        <v>0.01</v>
      </c>
      <c r="EA13" s="30">
        <f>VLOOKUP(EA1,'[11]RK FORN NOV 24'!$A$1:$M$118,8,FALSE)</f>
        <v>6267.5861999999997</v>
      </c>
      <c r="EB13" s="31">
        <f>VLOOKUP(EA1,'[11]RK FORN NOV 24'!$A$1:$M$118,12,FALSE)</f>
        <v>37.74</v>
      </c>
      <c r="EC13" s="31">
        <f>VLOOKUP(EA1,'[11]RK FORN NOV 24'!$A$1:$M$118,13,FALSE)</f>
        <v>0.33</v>
      </c>
    </row>
    <row r="14" spans="1:133" x14ac:dyDescent="0.2">
      <c r="A14" s="32">
        <v>45627</v>
      </c>
      <c r="B14" s="30">
        <f>VLOOKUP(B1,'[12]RK FORN DEZ 24'!$A$1:$M$124,8,FALSE)</f>
        <v>80830.442899999995</v>
      </c>
      <c r="C14" s="31">
        <f>VLOOKUP(B1,'[12]RK FORN DEZ 24'!$A$1:$M$124,12,FALSE)</f>
        <v>35.130000000000003</v>
      </c>
      <c r="D14" s="31">
        <f>VLOOKUP(B1,'[12]RK FORN DEZ 24'!$A$1:$M$124,13,FALSE)</f>
        <v>5.17</v>
      </c>
      <c r="E14" s="30">
        <f>VLOOKUP(E1,'[12]RK FORN DEZ 24'!$A$1:$M$124,8,FALSE)</f>
        <v>180733.87280000001</v>
      </c>
      <c r="F14" s="31">
        <f>VLOOKUP(E1,'[12]RK FORN DEZ 24'!$A$1:$M$124,12,FALSE)</f>
        <v>40.31</v>
      </c>
      <c r="G14" s="31">
        <f>VLOOKUP(E1,'[12]RK FORN DEZ 24'!$A$1:$M$124,13,FALSE)</f>
        <v>10.85</v>
      </c>
      <c r="H14" s="31" t="e">
        <f>VLOOKUP(H1,'[12]RK FORN DEZ 24'!$A$1:$M$124,8,FALSE)</f>
        <v>#N/A</v>
      </c>
      <c r="I14" s="31" t="e">
        <f>VLOOKUP(H1,'[12]RK FORN DEZ 24'!$A$1:$M$124,12,FALSE)</f>
        <v>#N/A</v>
      </c>
      <c r="J14" s="31" t="e">
        <f>VLOOKUP(H1,'[12]RK FORN DEZ 24'!$A$1:$M$124,13,FALSE)</f>
        <v>#N/A</v>
      </c>
      <c r="K14" s="30">
        <f>VLOOKUP(K1,'[12]RK FORN DEZ 24'!$A$1:$M$124,8,FALSE)</f>
        <v>165628.75</v>
      </c>
      <c r="L14" s="31">
        <f>VLOOKUP(K1,'[12]RK FORN DEZ 24'!$A$1:$M$124,12,FALSE)</f>
        <v>38.28</v>
      </c>
      <c r="M14" s="31">
        <f>VLOOKUP(K1,'[12]RK FORN DEZ 24'!$A$1:$M$124,13,FALSE)</f>
        <v>9.93</v>
      </c>
      <c r="N14" s="30">
        <f>VLOOKUP(N1,'[12]RK FORN DEZ 24'!$A$1:$M$124,8,FALSE)</f>
        <v>120166.12</v>
      </c>
      <c r="O14" s="31">
        <f>VLOOKUP(N1,'[12]RK FORN DEZ 24'!$A$1:$M$124,12,FALSE)</f>
        <v>36.94</v>
      </c>
      <c r="P14" s="31">
        <f>VLOOKUP(N1,'[12]RK FORN DEZ 24'!$A$1:$M$124,13,FALSE)</f>
        <v>7.46</v>
      </c>
      <c r="Q14" s="30">
        <f>VLOOKUP(Q1,'[12]RK FORN DEZ 24'!$A$1:$M$124,8,FALSE)</f>
        <v>135060.55850000001</v>
      </c>
      <c r="R14" s="31">
        <f>VLOOKUP(Q1,'[12]RK FORN DEZ 24'!$A$1:$M$124,12,FALSE)</f>
        <v>36.01</v>
      </c>
      <c r="S14" s="31">
        <f>VLOOKUP(Q1,'[12]RK FORN DEZ 24'!$A$1:$M$124,13,FALSE)</f>
        <v>8.33</v>
      </c>
      <c r="T14" s="30">
        <f>VLOOKUP(T1,'[12]RK FORN DEZ 24'!$A$1:$M$124,8,FALSE)</f>
        <v>39018.94</v>
      </c>
      <c r="U14" s="31">
        <f>VLOOKUP(T1,'[12]RK FORN DEZ 24'!$A$1:$M$124,12,FALSE)</f>
        <v>34.770000000000003</v>
      </c>
      <c r="V14" s="31">
        <f>VLOOKUP(T1,'[12]RK FORN DEZ 24'!$A$1:$M$124,13,FALSE)</f>
        <v>2.4</v>
      </c>
      <c r="W14" s="30">
        <f>VLOOKUP(W1,'[12]RK FORN DEZ 24'!$A$1:$M$124,8,FALSE)</f>
        <v>180793.31580000001</v>
      </c>
      <c r="X14" s="31">
        <f>VLOOKUP(W1,'[12]RK FORN DEZ 24'!$A$1:$M$124,12,FALSE)</f>
        <v>36.549999999999997</v>
      </c>
      <c r="Y14" s="31">
        <f>VLOOKUP(W1,'[12]RK FORN DEZ 24'!$A$1:$M$124,13,FALSE)</f>
        <v>11.07</v>
      </c>
      <c r="Z14" s="30">
        <f>VLOOKUP(Z1,'[12]RK FORN DEZ 24'!$A$1:$M$124,8,FALSE)</f>
        <v>34028.500399999997</v>
      </c>
      <c r="AA14" s="31">
        <f>VLOOKUP(Z1,'[12]RK FORN DEZ 24'!$A$1:$M$124,12,FALSE)</f>
        <v>38.93</v>
      </c>
      <c r="AB14" s="31">
        <f>VLOOKUP(Z1,'[12]RK FORN DEZ 24'!$A$1:$M$124,13,FALSE)</f>
        <v>2.02</v>
      </c>
      <c r="AC14" s="30">
        <f>VLOOKUP(AC1,'[12]RK FORN DEZ 24'!$A$1:$M$124,8,FALSE)</f>
        <v>180793.31580000001</v>
      </c>
      <c r="AD14" s="31">
        <f>VLOOKUP(AC1,'[12]RK FORN DEZ 24'!$A$1:$M$124,12,FALSE)</f>
        <v>36.549999999999997</v>
      </c>
      <c r="AE14" s="31">
        <f>VLOOKUP(AC1,'[12]RK FORN DEZ 24'!$A$1:$M$124,13,FALSE)</f>
        <v>11.07</v>
      </c>
      <c r="AF14" s="30">
        <f>VLOOKUP(AF1,'[12]RK FORN DEZ 24'!$A$1:$M$124,8,FALSE)</f>
        <v>45394.47</v>
      </c>
      <c r="AG14" s="31">
        <f>VLOOKUP(AF1,'[12]RK FORN DEZ 24'!$A$1:$M$124,12,FALSE)</f>
        <v>30.61</v>
      </c>
      <c r="AH14" s="31">
        <f>VLOOKUP(AF1,'[12]RK FORN DEZ 24'!$A$1:$M$124,13,FALSE)</f>
        <v>2.78</v>
      </c>
      <c r="AI14" s="30">
        <f>VLOOKUP(AI1,'[12]RK FORN DEZ 24'!$A$1:$M$124,8,FALSE)</f>
        <v>8067.1409999999996</v>
      </c>
      <c r="AJ14" s="31">
        <f>VLOOKUP(AI1,'[12]RK FORN DEZ 24'!$A$1:$M$124,12,FALSE)</f>
        <v>30.76</v>
      </c>
      <c r="AK14" s="31">
        <f>VLOOKUP(AI1,'[12]RK FORN DEZ 24'!$A$1:$M$124,13,FALSE)</f>
        <v>0.48</v>
      </c>
      <c r="AL14" s="30">
        <f>VLOOKUP(AL1,'[12]RK FORN DEZ 24'!$A$1:$M$124,8,FALSE)</f>
        <v>42171.68</v>
      </c>
      <c r="AM14" s="31">
        <f>VLOOKUP(AL1,'[12]RK FORN DEZ 24'!$A$1:$M$124,12,FALSE)</f>
        <v>45.08</v>
      </c>
      <c r="AN14" s="31">
        <f>VLOOKUP(AL1,'[12]RK FORN DEZ 24'!$A$1:$M$124,13,FALSE)</f>
        <v>2.52</v>
      </c>
      <c r="AO14" s="30">
        <f>VLOOKUP(AO1,'[12]RK FORN DEZ 24'!$A$1:$M$124,8,FALSE)</f>
        <v>1196.1600000000001</v>
      </c>
      <c r="AP14" s="31">
        <f>VLOOKUP(AO1,'[12]RK FORN DEZ 24'!$A$1:$M$124,12,FALSE)</f>
        <v>35.380000000000003</v>
      </c>
      <c r="AQ14" s="31">
        <f>VLOOKUP(AO1,'[12]RK FORN DEZ 24'!$A$1:$M$124,13,FALSE)</f>
        <v>7.0000000000000007E-2</v>
      </c>
      <c r="AR14" s="30">
        <f>VLOOKUP(AR1,'[12]RK FORN DEZ 24'!$A$1:$M$124,8,FALSE)</f>
        <v>32556.63</v>
      </c>
      <c r="AS14" s="31">
        <f>VLOOKUP(AR1,'[12]RK FORN DEZ 24'!$A$1:$M$124,12,FALSE)</f>
        <v>33.32</v>
      </c>
      <c r="AT14" s="31">
        <f>VLOOKUP(AR1,'[12]RK FORN DEZ 24'!$A$1:$M$124,13,FALSE)</f>
        <v>2.0099999999999998</v>
      </c>
      <c r="AU14" s="30">
        <f>VLOOKUP(AU1,'[12]RK FORN DEZ 24'!$A$1:$M$124,8,FALSE)</f>
        <v>42654.96</v>
      </c>
      <c r="AV14" s="31">
        <f>VLOOKUP(AU1,'[12]RK FORN DEZ 24'!$A$1:$M$124,12,FALSE)</f>
        <v>38.47</v>
      </c>
      <c r="AW14" s="31">
        <f>VLOOKUP(AU1,'[12]RK FORN DEZ 24'!$A$1:$M$124,13,FALSE)</f>
        <v>2.58</v>
      </c>
      <c r="AX14" s="30" t="e">
        <f>VLOOKUP(AX1,'[12]RK FORN DEZ 24'!$A$1:$M$124,8,FALSE)</f>
        <v>#N/A</v>
      </c>
      <c r="AY14" s="31" t="e">
        <f>VLOOKUP(AX1,'[12]RK FORN DEZ 24'!$A$1:$M$124,12,FALSE)</f>
        <v>#N/A</v>
      </c>
      <c r="AZ14" s="31" t="e">
        <f>VLOOKUP(AX1,'[12]RK FORN DEZ 24'!$A$1:$M$124,13,FALSE)</f>
        <v>#N/A</v>
      </c>
      <c r="BA14" s="30">
        <f>VLOOKUP(BA1,'[12]RK FORN DEZ 24'!$A$1:$M$124,8,FALSE)</f>
        <v>8682.35</v>
      </c>
      <c r="BB14" s="31">
        <f>VLOOKUP(BA1,'[12]RK FORN DEZ 24'!$A$1:$M$124,12,FALSE)</f>
        <v>36.36</v>
      </c>
      <c r="BC14" s="31">
        <f>VLOOKUP(BA1,'[12]RK FORN DEZ 24'!$A$1:$M$124,13,FALSE)</f>
        <v>0.52</v>
      </c>
      <c r="BD14" s="30">
        <f>VLOOKUP(BD1,'[12]RK FORN DEZ 24'!$A$1:$M$124,8,FALSE)</f>
        <v>15330.42</v>
      </c>
      <c r="BE14" s="31">
        <f>VLOOKUP(BD1,'[12]RK FORN DEZ 24'!$A$1:$M$124,12,FALSE)</f>
        <v>49.11</v>
      </c>
      <c r="BF14" s="31">
        <f>VLOOKUP(BD1,'[12]RK FORN DEZ 24'!$A$1:$M$124,13,FALSE)</f>
        <v>0.92</v>
      </c>
      <c r="BG14" s="30">
        <f>VLOOKUP(BG1,'[12]RK FORN DEZ 24'!$A$1:$M$124,8,FALSE)</f>
        <v>13990.84</v>
      </c>
      <c r="BH14" s="31">
        <f>VLOOKUP(BG1,'[12]RK FORN DEZ 24'!$A$1:$M$124,12,FALSE)</f>
        <v>44.68</v>
      </c>
      <c r="BI14" s="31">
        <f>VLOOKUP(BG1,'[12]RK FORN DEZ 24'!$A$1:$M$124,13,FALSE)</f>
        <v>0.84</v>
      </c>
      <c r="BJ14" s="30">
        <f>VLOOKUP(BJ1,'[12]RK FORN DEZ 24'!$A$1:$M$124,8,FALSE)</f>
        <v>40441.851999999999</v>
      </c>
      <c r="BK14" s="31">
        <f>VLOOKUP(BJ1,'[12]RK FORN DEZ 24'!$A$1:$M$124,12,FALSE)</f>
        <v>68.77</v>
      </c>
      <c r="BL14" s="31">
        <f>VLOOKUP(BJ1,'[12]RK FORN DEZ 24'!$A$1:$M$124,13,FALSE)</f>
        <v>2.4300000000000002</v>
      </c>
      <c r="BM14" s="31" t="e">
        <f>VLOOKUP(BM1,'[12]RK FORN DEZ 24'!$A$1:$M$124,8,FALSE)</f>
        <v>#N/A</v>
      </c>
      <c r="BN14" s="31" t="e">
        <f>VLOOKUP(BM1,'[12]RK FORN DEZ 24'!$A$1:$M$124,12,FALSE)</f>
        <v>#N/A</v>
      </c>
      <c r="BO14" s="31" t="e">
        <f>VLOOKUP(BM1,'[12]RK FORN DEZ 24'!$A$1:$M$124,13,FALSE)</f>
        <v>#N/A</v>
      </c>
      <c r="BP14" s="31" t="e">
        <f>VLOOKUP(BP1,'[12]RK FORN DEZ 24'!$A$1:$M$124,8,FALSE)</f>
        <v>#N/A</v>
      </c>
      <c r="BQ14" s="31" t="e">
        <f>VLOOKUP(BP1,'[12]RK FORN DEZ 24'!$A$1:$M$124,12,FALSE)</f>
        <v>#N/A</v>
      </c>
      <c r="BR14" s="31" t="e">
        <f>VLOOKUP(BP1,'[12]RK FORN DEZ 24'!$A$1:$M$124,13,FALSE)</f>
        <v>#N/A</v>
      </c>
      <c r="BS14" s="30">
        <f>VLOOKUP(BS1,'[12]RK FORN DEZ 24'!$A$1:$M$124,8,FALSE)</f>
        <v>10808.6877</v>
      </c>
      <c r="BT14" s="31">
        <f>VLOOKUP(BS1,'[12]RK FORN DEZ 24'!$A$1:$M$124,12,FALSE)</f>
        <v>34.630000000000003</v>
      </c>
      <c r="BU14" s="31">
        <f>VLOOKUP(BS1,'[12]RK FORN DEZ 24'!$A$1:$M$124,13,FALSE)</f>
        <v>0.71</v>
      </c>
      <c r="BV14" s="30">
        <f>VLOOKUP(BV1,'[12]RK FORN DEZ 24'!$A$1:$M$124,8,FALSE)</f>
        <v>19005.169999999998</v>
      </c>
      <c r="BW14" s="31">
        <f>VLOOKUP(BV1,'[12]RK FORN DEZ 24'!$A$1:$M$124,12,FALSE)</f>
        <v>36.61</v>
      </c>
      <c r="BX14" s="31">
        <f>VLOOKUP(BV1,'[12]RK FORN DEZ 24'!$A$1:$M$124,13,FALSE)</f>
        <v>1.1299999999999999</v>
      </c>
      <c r="BY14" s="30">
        <f>VLOOKUP(BY1,'[12]RK FORN DEZ 24'!$A$1:$M$124,8,FALSE)</f>
        <v>14574.03</v>
      </c>
      <c r="BZ14" s="31">
        <f>VLOOKUP(BY1,'[12]RK FORN DEZ 24'!$A$1:$M$124,12,FALSE)</f>
        <v>39.93</v>
      </c>
      <c r="CA14" s="31">
        <f>VLOOKUP(BY1,'[12]RK FORN DEZ 24'!$A$1:$M$124,13,FALSE)</f>
        <v>0.88</v>
      </c>
      <c r="CB14" s="31" t="e">
        <f>VLOOKUP(CB1,'[12]RK FORN DEZ 24'!$A$1:$M$124,8,FALSE)</f>
        <v>#N/A</v>
      </c>
      <c r="CC14" s="31" t="e">
        <f>VLOOKUP(CB1,'[12]RK FORN DEZ 24'!$A$1:$M$124,12,FALSE)</f>
        <v>#N/A</v>
      </c>
      <c r="CD14" s="31" t="e">
        <f>VLOOKUP(CB1,'[12]RK FORN DEZ 24'!$A$1:$M$124,13,FALSE)</f>
        <v>#N/A</v>
      </c>
      <c r="CE14" s="30">
        <f>VLOOKUP(CE1,'[12]RK FORN DEZ 24'!$A$1:$M$124,8,FALSE)</f>
        <v>14237.71</v>
      </c>
      <c r="CF14" s="31">
        <f>VLOOKUP(CE1,'[12]RK FORN DEZ 24'!$A$1:$M$124,12,FALSE)</f>
        <v>35.479999999999997</v>
      </c>
      <c r="CG14" s="31">
        <f>VLOOKUP(CE1,'[12]RK FORN DEZ 24'!$A$1:$M$124,13,FALSE)</f>
        <v>0.87</v>
      </c>
      <c r="CH14" s="30">
        <f>VLOOKUP(CH1,'[12]RK FORN DEZ 24'!$A$1:$M$124,8,FALSE)</f>
        <v>10563.72</v>
      </c>
      <c r="CI14" s="31">
        <f>VLOOKUP(CH1,'[12]RK FORN DEZ 24'!$A$1:$M$124,12,FALSE)</f>
        <v>42.66</v>
      </c>
      <c r="CJ14" s="31">
        <f>VLOOKUP(CH1,'[12]RK FORN DEZ 24'!$A$1:$M$124,13,FALSE)</f>
        <v>0.63</v>
      </c>
      <c r="CK14" s="30">
        <f>VLOOKUP(CK1,'[12]RK FORN DEZ 24'!$A$1:$M$124,8,FALSE)</f>
        <v>11990.02</v>
      </c>
      <c r="CL14" s="31">
        <f>VLOOKUP(CK1,'[12]RK FORN DEZ 24'!$A$1:$M$124,12,FALSE)</f>
        <v>36.92</v>
      </c>
      <c r="CM14" s="31">
        <f>VLOOKUP(CK1,'[12]RK FORN DEZ 24'!$A$1:$M$124,13,FALSE)</f>
        <v>0.72</v>
      </c>
      <c r="CN14" s="30">
        <f>VLOOKUP(CN1,'[12]RK FORN DEZ 24'!$A$1:$M$124,8,FALSE)</f>
        <v>6353.23</v>
      </c>
      <c r="CO14" s="31">
        <f>VLOOKUP(CN1,'[12]RK FORN DEZ 24'!$A$1:$M$124,12,FALSE)</f>
        <v>40.42</v>
      </c>
      <c r="CP14" s="31">
        <f>VLOOKUP(CN1,'[12]RK FORN DEZ 24'!$A$1:$M$124,13,FALSE)</f>
        <v>0.39</v>
      </c>
      <c r="CQ14" s="30">
        <f>VLOOKUP(CQ1,'[12]RK FORN DEZ 24'!$A$1:$M$124,8,FALSE)</f>
        <v>6572.41</v>
      </c>
      <c r="CR14" s="31">
        <f>VLOOKUP(CQ1,'[12]RK FORN DEZ 24'!$A$1:$M$124,12,FALSE)</f>
        <v>43.74</v>
      </c>
      <c r="CS14" s="31">
        <f>VLOOKUP(CQ1,'[12]RK FORN DEZ 24'!$A$1:$M$124,13,FALSE)</f>
        <v>0.39</v>
      </c>
      <c r="CT14" s="30">
        <f>VLOOKUP(CT1,'[12]RK FORN DEZ 24'!$A$1:$M$124,8,FALSE)</f>
        <v>7782.33</v>
      </c>
      <c r="CU14" s="31">
        <f>VLOOKUP(CT1,'[12]RK FORN DEZ 24'!$A$1:$M$124,12,FALSE)</f>
        <v>32.130000000000003</v>
      </c>
      <c r="CV14" s="31">
        <f>VLOOKUP(CT1,'[12]RK FORN DEZ 24'!$A$1:$M$124,13,FALSE)</f>
        <v>0.46</v>
      </c>
      <c r="CW14" s="30">
        <f>VLOOKUP(CW1,'[12]RK FORN DEZ 24'!$A$1:$M$124,8,FALSE)</f>
        <v>5629.87</v>
      </c>
      <c r="CX14" s="31">
        <f>VLOOKUP(CW1,'[12]RK FORN DEZ 24'!$A$1:$M$124,12,FALSE)</f>
        <v>35.96</v>
      </c>
      <c r="CY14" s="31">
        <f>VLOOKUP(CW1,'[12]RK FORN DEZ 24'!$A$1:$M$124,13,FALSE)</f>
        <v>0.35</v>
      </c>
      <c r="CZ14" s="30">
        <f>VLOOKUP(CZ1,'[12]RK FORN DEZ 24'!$A$1:$M$124,8,FALSE)</f>
        <v>9230.73</v>
      </c>
      <c r="DA14" s="31">
        <f>VLOOKUP(CZ1,'[12]RK FORN DEZ 24'!$A$1:$M$124,12,FALSE)</f>
        <v>38.29</v>
      </c>
      <c r="DB14" s="31">
        <f>VLOOKUP(CZ1,'[12]RK FORN DEZ 24'!$A$1:$M$124,13,FALSE)</f>
        <v>0.56000000000000005</v>
      </c>
      <c r="DC14" s="31" t="e">
        <f>VLOOKUP(DC1,'[12]RK FORN DEZ 24'!$A$1:$M$124,8,FALSE)</f>
        <v>#N/A</v>
      </c>
      <c r="DD14" s="31" t="e">
        <f>VLOOKUP(DC1,'[12]RK FORN DEZ 24'!$A$1:$M$124,12,FALSE)</f>
        <v>#N/A</v>
      </c>
      <c r="DE14" s="31" t="e">
        <f>VLOOKUP(DC1,'[12]RK FORN DEZ 24'!$A$1:$M$124,13,FALSE)</f>
        <v>#N/A</v>
      </c>
      <c r="DF14" s="30">
        <f>VLOOKUP(DF1,'[12]RK FORN DEZ 24'!$A$1:$M$124,8,FALSE)</f>
        <v>4355.0600000000004</v>
      </c>
      <c r="DG14" s="31">
        <f>VLOOKUP(DF1,'[12]RK FORN DEZ 24'!$A$1:$M$124,12,FALSE)</f>
        <v>39.270000000000003</v>
      </c>
      <c r="DH14" s="31">
        <f>VLOOKUP(DF1,'[12]RK FORN DEZ 24'!$A$1:$M$124,13,FALSE)</f>
        <v>0.27</v>
      </c>
      <c r="DI14" s="30">
        <f>VLOOKUP(DI1,'[12]RK FORN DEZ 24'!$A$1:$M$124,8,FALSE)</f>
        <v>3819.51</v>
      </c>
      <c r="DJ14" s="31">
        <f>VLOOKUP(DI1,'[12]RK FORN DEZ 24'!$A$1:$M$124,12,FALSE)</f>
        <v>38.64</v>
      </c>
      <c r="DK14" s="31">
        <f>VLOOKUP(DI1,'[12]RK FORN DEZ 24'!$A$1:$M$124,13,FALSE)</f>
        <v>0.25</v>
      </c>
      <c r="DL14" s="30">
        <f>VLOOKUP(DL1,'[12]RK FORN DEZ 24'!$A$1:$M$124,8,FALSE)</f>
        <v>23583.48</v>
      </c>
      <c r="DM14" s="31">
        <f>VLOOKUP(DL1,'[12]RK FORN DEZ 24'!$A$1:$M$124,12,FALSE)</f>
        <v>31.79</v>
      </c>
      <c r="DN14" s="31">
        <f>VLOOKUP(DL1,'[12]RK FORN DEZ 24'!$A$1:$M$124,13,FALSE)</f>
        <v>1.42</v>
      </c>
      <c r="DO14" s="30">
        <f>VLOOKUP(DO1,'[12]RK FORN DEZ 24'!$A$1:$M$124,8,FALSE)</f>
        <v>32750.1</v>
      </c>
      <c r="DP14" s="31">
        <f>VLOOKUP(DO1,'[12]RK FORN DEZ 24'!$A$1:$M$124,12,FALSE)</f>
        <v>23.41</v>
      </c>
      <c r="DQ14" s="31">
        <f>VLOOKUP(DO1,'[12]RK FORN DEZ 24'!$A$1:$M$124,13,FALSE)</f>
        <v>1.95</v>
      </c>
      <c r="DR14" s="30">
        <f>VLOOKUP(DR1,'[12]RK FORN DEZ 24'!$A$1:$M$124,8,FALSE)</f>
        <v>746.7</v>
      </c>
      <c r="DS14" s="31">
        <f>VLOOKUP(DR1,'[12]RK FORN DEZ 24'!$A$1:$M$124,12,FALSE)</f>
        <v>43.44</v>
      </c>
      <c r="DT14" s="31">
        <f>VLOOKUP(DR1,'[12]RK FORN DEZ 24'!$A$1:$M$124,13,FALSE)</f>
        <v>0.04</v>
      </c>
      <c r="DU14" s="30">
        <f>VLOOKUP(DU1,'[12]RK FORN DEZ 24'!$A$1:$M$124,8,FALSE)</f>
        <v>516.82000000000005</v>
      </c>
      <c r="DV14" s="31">
        <f>VLOOKUP(DU1,'[12]RK FORN DEZ 24'!$A$1:$M$124,12,FALSE)</f>
        <v>39.75</v>
      </c>
      <c r="DW14" s="31">
        <f>VLOOKUP(DU1,'[12]RK FORN DEZ 24'!$A$1:$M$124,13,FALSE)</f>
        <v>0.03</v>
      </c>
      <c r="DX14" s="30">
        <f>VLOOKUP(DX1,'[12]RK FORN DEZ 24'!$A$1:$M$124,8,FALSE)</f>
        <v>180.1</v>
      </c>
      <c r="DY14" s="31">
        <f>VLOOKUP(DX1,'[12]RK FORN DEZ 24'!$A$1:$M$124,12,FALSE)</f>
        <v>32.9</v>
      </c>
      <c r="DZ14" s="31">
        <f>VLOOKUP(DX1,'[12]RK FORN DEZ 24'!$A$1:$M$124,13,FALSE)</f>
        <v>0.01</v>
      </c>
      <c r="EA14" s="30">
        <f>VLOOKUP(EA1,'[12]RK FORN DEZ 24'!$A$1:$M$124,8,FALSE)</f>
        <v>23863.147000000001</v>
      </c>
      <c r="EB14" s="31">
        <f>VLOOKUP(EA1,'[12]RK FORN DEZ 24'!$A$1:$M$124,12,FALSE)</f>
        <v>28.25</v>
      </c>
      <c r="EC14" s="31">
        <f>VLOOKUP(EA1,'[12]RK FORN DEZ 24'!$A$1:$M$124,13,FALSE)</f>
        <v>1.42</v>
      </c>
    </row>
    <row r="15" spans="1:133" x14ac:dyDescent="0.2">
      <c r="A15" s="32">
        <v>45658</v>
      </c>
      <c r="B15" s="33">
        <f>VLOOKUP(B1,'[13]RK FORN JAN 25'!$A$1:$M$118,8,FALSE)</f>
        <v>140534.5166</v>
      </c>
      <c r="C15" s="34">
        <f>VLOOKUP(B1,'[13]RK FORN JAN 25'!$A$1:$M$118,12,FALSE)</f>
        <v>34.35</v>
      </c>
      <c r="D15" s="34">
        <f>VLOOKUP(B1,'[13]RK FORN JAN 25'!$A$1:$M$118,13,FALSE)</f>
        <v>9.99</v>
      </c>
      <c r="E15" s="33">
        <f>VLOOKUP(E1,'[13]RK FORN JAN 25'!$A$1:$M$118,8,FALSE)</f>
        <v>96578.428199999995</v>
      </c>
      <c r="F15" s="34">
        <f>VLOOKUP(E1,'[13]RK FORN JAN 25'!$A$1:$M$118,12,FALSE)</f>
        <v>40.22</v>
      </c>
      <c r="G15" s="34">
        <f>VLOOKUP(E1,'[13]RK FORN JAN 25'!$A$1:$M$118,13,FALSE)</f>
        <v>6.93</v>
      </c>
      <c r="H15" s="34" t="e">
        <f>VLOOKUP(H1,'[13]RK FORN JAN 25'!$A$1:$M$118,8,FALSE)</f>
        <v>#N/A</v>
      </c>
      <c r="I15" s="34" t="e">
        <f>VLOOKUP(H1,'[13]RK FORN JAN 25'!$A$1:$M$118,12,FALSE)</f>
        <v>#N/A</v>
      </c>
      <c r="J15" s="34" t="e">
        <f>VLOOKUP(H1,'[13]RK FORN JAN 25'!$A$1:$M$118,13,FALSE)</f>
        <v>#N/A</v>
      </c>
      <c r="K15" s="33">
        <f>VLOOKUP(K1,'[13]RK FORN JAN 25'!$A$1:$M$118,8,FALSE)</f>
        <v>77905.94</v>
      </c>
      <c r="L15" s="33">
        <f>VLOOKUP(K1,'[13]RK FORN JAN 25'!$A$1:$M$118,12,FALSE)</f>
        <v>38.17</v>
      </c>
      <c r="M15" s="35">
        <f>VLOOKUP(K1,'[13]RK FORN JAN 25'!$A$1:$M$118,13,FALSE)</f>
        <v>5.54</v>
      </c>
      <c r="N15" s="33">
        <f>VLOOKUP(N1,'[13]RK FORN JAN 25'!$A$1:$M$118,8,FALSE)</f>
        <v>103324.26</v>
      </c>
      <c r="O15" s="35">
        <f>VLOOKUP(N1,'[13]RK FORN JAN 25'!$A$1:$M$118,12,FALSE)</f>
        <v>37.99</v>
      </c>
      <c r="P15" s="34">
        <f>VLOOKUP(N1,'[13]RK FORN JAN 25'!$A$1:$M$118,13,FALSE)</f>
        <v>7.32</v>
      </c>
      <c r="Q15" s="33">
        <f>VLOOKUP(Q1,'[13]RK FORN JAN 25'!$A$1:$M$118,8,FALSE)</f>
        <v>92563.547000000006</v>
      </c>
      <c r="R15" s="33">
        <f>VLOOKUP(Q1,'[13]RK FORN JAN 25'!$A$1:$M$118,12,FALSE)</f>
        <v>38.74</v>
      </c>
      <c r="S15" s="34">
        <f>VLOOKUP(Q1,'[13]RK FORN JAN 25'!$A$1:$M$118,13,FALSE)</f>
        <v>6.55</v>
      </c>
      <c r="T15" s="33">
        <f>VLOOKUP(T1,'[13]RK FORN JAN 25'!$A$1:$M$118,8,FALSE)</f>
        <v>35390.81</v>
      </c>
      <c r="U15" s="34">
        <f>VLOOKUP(T1,'[13]RK FORN JAN 25'!$A$1:$M$118,12,FALSE)</f>
        <v>35.99</v>
      </c>
      <c r="V15" s="34">
        <f>VLOOKUP(T1,'[13]RK FORN JAN 25'!$A$1:$M$118,13,FALSE)</f>
        <v>2.48</v>
      </c>
      <c r="W15" s="33">
        <f>VLOOKUP(W1,'[13]RK FORN JAN 25'!$A$1:$M$118,8,FALSE)</f>
        <v>220255.50219999999</v>
      </c>
      <c r="X15" s="34">
        <f>VLOOKUP(W1,'[13]RK FORN JAN 25'!$A$1:$M$118,12,FALSE)</f>
        <v>37.119999999999997</v>
      </c>
      <c r="Y15" s="34">
        <f>VLOOKUP(W1,'[13]RK FORN JAN 25'!$A$1:$M$118,13,FALSE)</f>
        <v>16.04</v>
      </c>
      <c r="Z15" s="33">
        <f>VLOOKUP(Z1,'[13]RK FORN JAN 25'!$A$1:$M$118,8,FALSE)</f>
        <v>24520.465199999999</v>
      </c>
      <c r="AA15" s="34">
        <f>VLOOKUP(Z1,'[13]RK FORN JAN 25'!$A$1:$M$118,12,FALSE)</f>
        <v>35.090000000000003</v>
      </c>
      <c r="AB15" s="34">
        <f>VLOOKUP(Z1,'[13]RK FORN JAN 25'!$A$1:$M$118,13,FALSE)</f>
        <v>1.93</v>
      </c>
      <c r="AC15" s="33">
        <f>VLOOKUP(AC1,'[13]RK FORN JAN 25'!$A$1:$M$118,8,FALSE)</f>
        <v>220255.50219999999</v>
      </c>
      <c r="AD15" s="34">
        <f>VLOOKUP(AC1,'[13]RK FORN JAN 25'!$A$1:$M$118,12,FALSE)</f>
        <v>37.119999999999997</v>
      </c>
      <c r="AE15" s="34">
        <f>VLOOKUP(AC1,'[13]RK FORN JAN 25'!$A$1:$M$118,13,FALSE)</f>
        <v>16.04</v>
      </c>
      <c r="AF15" s="33">
        <f>VLOOKUP(AF1,'[13]RK FORN JAN 25'!$A$1:$M$118,8,FALSE)</f>
        <v>52954.63</v>
      </c>
      <c r="AG15" s="34">
        <f>VLOOKUP(AF1,'[13]RK FORN JAN 25'!$A$1:$M$118,12,FALSE)</f>
        <v>31.38</v>
      </c>
      <c r="AH15" s="34">
        <f>VLOOKUP(AF1,'[13]RK FORN JAN 25'!$A$1:$M$118,13,FALSE)</f>
        <v>3.77</v>
      </c>
      <c r="AI15" s="33">
        <f>VLOOKUP(AI1,'[13]RK FORN JAN 25'!$A$1:$M$118,8,FALSE)</f>
        <v>3529.7964000000002</v>
      </c>
      <c r="AJ15" s="34">
        <f>VLOOKUP(AI1,'[13]RK FORN JAN 25'!$A$1:$M$118,12,FALSE)</f>
        <v>30.93</v>
      </c>
      <c r="AK15" s="34">
        <f>VLOOKUP(AI1,'[13]RK FORN JAN 25'!$A$1:$M$118,13,FALSE)</f>
        <v>0.25</v>
      </c>
      <c r="AL15" s="33">
        <f>VLOOKUP(AL1,'[13]RK FORN JAN 25'!$A$1:$M$118,8,FALSE)</f>
        <v>22227.38</v>
      </c>
      <c r="AM15" s="34">
        <f>VLOOKUP(AL1,'[13]RK FORN JAN 25'!$A$1:$M$118,12,FALSE)</f>
        <v>46.75</v>
      </c>
      <c r="AN15" s="34">
        <f>VLOOKUP(AL1,'[13]RK FORN JAN 25'!$A$1:$M$118,13,FALSE)</f>
        <v>1.57</v>
      </c>
      <c r="AO15" s="33">
        <f>VLOOKUP(AO1,'[13]RK FORN JAN 25'!$A$1:$M$118,8,FALSE)</f>
        <v>77.900000000000006</v>
      </c>
      <c r="AP15" s="34">
        <f>VLOOKUP(AO1,'[13]RK FORN JAN 25'!$A$1:$M$118,12,FALSE)</f>
        <v>35.94</v>
      </c>
      <c r="AQ15" s="34">
        <f>VLOOKUP(AO1,'[13]RK FORN JAN 25'!$A$1:$M$118,13,FALSE)</f>
        <v>0.01</v>
      </c>
      <c r="AR15" s="33">
        <f>VLOOKUP(AR1,'[13]RK FORN JAN 25'!$A$1:$M$118,8,FALSE)</f>
        <v>49491.199999999997</v>
      </c>
      <c r="AS15" s="34">
        <f>VLOOKUP(AR1,'[13]RK FORN JAN 25'!$A$1:$M$118,12,FALSE)</f>
        <v>30.54</v>
      </c>
      <c r="AT15" s="34">
        <f>VLOOKUP(AR1,'[13]RK FORN JAN 25'!$A$1:$M$118,13,FALSE)</f>
        <v>3.51</v>
      </c>
      <c r="AU15" s="33">
        <f>VLOOKUP(AU1,'[13]RK FORN JAN 25'!$A$1:$M$118,8,FALSE)</f>
        <v>34941.730000000003</v>
      </c>
      <c r="AV15" s="34">
        <f>VLOOKUP(AU1,'[13]RK FORN JAN 25'!$A$1:$M$118,12,FALSE)</f>
        <v>39.18</v>
      </c>
      <c r="AW15" s="34">
        <f>VLOOKUP(AU1,'[13]RK FORN JAN 25'!$A$1:$M$118,13,FALSE)</f>
        <v>2.62</v>
      </c>
      <c r="AX15" s="33" t="e">
        <f>VLOOKUP(AX1,'[13]RK FORN JAN 25'!$A$1:$M$118,8,FALSE)</f>
        <v>#N/A</v>
      </c>
      <c r="AY15" s="34" t="e">
        <f>VLOOKUP(AX1,'[13]RK FORN JAN 25'!$A$1:$M$118,12,FALSE)</f>
        <v>#N/A</v>
      </c>
      <c r="AZ15" s="34" t="e">
        <f>VLOOKUP(AX1,'[13]RK FORN JAN 25'!$A$1:$M$118,13,FALSE)</f>
        <v>#N/A</v>
      </c>
      <c r="BA15" s="33">
        <f>VLOOKUP(BA1,'[13]RK FORN JAN 25'!$A$1:$M$118,8,FALSE)</f>
        <v>7597.93</v>
      </c>
      <c r="BB15" s="34">
        <f>VLOOKUP(BA1,'[13]RK FORN JAN 25'!$A$1:$M$118,12,FALSE)</f>
        <v>36.71</v>
      </c>
      <c r="BC15" s="34">
        <f>VLOOKUP(BA1,'[13]RK FORN JAN 25'!$A$1:$M$118,13,FALSE)</f>
        <v>0.56000000000000005</v>
      </c>
      <c r="BD15" s="33">
        <f>VLOOKUP(BD1,'[13]RK FORN JAN 25'!$A$1:$M$118,8,FALSE)</f>
        <v>13521.19</v>
      </c>
      <c r="BE15" s="34">
        <f>VLOOKUP(BD1,'[13]RK FORN JAN 25'!$A$1:$M$118,12,FALSE)</f>
        <v>48.45</v>
      </c>
      <c r="BF15" s="34">
        <f>VLOOKUP(BD1,'[13]RK FORN JAN 25'!$A$1:$M$118,13,FALSE)</f>
        <v>0.95</v>
      </c>
      <c r="BG15" s="33">
        <f>VLOOKUP(BG1,'[13]RK FORN JAN 25'!$A$1:$M$118,8,FALSE)</f>
        <v>7038.26</v>
      </c>
      <c r="BH15" s="34">
        <f>VLOOKUP(BG1,'[13]RK FORN JAN 25'!$A$1:$M$118,12,FALSE)</f>
        <v>44.01</v>
      </c>
      <c r="BI15" s="34">
        <f>VLOOKUP(BG1,'[13]RK FORN JAN 25'!$A$1:$M$118,13,FALSE)</f>
        <v>0.5</v>
      </c>
      <c r="BJ15" s="33">
        <f>VLOOKUP(BJ1,'[13]RK FORN JAN 25'!$A$1:$M$118,8,FALSE)</f>
        <v>23945.306</v>
      </c>
      <c r="BK15" s="34">
        <f>VLOOKUP(BJ1,'[13]RK FORN JAN 25'!$A$1:$M$118,12,FALSE)</f>
        <v>67.61</v>
      </c>
      <c r="BL15" s="34">
        <f>VLOOKUP(BJ1,'[13]RK FORN JAN 25'!$A$1:$M$118,13,FALSE)</f>
        <v>1.68</v>
      </c>
      <c r="BM15" s="34" t="e">
        <f>VLOOKUP(BM1,'[13]RK FORN JAN 25'!$A$1:$M$118,8,FALSE)</f>
        <v>#N/A</v>
      </c>
      <c r="BN15" s="34" t="e">
        <f>VLOOKUP(BM1,'[13]RK FORN JAN 25'!$A$1:$M$118,12,FALSE)</f>
        <v>#N/A</v>
      </c>
      <c r="BO15" s="34" t="e">
        <f>VLOOKUP(BM1,'[13]RK FORN JAN 25'!$A$1:$M$118,13,FALSE)</f>
        <v>#N/A</v>
      </c>
      <c r="BP15" s="34" t="e">
        <f>VLOOKUP(BP1,'[13]RK FORN JAN 25'!$A$1:$M$118,8,FALSE)</f>
        <v>#N/A</v>
      </c>
      <c r="BQ15" s="34" t="e">
        <f>VLOOKUP(BP1,'[13]RK FORN JAN 25'!$A$1:$M$118,12,FALSE)</f>
        <v>#N/A</v>
      </c>
      <c r="BR15" s="34" t="e">
        <f>VLOOKUP(BP1,'[13]RK FORN JAN 25'!$A$1:$M$118,13,FALSE)</f>
        <v>#N/A</v>
      </c>
      <c r="BS15" s="33">
        <f>VLOOKUP(BS1,'[13]RK FORN JAN 25'!$A$1:$M$118,8,FALSE)</f>
        <v>8451.2459999999992</v>
      </c>
      <c r="BT15" s="34">
        <f>VLOOKUP(BS1,'[13]RK FORN JAN 25'!$A$1:$M$118,12,FALSE)</f>
        <v>35.94</v>
      </c>
      <c r="BU15" s="34">
        <f>VLOOKUP(BS1,'[13]RK FORN JAN 25'!$A$1:$M$118,13,FALSE)</f>
        <v>0.6</v>
      </c>
      <c r="BV15" s="33">
        <f>VLOOKUP(BV1,'[13]RK FORN JAN 25'!$A$1:$M$118,8,FALSE)</f>
        <v>11700.37</v>
      </c>
      <c r="BW15" s="34">
        <f>VLOOKUP(BV1,'[13]RK FORN JAN 25'!$A$1:$M$118,12,FALSE)</f>
        <v>38.22</v>
      </c>
      <c r="BX15" s="34">
        <f>VLOOKUP(BV1,'[13]RK FORN JAN 25'!$A$1:$M$118,13,FALSE)</f>
        <v>0.85</v>
      </c>
      <c r="BY15" s="33">
        <f>VLOOKUP(BY1,'[13]RK FORN JAN 25'!$A$1:$M$118,8,FALSE)</f>
        <v>12303.34</v>
      </c>
      <c r="BZ15" s="34">
        <f>VLOOKUP(BY1,'[13]RK FORN JAN 25'!$A$1:$M$118,12,FALSE)</f>
        <v>38.409999999999997</v>
      </c>
      <c r="CA15" s="34">
        <f>VLOOKUP(BY1,'[13]RK FORN JAN 25'!$A$1:$M$118,13,FALSE)</f>
        <v>0.88</v>
      </c>
      <c r="CB15" s="34" t="e">
        <f>VLOOKUP(CB1,'[13]RK FORN JAN 25'!$A$1:$M$118,8,FALSE)</f>
        <v>#N/A</v>
      </c>
      <c r="CC15" s="34" t="e">
        <f>VLOOKUP(CB1,'[13]RK FORN JAN 25'!$A$1:$M$118,12,FALSE)</f>
        <v>#N/A</v>
      </c>
      <c r="CD15" s="34" t="e">
        <f>VLOOKUP(CB1,'[13]RK FORN JAN 25'!$A$1:$M$118,13,FALSE)</f>
        <v>#N/A</v>
      </c>
      <c r="CE15" s="33">
        <f>VLOOKUP(CE1,'[13]RK FORN JAN 25'!$A$1:$M$118,8,FALSE)</f>
        <v>13719.87</v>
      </c>
      <c r="CF15" s="34">
        <f>VLOOKUP(CE1,'[13]RK FORN JAN 25'!$A$1:$M$118,12,FALSE)</f>
        <v>36.020000000000003</v>
      </c>
      <c r="CG15" s="34">
        <f>VLOOKUP(CE1,'[13]RK FORN JAN 25'!$A$1:$M$118,13,FALSE)</f>
        <v>0.97</v>
      </c>
      <c r="CH15" s="33">
        <f>VLOOKUP(CH1,'[13]RK FORN JAN 25'!$A$1:$M$118,8,FALSE)</f>
        <v>11430.32</v>
      </c>
      <c r="CI15" s="34">
        <f>VLOOKUP(CH1,'[13]RK FORN JAN 25'!$A$1:$M$118,12,FALSE)</f>
        <v>41.96</v>
      </c>
      <c r="CJ15" s="34">
        <f>VLOOKUP(CH1,'[13]RK FORN JAN 25'!$A$1:$M$118,13,FALSE)</f>
        <v>0.81</v>
      </c>
      <c r="CK15" s="33">
        <f>VLOOKUP(CK1,'[13]RK FORN JAN 25'!$A$1:$M$118,8,FALSE)</f>
        <v>13709.4</v>
      </c>
      <c r="CL15" s="34">
        <f>VLOOKUP(CK1,'[13]RK FORN JAN 25'!$A$1:$M$118,12,FALSE)</f>
        <v>36.96</v>
      </c>
      <c r="CM15" s="34">
        <f>VLOOKUP(CK1,'[13]RK FORN JAN 25'!$A$1:$M$118,13,FALSE)</f>
        <v>1</v>
      </c>
      <c r="CN15" s="33">
        <f>VLOOKUP(CN1,'[13]RK FORN JAN 25'!$A$1:$M$118,8,FALSE)</f>
        <v>9810.57</v>
      </c>
      <c r="CO15" s="34">
        <f>VLOOKUP(CN1,'[13]RK FORN JAN 25'!$A$1:$M$118,12,FALSE)</f>
        <v>41.27</v>
      </c>
      <c r="CP15" s="34">
        <f>VLOOKUP(CN1,'[13]RK FORN JAN 25'!$A$1:$M$118,13,FALSE)</f>
        <v>0.69</v>
      </c>
      <c r="CQ15" s="33">
        <f>VLOOKUP(CQ1,'[13]RK FORN JAN 25'!$A$1:$M$118,8,FALSE)</f>
        <v>7630.27</v>
      </c>
      <c r="CR15" s="34">
        <f>VLOOKUP(CQ1,'[13]RK FORN JAN 25'!$A$1:$M$118,12,FALSE)</f>
        <v>44.4</v>
      </c>
      <c r="CS15" s="34">
        <f>VLOOKUP(CQ1,'[13]RK FORN JAN 25'!$A$1:$M$118,13,FALSE)</f>
        <v>0.54</v>
      </c>
      <c r="CT15" s="33">
        <f>VLOOKUP(CT1,'[13]RK FORN JAN 25'!$A$1:$M$118,8,FALSE)</f>
        <v>11769.85</v>
      </c>
      <c r="CU15" s="34">
        <f>VLOOKUP(CT1,'[13]RK FORN JAN 25'!$A$1:$M$118,12,FALSE)</f>
        <v>31.55</v>
      </c>
      <c r="CV15" s="34">
        <f>VLOOKUP(CT1,'[13]RK FORN JAN 25'!$A$1:$M$118,13,FALSE)</f>
        <v>0.86</v>
      </c>
      <c r="CW15" s="33">
        <f>VLOOKUP(CW1,'[13]RK FORN JAN 25'!$A$1:$M$118,8,FALSE)</f>
        <v>4461.03</v>
      </c>
      <c r="CX15" s="34">
        <f>VLOOKUP(CW1,'[13]RK FORN JAN 25'!$A$1:$M$118,12,FALSE)</f>
        <v>37</v>
      </c>
      <c r="CY15" s="34">
        <f>VLOOKUP(CW1,'[13]RK FORN JAN 25'!$A$1:$M$118,13,FALSE)</f>
        <v>0.31</v>
      </c>
      <c r="CZ15" s="33">
        <f>VLOOKUP(CZ1,'[13]RK FORN JAN 25'!$A$1:$M$118,8,FALSE)</f>
        <v>7055.46</v>
      </c>
      <c r="DA15" s="34">
        <f>VLOOKUP(CZ1,'[13]RK FORN JAN 25'!$A$1:$M$118,12,FALSE)</f>
        <v>37.07</v>
      </c>
      <c r="DB15" s="34">
        <f>VLOOKUP(CZ1,'[13]RK FORN JAN 25'!$A$1:$M$118,13,FALSE)</f>
        <v>0.51</v>
      </c>
      <c r="DC15" s="34" t="e">
        <f>VLOOKUP(DC1,'[13]RK FORN JAN 25'!$A$1:$M$118,8,FALSE)</f>
        <v>#N/A</v>
      </c>
      <c r="DD15" s="34" t="e">
        <f>VLOOKUP(DC1,'[13]RK FORN JAN 25'!$A$1:$M$118,12,FALSE)</f>
        <v>#N/A</v>
      </c>
      <c r="DE15" s="34" t="e">
        <f>VLOOKUP(DC1,'[13]RK FORN JAN 25'!$A$1:$M$118,13,FALSE)</f>
        <v>#N/A</v>
      </c>
      <c r="DF15" s="33">
        <f>VLOOKUP(DF1,'[13]RK FORN JAN 25'!$A$1:$M$118,8,FALSE)</f>
        <v>1905</v>
      </c>
      <c r="DG15" s="34">
        <f>VLOOKUP(DF1,'[13]RK FORN JAN 25'!$A$1:$M$118,12,FALSE)</f>
        <v>39.1</v>
      </c>
      <c r="DH15" s="34">
        <f>VLOOKUP(DF1,'[13]RK FORN JAN 25'!$A$1:$M$118,13,FALSE)</f>
        <v>0.16</v>
      </c>
      <c r="DI15" s="33">
        <f>VLOOKUP(DI1,'[13]RK FORN JAN 25'!$A$1:$M$118,8,FALSE)</f>
        <v>4110.7299999999996</v>
      </c>
      <c r="DJ15" s="34">
        <f>VLOOKUP(DI1,'[13]RK FORN JAN 25'!$A$1:$M$118,12,FALSE)</f>
        <v>40.93</v>
      </c>
      <c r="DK15" s="34">
        <f>VLOOKUP(DI1,'[13]RK FORN JAN 25'!$A$1:$M$118,13,FALSE)</f>
        <v>0.3</v>
      </c>
      <c r="DL15" s="33">
        <f>VLOOKUP(DL1,'[13]RK FORN JAN 25'!$A$1:$M$118,8,FALSE)</f>
        <v>19319.34</v>
      </c>
      <c r="DM15" s="34">
        <f>VLOOKUP(DL1,'[13]RK FORN JAN 25'!$A$1:$M$118,12,FALSE)</f>
        <v>30.43</v>
      </c>
      <c r="DN15" s="34">
        <f>VLOOKUP(DL1,'[13]RK FORN JAN 25'!$A$1:$M$118,13,FALSE)</f>
        <v>1.35</v>
      </c>
      <c r="DO15" s="33">
        <f>VLOOKUP(DO1,'[13]RK FORN JAN 25'!$A$1:$M$118,8,FALSE)</f>
        <v>49155.5</v>
      </c>
      <c r="DP15" s="34">
        <f>VLOOKUP(DO1,'[13]RK FORN JAN 25'!$A$1:$M$118,12,FALSE)</f>
        <v>24.53</v>
      </c>
      <c r="DQ15" s="34">
        <f>VLOOKUP(DO1,'[13]RK FORN JAN 25'!$A$1:$M$118,13,FALSE)</f>
        <v>3.45</v>
      </c>
      <c r="DR15" s="33">
        <f>VLOOKUP(DR1,'[13]RK FORN JAN 25'!$A$1:$M$118,8,FALSE)</f>
        <v>616.82000000000005</v>
      </c>
      <c r="DS15" s="34">
        <f>VLOOKUP(DR1,'[13]RK FORN JAN 25'!$A$1:$M$118,12,FALSE)</f>
        <v>43.58</v>
      </c>
      <c r="DT15" s="34">
        <f>VLOOKUP(DR1,'[13]RK FORN JAN 25'!$A$1:$M$118,13,FALSE)</f>
        <v>0.04</v>
      </c>
      <c r="DU15" s="33">
        <f>VLOOKUP(DU1,'[13]RK FORN JAN 25'!$A$1:$M$118,8,FALSE)</f>
        <v>305.42</v>
      </c>
      <c r="DV15" s="34">
        <f>VLOOKUP(DU1,'[13]RK FORN JAN 25'!$A$1:$M$118,12,FALSE)</f>
        <v>41.5</v>
      </c>
      <c r="DW15" s="34">
        <f>VLOOKUP(DU1,'[13]RK FORN JAN 25'!$A$1:$M$118,13,FALSE)</f>
        <v>0.02</v>
      </c>
      <c r="DX15" s="33">
        <f>VLOOKUP(DX1,'[13]RK FORN JAN 25'!$A$1:$M$118,8,FALSE)</f>
        <v>178.6</v>
      </c>
      <c r="DY15" s="34">
        <f>VLOOKUP(DX1,'[13]RK FORN JAN 25'!$A$1:$M$118,12,FALSE)</f>
        <v>38.93</v>
      </c>
      <c r="DZ15" s="34">
        <f>VLOOKUP(DX1,'[13]RK FORN JAN 25'!$A$1:$M$118,13,FALSE)</f>
        <v>0.01</v>
      </c>
      <c r="EA15" s="33">
        <f>VLOOKUP(EA1,'[13]RK FORN JAN 25'!$A$1:$M$118,8,FALSE)</f>
        <v>1360.7739999999999</v>
      </c>
      <c r="EB15" s="34">
        <f>VLOOKUP(EA1,'[13]RK FORN JAN 25'!$A$1:$M$118,12,FALSE)</f>
        <v>36.119999999999997</v>
      </c>
      <c r="EC15" s="34">
        <f>VLOOKUP(EA1,'[13]RK FORN JAN 25'!$A$1:$M$118,13,FALSE)</f>
        <v>0.1</v>
      </c>
    </row>
    <row r="16" spans="1:133" x14ac:dyDescent="0.2">
      <c r="A16" s="32">
        <v>45689</v>
      </c>
      <c r="B16" s="33">
        <f>VLOOKUP(B1,'[14]RK FORN FEV 25'!$A$1:$M$120,8,FALSE)</f>
        <v>189474.23180000001</v>
      </c>
      <c r="C16" s="34">
        <f>VLOOKUP(B1,'[14]RK FORN FEV 25'!$A$1:$M$120,12,FALSE)</f>
        <v>32.99</v>
      </c>
      <c r="D16" s="36">
        <f>VLOOKUP(B1,'[14]RK FORN FEV 25'!$A$1:$M$120,13,FALSE)</f>
        <v>13.95</v>
      </c>
      <c r="E16" s="33">
        <f>VLOOKUP(E1,'[14]RK FORN FEV 25'!$A$1:$M$120,8,FALSE)</f>
        <v>73874.398799999995</v>
      </c>
      <c r="F16" s="34">
        <f>VLOOKUP(E1,'[14]RK FORN FEV 25'!$A$1:$M$120,12,FALSE)</f>
        <v>39.74</v>
      </c>
      <c r="G16" s="36">
        <f>VLOOKUP(E1,'[14]RK FORN FEV 25'!$A$1:$M$120,13,FALSE)</f>
        <v>5.55</v>
      </c>
      <c r="H16" s="34" t="e">
        <f>VLOOKUP(H1,'[14]RK FORN FEV 25'!$A$1:$M$120,8,FALSE)</f>
        <v>#N/A</v>
      </c>
      <c r="I16" s="34" t="e">
        <f>VLOOKUP(H1,'[14]RK FORN FEV 25'!$A$1:$M$120,12,FALSE)</f>
        <v>#N/A</v>
      </c>
      <c r="J16" s="36" t="e">
        <f>VLOOKUP(H1,'[14]RK FORN FEV 25'!$A$1:$M$120,13,FALSE)</f>
        <v>#N/A</v>
      </c>
      <c r="K16" s="33">
        <f>VLOOKUP(K1,'[14]RK FORN FEV 25'!$A$1:$M$120,8,FALSE)</f>
        <v>50889.3</v>
      </c>
      <c r="L16" s="33">
        <f>VLOOKUP(K1,'[14]RK FORN FEV 25'!$A$1:$M$120,12,FALSE)</f>
        <v>38.67</v>
      </c>
      <c r="M16" s="35">
        <f>VLOOKUP(K1,'[14]RK FORN FEV 25'!$A$1:$M$120,13,FALSE)</f>
        <v>3.76</v>
      </c>
      <c r="N16" s="33">
        <f>VLOOKUP(N1,'[14]RK FORN FEV 25'!$A$1:$M$120,8,FALSE)</f>
        <v>110540.84</v>
      </c>
      <c r="O16" s="35">
        <f>VLOOKUP(N1,'[14]RK FORN FEV 25'!$A$1:$M$120,12,FALSE)</f>
        <v>38.81</v>
      </c>
      <c r="P16" s="36">
        <f>VLOOKUP(N1,'[14]RK FORN FEV 25'!$A$1:$M$120,13,FALSE)</f>
        <v>8.19</v>
      </c>
      <c r="Q16" s="33">
        <f>VLOOKUP(Q1,'[14]RK FORN FEV 25'!$A$1:$M$120,8,FALSE)</f>
        <v>88205.334199999998</v>
      </c>
      <c r="R16" s="33">
        <f>VLOOKUP(Q1,'[14]RK FORN FEV 25'!$A$1:$M$120,12,FALSE)</f>
        <v>37.68</v>
      </c>
      <c r="S16" s="36">
        <f>VLOOKUP(Q1,'[14]RK FORN FEV 25'!$A$1:$M$120,13,FALSE)</f>
        <v>6.65</v>
      </c>
      <c r="T16" s="33">
        <f>VLOOKUP(T1,'[14]RK FORN FEV 25'!$A$1:$M$120,8,FALSE)</f>
        <v>39374.699999999997</v>
      </c>
      <c r="U16" s="34">
        <f>VLOOKUP(T1,'[14]RK FORN FEV 25'!$A$1:$M$120,12,FALSE)</f>
        <v>36.11</v>
      </c>
      <c r="V16" s="36">
        <f>VLOOKUP(T1,'[14]RK FORN FEV 25'!$A$1:$M$120,13,FALSE)</f>
        <v>3.14</v>
      </c>
      <c r="W16" s="33">
        <f>VLOOKUP(W1,'[14]RK FORN FEV 25'!$A$1:$M$120,8,FALSE)</f>
        <v>118514.1842</v>
      </c>
      <c r="X16" s="34">
        <f>VLOOKUP(W1,'[14]RK FORN FEV 25'!$A$1:$M$120,12,FALSE)</f>
        <v>37.42</v>
      </c>
      <c r="Y16" s="36">
        <f>VLOOKUP(W1,'[14]RK FORN FEV 25'!$A$1:$M$120,13,FALSE)</f>
        <v>9.0299999999999994</v>
      </c>
      <c r="Z16" s="33">
        <f>VLOOKUP(Z1,'[14]RK FORN FEV 25'!$A$1:$M$120,8,FALSE)</f>
        <v>39722.205600000001</v>
      </c>
      <c r="AA16" s="34">
        <f>VLOOKUP(Z1,'[14]RK FORN FEV 25'!$A$1:$M$120,12,FALSE)</f>
        <v>34.950000000000003</v>
      </c>
      <c r="AB16" s="36">
        <f>VLOOKUP(Z1,'[14]RK FORN FEV 25'!$A$1:$M$120,13,FALSE)</f>
        <v>2.93</v>
      </c>
      <c r="AC16" s="33">
        <f>VLOOKUP(AC1,'[14]RK FORN FEV 25'!$A$1:$M$120,8,FALSE)</f>
        <v>118514.1842</v>
      </c>
      <c r="AD16" s="34">
        <f>VLOOKUP(AC1,'[14]RK FORN FEV 25'!$A$1:$M$120,12,FALSE)</f>
        <v>37.42</v>
      </c>
      <c r="AE16" s="36">
        <f>VLOOKUP(AC1,'[14]RK FORN FEV 25'!$A$1:$M$120,13,FALSE)</f>
        <v>9.0299999999999994</v>
      </c>
      <c r="AF16" s="33">
        <f>VLOOKUP(AF1,'[14]RK FORN FEV 25'!$A$1:$M$120,8,FALSE)</f>
        <v>42059.99</v>
      </c>
      <c r="AG16" s="34">
        <f>VLOOKUP(AF1,'[14]RK FORN FEV 25'!$A$1:$M$120,12,FALSE)</f>
        <v>30.6</v>
      </c>
      <c r="AH16" s="36">
        <f>VLOOKUP(AF1,'[14]RK FORN FEV 25'!$A$1:$M$120,13,FALSE)</f>
        <v>3.14</v>
      </c>
      <c r="AI16" s="33">
        <f>VLOOKUP(AI1,'[14]RK FORN FEV 25'!$A$1:$M$120,8,FALSE)</f>
        <v>9508.86</v>
      </c>
      <c r="AJ16" s="34">
        <f>VLOOKUP(AI1,'[14]RK FORN FEV 25'!$A$1:$M$120,12,FALSE)</f>
        <v>31.39</v>
      </c>
      <c r="AK16" s="36">
        <f>VLOOKUP(AI1,'[14]RK FORN FEV 25'!$A$1:$M$120,13,FALSE)</f>
        <v>0.7</v>
      </c>
      <c r="AL16" s="33">
        <f>VLOOKUP(AL1,'[14]RK FORN FEV 25'!$A$1:$M$120,8,FALSE)</f>
        <v>16218.49</v>
      </c>
      <c r="AM16" s="34">
        <f>VLOOKUP(AL1,'[14]RK FORN FEV 25'!$A$1:$M$120,12,FALSE)</f>
        <v>43.2</v>
      </c>
      <c r="AN16" s="36">
        <f>VLOOKUP(AL1,'[14]RK FORN FEV 25'!$A$1:$M$120,13,FALSE)</f>
        <v>1.23</v>
      </c>
      <c r="AO16" s="33">
        <f>VLOOKUP(AO1,'[14]RK FORN FEV 25'!$A$1:$M$120,8,FALSE)</f>
        <v>75.900000000000006</v>
      </c>
      <c r="AP16" s="34">
        <f>VLOOKUP(AO1,'[14]RK FORN FEV 25'!$A$1:$M$120,12,FALSE)</f>
        <v>35.840000000000003</v>
      </c>
      <c r="AQ16" s="36">
        <f>VLOOKUP(AO1,'[14]RK FORN FEV 25'!$A$1:$M$120,13,FALSE)</f>
        <v>0.01</v>
      </c>
      <c r="AR16" s="33">
        <f>VLOOKUP(AR1,'[14]RK FORN FEV 25'!$A$1:$M$120,8,FALSE)</f>
        <v>61628.95</v>
      </c>
      <c r="AS16" s="34">
        <f>VLOOKUP(AR1,'[14]RK FORN FEV 25'!$A$1:$M$120,12,FALSE)</f>
        <v>31.72</v>
      </c>
      <c r="AT16" s="36">
        <f>VLOOKUP(AR1,'[14]RK FORN FEV 25'!$A$1:$M$120,13,FALSE)</f>
        <v>4.59</v>
      </c>
      <c r="AU16" s="33">
        <f>VLOOKUP(AU1,'[14]RK FORN FEV 25'!$A$1:$M$120,8,FALSE)</f>
        <v>47922.85</v>
      </c>
      <c r="AV16" s="34">
        <f>VLOOKUP(AU1,'[14]RK FORN FEV 25'!$A$1:$M$120,12,FALSE)</f>
        <v>37.61</v>
      </c>
      <c r="AW16" s="36">
        <f>VLOOKUP(AU1,'[14]RK FORN FEV 25'!$A$1:$M$120,13,FALSE)</f>
        <v>3.64</v>
      </c>
      <c r="AX16" s="34" t="e">
        <f>VLOOKUP(AX1,'[14]RK FORN FEV 25'!$A$1:$M$120,8,FALSE)</f>
        <v>#N/A</v>
      </c>
      <c r="AY16" s="34" t="e">
        <f>VLOOKUP(AX1,'[14]RK FORN FEV 25'!$A$1:$M$120,12,FALSE)</f>
        <v>#N/A</v>
      </c>
      <c r="AZ16" s="36" t="e">
        <f>VLOOKUP(AX1,'[14]RK FORN FEV 25'!$A$1:$M$120,13,FALSE)</f>
        <v>#N/A</v>
      </c>
      <c r="BA16" s="33">
        <f>VLOOKUP(BA1,'[14]RK FORN FEV 25'!$A$1:$M$120,8,FALSE)</f>
        <v>11112.07</v>
      </c>
      <c r="BB16" s="34">
        <f>VLOOKUP(BA1,'[14]RK FORN FEV 25'!$A$1:$M$120,12,FALSE)</f>
        <v>35.17</v>
      </c>
      <c r="BC16" s="36">
        <f>VLOOKUP(BA1,'[14]RK FORN FEV 25'!$A$1:$M$120,13,FALSE)</f>
        <v>0.83</v>
      </c>
      <c r="BD16" s="33">
        <f>VLOOKUP(BD1,'[14]RK FORN FEV 25'!$A$1:$M$120,8,FALSE)</f>
        <v>11511.42</v>
      </c>
      <c r="BE16" s="34">
        <f>VLOOKUP(BD1,'[14]RK FORN FEV 25'!$A$1:$M$120,12,FALSE)</f>
        <v>49.06</v>
      </c>
      <c r="BF16" s="36">
        <f>VLOOKUP(BD1,'[14]RK FORN FEV 25'!$A$1:$M$120,13,FALSE)</f>
        <v>0.86</v>
      </c>
      <c r="BG16" s="33">
        <f>VLOOKUP(BG1,'[14]RK FORN FEV 25'!$A$1:$M$120,8,FALSE)</f>
        <v>9505.17</v>
      </c>
      <c r="BH16" s="34">
        <f>VLOOKUP(BG1,'[14]RK FORN FEV 25'!$A$1:$M$120,12,FALSE)</f>
        <v>46.33</v>
      </c>
      <c r="BI16" s="36">
        <f>VLOOKUP(BG1,'[14]RK FORN FEV 25'!$A$1:$M$120,13,FALSE)</f>
        <v>0.7</v>
      </c>
      <c r="BJ16" s="33">
        <f>VLOOKUP(BJ1,'[14]RK FORN FEV 25'!$A$1:$M$120,8,FALSE)</f>
        <v>16779.95</v>
      </c>
      <c r="BK16" s="34">
        <f>VLOOKUP(BJ1,'[14]RK FORN FEV 25'!$A$1:$M$120,12,FALSE)</f>
        <v>66.78</v>
      </c>
      <c r="BL16" s="36">
        <f>VLOOKUP(BJ1,'[14]RK FORN FEV 25'!$A$1:$M$120,13,FALSE)</f>
        <v>1.23</v>
      </c>
      <c r="BM16" s="34" t="e">
        <f>VLOOKUP(BM1,'[14]RK FORN FEV 25'!$A$1:$M$120,8,FALSE)</f>
        <v>#N/A</v>
      </c>
      <c r="BN16" s="34" t="e">
        <f>VLOOKUP(BM1,'[14]RK FORN FEV 25'!$A$1:$M$120,12,FALSE)</f>
        <v>#N/A</v>
      </c>
      <c r="BO16" s="36" t="e">
        <f>VLOOKUP(BM1,'[14]RK FORN FEV 25'!$A$1:$M$120,13,FALSE)</f>
        <v>#N/A</v>
      </c>
      <c r="BP16" s="34" t="e">
        <f>VLOOKUP(BP1,'[14]RK FORN FEV 25'!$A$1:$M$120,8,FALSE)</f>
        <v>#N/A</v>
      </c>
      <c r="BQ16" s="34" t="e">
        <f>VLOOKUP(BP1,'[14]RK FORN FEV 25'!$A$1:$M$120,12,FALSE)</f>
        <v>#N/A</v>
      </c>
      <c r="BR16" s="36" t="e">
        <f>VLOOKUP(BP1,'[14]RK FORN FEV 25'!$A$1:$M$120,13,FALSE)</f>
        <v>#N/A</v>
      </c>
      <c r="BS16" s="33">
        <f>VLOOKUP(BS1,'[14]RK FORN FEV 25'!$A$1:$M$120,8,FALSE)</f>
        <v>3717.93</v>
      </c>
      <c r="BT16" s="34">
        <f>VLOOKUP(BS1,'[14]RK FORN FEV 25'!$A$1:$M$120,12,FALSE)</f>
        <v>36.33</v>
      </c>
      <c r="BU16" s="36">
        <f>VLOOKUP(BS1,'[14]RK FORN FEV 25'!$A$1:$M$120,13,FALSE)</f>
        <v>0.28000000000000003</v>
      </c>
      <c r="BV16" s="33">
        <f>VLOOKUP(BV1,'[14]RK FORN FEV 25'!$A$1:$M$120,8,FALSE)</f>
        <v>13808.02</v>
      </c>
      <c r="BW16" s="34">
        <f>VLOOKUP(BV1,'[14]RK FORN FEV 25'!$A$1:$M$120,12,FALSE)</f>
        <v>36.07</v>
      </c>
      <c r="BX16" s="36">
        <f>VLOOKUP(BV1,'[14]RK FORN FEV 25'!$A$1:$M$120,13,FALSE)</f>
        <v>1.02</v>
      </c>
      <c r="BY16" s="33">
        <f>VLOOKUP(BY1,'[14]RK FORN FEV 25'!$A$1:$M$120,8,FALSE)</f>
        <v>14895.87</v>
      </c>
      <c r="BZ16" s="34">
        <f>VLOOKUP(BY1,'[14]RK FORN FEV 25'!$A$1:$M$120,12,FALSE)</f>
        <v>38.840000000000003</v>
      </c>
      <c r="CA16" s="36">
        <f>VLOOKUP(BY1,'[14]RK FORN FEV 25'!$A$1:$M$120,13,FALSE)</f>
        <v>1.1100000000000001</v>
      </c>
      <c r="CB16" s="34" t="e">
        <f>VLOOKUP(CB1,'[14]RK FORN FEV 25'!$A$1:$M$120,8,FALSE)</f>
        <v>#N/A</v>
      </c>
      <c r="CC16" s="34" t="e">
        <f>VLOOKUP(CB1,'[14]RK FORN FEV 25'!$A$1:$M$120,12,FALSE)</f>
        <v>#N/A</v>
      </c>
      <c r="CD16" s="36" t="e">
        <f>VLOOKUP(CB1,'[14]RK FORN FEV 25'!$A$1:$M$120,13,FALSE)</f>
        <v>#N/A</v>
      </c>
      <c r="CE16" s="33">
        <f>VLOOKUP(CE1,'[14]RK FORN FEV 25'!$A$1:$M$120,8,FALSE)</f>
        <v>8922.84</v>
      </c>
      <c r="CF16" s="34">
        <f>VLOOKUP(CE1,'[14]RK FORN FEV 25'!$A$1:$M$120,12,FALSE)</f>
        <v>41.16</v>
      </c>
      <c r="CG16" s="36">
        <f>VLOOKUP(CE1,'[14]RK FORN FEV 25'!$A$1:$M$120,13,FALSE)</f>
        <v>0.66</v>
      </c>
      <c r="CH16" s="33">
        <f>VLOOKUP(CH1,'[14]RK FORN FEV 25'!$A$1:$M$120,8,FALSE)</f>
        <v>10448.23</v>
      </c>
      <c r="CI16" s="34">
        <f>VLOOKUP(CH1,'[14]RK FORN FEV 25'!$A$1:$M$120,12,FALSE)</f>
        <v>41.57</v>
      </c>
      <c r="CJ16" s="36">
        <f>VLOOKUP(CH1,'[14]RK FORN FEV 25'!$A$1:$M$120,13,FALSE)</f>
        <v>0.77</v>
      </c>
      <c r="CK16" s="33">
        <f>VLOOKUP(CK1,'[14]RK FORN FEV 25'!$A$1:$M$120,8,FALSE)</f>
        <v>8306.77</v>
      </c>
      <c r="CL16" s="34">
        <f>VLOOKUP(CK1,'[14]RK FORN FEV 25'!$A$1:$M$120,12,FALSE)</f>
        <v>36.630000000000003</v>
      </c>
      <c r="CM16" s="36">
        <f>VLOOKUP(CK1,'[14]RK FORN FEV 25'!$A$1:$M$120,13,FALSE)</f>
        <v>0.63</v>
      </c>
      <c r="CN16" s="33">
        <f>VLOOKUP(CN1,'[14]RK FORN FEV 25'!$A$1:$M$120,8,FALSE)</f>
        <v>8701.68</v>
      </c>
      <c r="CO16" s="34">
        <f>VLOOKUP(CN1,'[14]RK FORN FEV 25'!$A$1:$M$120,12,FALSE)</f>
        <v>40.11</v>
      </c>
      <c r="CP16" s="36">
        <f>VLOOKUP(CN1,'[14]RK FORN FEV 25'!$A$1:$M$120,13,FALSE)</f>
        <v>0.67</v>
      </c>
      <c r="CQ16" s="33">
        <f>VLOOKUP(CQ1,'[14]RK FORN FEV 25'!$A$1:$M$120,8,FALSE)</f>
        <v>8328.73</v>
      </c>
      <c r="CR16" s="34">
        <f>VLOOKUP(CQ1,'[14]RK FORN FEV 25'!$A$1:$M$120,12,FALSE)</f>
        <v>43.89</v>
      </c>
      <c r="CS16" s="36">
        <f>VLOOKUP(CQ1,'[14]RK FORN FEV 25'!$A$1:$M$120,13,FALSE)</f>
        <v>0.62</v>
      </c>
      <c r="CT16" s="33">
        <f>VLOOKUP(CT1,'[14]RK FORN FEV 25'!$A$1:$M$120,8,FALSE)</f>
        <v>4722.49</v>
      </c>
      <c r="CU16" s="34">
        <f>VLOOKUP(CT1,'[14]RK FORN FEV 25'!$A$1:$M$120,12,FALSE)</f>
        <v>30.29</v>
      </c>
      <c r="CV16" s="36">
        <f>VLOOKUP(CT1,'[14]RK FORN FEV 25'!$A$1:$M$120,13,FALSE)</f>
        <v>0.35</v>
      </c>
      <c r="CW16" s="33">
        <f>VLOOKUP(CW1,'[14]RK FORN FEV 25'!$A$1:$M$120,8,FALSE)</f>
        <v>4980.55</v>
      </c>
      <c r="CX16" s="34">
        <f>VLOOKUP(CW1,'[14]RK FORN FEV 25'!$A$1:$M$120,12,FALSE)</f>
        <v>34.57</v>
      </c>
      <c r="CY16" s="36">
        <f>VLOOKUP(CW1,'[14]RK FORN FEV 25'!$A$1:$M$120,13,FALSE)</f>
        <v>0.37</v>
      </c>
      <c r="CZ16" s="33">
        <f>VLOOKUP(CZ1,'[14]RK FORN FEV 25'!$A$1:$M$120,8,FALSE)</f>
        <v>8472.11</v>
      </c>
      <c r="DA16" s="34">
        <f>VLOOKUP(CZ1,'[14]RK FORN FEV 25'!$A$1:$M$120,12,FALSE)</f>
        <v>36.07</v>
      </c>
      <c r="DB16" s="36">
        <f>VLOOKUP(CZ1,'[14]RK FORN FEV 25'!$A$1:$M$120,13,FALSE)</f>
        <v>0.64</v>
      </c>
      <c r="DC16" s="33">
        <f>VLOOKUP(DC1,'[14]RK FORN FEV 25'!$A$1:$M$120,8,FALSE)</f>
        <v>463.02</v>
      </c>
      <c r="DD16" s="34">
        <f>VLOOKUP(DC1,'[14]RK FORN FEV 25'!$A$1:$M$120,12,FALSE)</f>
        <v>34.020000000000003</v>
      </c>
      <c r="DE16" s="36">
        <f>VLOOKUP(DC1,'[14]RK FORN FEV 25'!$A$1:$M$120,13,FALSE)</f>
        <v>0.03</v>
      </c>
      <c r="DF16" s="33">
        <f>VLOOKUP(DF1,'[14]RK FORN FEV 25'!$A$1:$M$120,8,FALSE)</f>
        <v>1936.6</v>
      </c>
      <c r="DG16" s="34">
        <f>VLOOKUP(DF1,'[14]RK FORN FEV 25'!$A$1:$M$120,12,FALSE)</f>
        <v>39.909999999999997</v>
      </c>
      <c r="DH16" s="36">
        <f>VLOOKUP(DF1,'[14]RK FORN FEV 25'!$A$1:$M$120,13,FALSE)</f>
        <v>0.14000000000000001</v>
      </c>
      <c r="DI16" s="33">
        <f>VLOOKUP(DI1,'[14]RK FORN FEV 25'!$A$1:$M$120,8,FALSE)</f>
        <v>6332.39</v>
      </c>
      <c r="DJ16" s="34">
        <f>VLOOKUP(DI1,'[14]RK FORN FEV 25'!$A$1:$M$120,12,FALSE)</f>
        <v>42.1</v>
      </c>
      <c r="DK16" s="36">
        <f>VLOOKUP(DI1,'[14]RK FORN FEV 25'!$A$1:$M$120,13,FALSE)</f>
        <v>0.47</v>
      </c>
      <c r="DL16" s="33">
        <f>VLOOKUP(DL1,'[14]RK FORN FEV 25'!$A$1:$M$120,8,FALSE)</f>
        <v>22404.83</v>
      </c>
      <c r="DM16" s="34">
        <f>VLOOKUP(DL1,'[14]RK FORN FEV 25'!$A$1:$M$120,12,FALSE)</f>
        <v>30.28</v>
      </c>
      <c r="DN16" s="36">
        <f>VLOOKUP(DL1,'[14]RK FORN FEV 25'!$A$1:$M$120,13,FALSE)</f>
        <v>1.67</v>
      </c>
      <c r="DO16" s="33">
        <f>VLOOKUP(DO1,'[14]RK FORN FEV 25'!$A$1:$M$120,8,FALSE)</f>
        <v>82456.88</v>
      </c>
      <c r="DP16" s="34">
        <f>VLOOKUP(DO1,'[14]RK FORN FEV 25'!$A$1:$M$120,12,FALSE)</f>
        <v>26.75</v>
      </c>
      <c r="DQ16" s="36">
        <f>VLOOKUP(DO1,'[14]RK FORN FEV 25'!$A$1:$M$120,13,FALSE)</f>
        <v>6.17</v>
      </c>
      <c r="DR16" s="33">
        <f>VLOOKUP(DR1,'[14]RK FORN FEV 25'!$A$1:$M$120,8,FALSE)</f>
        <v>1065.0999999999999</v>
      </c>
      <c r="DS16" s="34">
        <f>VLOOKUP(DR1,'[14]RK FORN FEV 25'!$A$1:$M$120,12,FALSE)</f>
        <v>38.14</v>
      </c>
      <c r="DT16" s="36">
        <f>VLOOKUP(DR1,'[14]RK FORN FEV 25'!$A$1:$M$120,13,FALSE)</f>
        <v>0.08</v>
      </c>
      <c r="DU16" s="33">
        <f>VLOOKUP(DU1,'[14]RK FORN FEV 25'!$A$1:$M$120,8,FALSE)</f>
        <v>26.9</v>
      </c>
      <c r="DV16" s="34">
        <f>VLOOKUP(DU1,'[14]RK FORN FEV 25'!$A$1:$M$120,12,FALSE)</f>
        <v>35.5</v>
      </c>
      <c r="DW16" s="36">
        <f>VLOOKUP(DU1,'[14]RK FORN FEV 25'!$A$1:$M$120,13,FALSE)</f>
        <v>0</v>
      </c>
      <c r="DX16" s="33">
        <f>VLOOKUP(DX1,'[14]RK FORN FEV 25'!$A$1:$M$120,8,FALSE)</f>
        <v>876.36</v>
      </c>
      <c r="DY16" s="34">
        <f>VLOOKUP(DX1,'[14]RK FORN FEV 25'!$A$1:$M$120,12,FALSE)</f>
        <v>34.770000000000003</v>
      </c>
      <c r="DZ16" s="36">
        <f>VLOOKUP(DX1,'[14]RK FORN FEV 25'!$A$1:$M$120,13,FALSE)</f>
        <v>0.06</v>
      </c>
      <c r="EA16" s="33">
        <f>VLOOKUP(EA1,'[14]RK FORN FEV 25'!$A$1:$M$120,8,FALSE)</f>
        <v>6950.6598000000004</v>
      </c>
      <c r="EB16" s="34">
        <f>VLOOKUP(EA1,'[14]RK FORN FEV 25'!$A$1:$M$120,12,FALSE)</f>
        <v>36.39</v>
      </c>
      <c r="EC16" s="36">
        <f>VLOOKUP(EA1,'[14]RK FORN FEV 25'!$A$1:$M$120,13,FALSE)</f>
        <v>0.51</v>
      </c>
    </row>
    <row r="17" spans="1:133" x14ac:dyDescent="0.2">
      <c r="A17" s="32">
        <v>45717</v>
      </c>
      <c r="B17" s="33">
        <f>VLOOKUP(B1,'[15]RK FORN MAR 25'!$A$1:$M$115,8,FALSE)</f>
        <v>248248.82870000001</v>
      </c>
      <c r="C17" s="34">
        <f>VLOOKUP(B1,'[15]RK FORN MAR 25'!$A$1:$M$115,12,FALSE)</f>
        <v>33.979999999999997</v>
      </c>
      <c r="D17" s="34">
        <f>VLOOKUP(B1,'[15]RK FORN MAR 25'!$A$1:$M$115,13,FALSE)</f>
        <v>19.920000000000002</v>
      </c>
      <c r="E17" s="33">
        <f>VLOOKUP(E1,'[15]RK FORN MAR 25'!$A$1:$M$115,8,FALSE)</f>
        <v>78349.248800000001</v>
      </c>
      <c r="F17" s="34">
        <f>VLOOKUP(E1,'[15]RK FORN MAR 25'!$A$1:$M$115,12,FALSE)</f>
        <v>40.909999999999997</v>
      </c>
      <c r="G17" s="34">
        <f>VLOOKUP(E1,'[15]RK FORN MAR 25'!$A$1:$M$115,13,FALSE)</f>
        <v>6.13</v>
      </c>
      <c r="H17" s="34" t="e">
        <f>VLOOKUP(H1,'[15]RK FORN MAR 25'!$A$1:$M$115,8,FALSE)</f>
        <v>#N/A</v>
      </c>
      <c r="I17" s="34" t="e">
        <f>VLOOKUP(H1,'[15]RK FORN MAR 25'!$A$1:$M$115,12,FALSE)</f>
        <v>#N/A</v>
      </c>
      <c r="J17" s="34" t="e">
        <f>VLOOKUP(H1,'[15]RK FORN MAR 25'!$A$1:$M$115,13,FALSE)</f>
        <v>#N/A</v>
      </c>
      <c r="K17" s="33">
        <f>VLOOKUP(K1,'[15]RK FORN MAR 25'!$A$1:$M$115,8,FALSE)</f>
        <v>70901.8</v>
      </c>
      <c r="L17" s="33">
        <f>VLOOKUP(K1,'[15]RK FORN MAR 25'!$A$1:$M$115,12,FALSE)</f>
        <v>38.35</v>
      </c>
      <c r="M17" s="35">
        <f>VLOOKUP(K1,'[15]RK FORN MAR 25'!$A$1:$M$115,13,FALSE)</f>
        <v>5.55</v>
      </c>
      <c r="N17" s="33">
        <f>VLOOKUP(N1,'[15]RK FORN MAR 25'!$A$1:$M$115,8,FALSE)</f>
        <v>95238.65</v>
      </c>
      <c r="O17" s="35">
        <f>VLOOKUP(N1,'[15]RK FORN MAR 25'!$A$1:$M$115,12,FALSE)</f>
        <v>39.17</v>
      </c>
      <c r="P17" s="34">
        <f>VLOOKUP(N1,'[15]RK FORN MAR 25'!$A$1:$M$115,13,FALSE)</f>
        <v>7.47</v>
      </c>
      <c r="Q17" s="33">
        <f>VLOOKUP(Q1,'[15]RK FORN MAR 25'!$A$1:$M$115,8,FALSE)</f>
        <v>62415.594700000001</v>
      </c>
      <c r="R17" s="33">
        <f>VLOOKUP(Q1,'[15]RK FORN MAR 25'!$A$1:$M$115,12,FALSE)</f>
        <v>35.659999999999997</v>
      </c>
      <c r="S17" s="34">
        <f>VLOOKUP(Q1,'[15]RK FORN MAR 25'!$A$1:$M$115,13,FALSE)</f>
        <v>5.0599999999999996</v>
      </c>
      <c r="T17" s="33">
        <f>VLOOKUP(T1,'[15]RK FORN MAR 25'!$A$1:$M$115,8,FALSE)</f>
        <v>39734.239999999998</v>
      </c>
      <c r="U17" s="34">
        <f>VLOOKUP(T1,'[15]RK FORN MAR 25'!$A$1:$M$115,12,FALSE)</f>
        <v>36.840000000000003</v>
      </c>
      <c r="V17" s="34">
        <f>VLOOKUP(T1,'[15]RK FORN MAR 25'!$A$1:$M$115,13,FALSE)</f>
        <v>3.09</v>
      </c>
      <c r="W17" s="33">
        <f>VLOOKUP(W1,'[15]RK FORN MAR 25'!$A$1:$M$115,8,FALSE)</f>
        <v>92069.256299999994</v>
      </c>
      <c r="X17" s="34">
        <f>VLOOKUP(W1,'[15]RK FORN MAR 25'!$A$1:$M$115,12,FALSE)</f>
        <v>37.479999999999997</v>
      </c>
      <c r="Y17" s="34">
        <f>VLOOKUP(W1,'[15]RK FORN MAR 25'!$A$1:$M$115,13,FALSE)</f>
        <v>7.32</v>
      </c>
      <c r="Z17" s="33">
        <f>VLOOKUP(Z1,'[15]RK FORN MAR 25'!$A$1:$M$115,8,FALSE)</f>
        <v>20702.379199999999</v>
      </c>
      <c r="AA17" s="34">
        <f>VLOOKUP(Z1,'[15]RK FORN MAR 25'!$A$1:$M$115,12,FALSE)</f>
        <v>36.43</v>
      </c>
      <c r="AB17" s="34">
        <f>VLOOKUP(Z1,'[15]RK FORN MAR 25'!$A$1:$M$115,13,FALSE)</f>
        <v>1.59</v>
      </c>
      <c r="AC17" s="33">
        <f>VLOOKUP(AC1,'[15]RK FORN MAR 25'!$A$1:$M$115,8,FALSE)</f>
        <v>92069.256299999994</v>
      </c>
      <c r="AD17" s="34">
        <f>VLOOKUP(AC1,'[15]RK FORN MAR 25'!$A$1:$M$115,12,FALSE)</f>
        <v>37.479999999999997</v>
      </c>
      <c r="AE17" s="34">
        <f>VLOOKUP(AC1,'[15]RK FORN MAR 25'!$A$1:$M$115,13,FALSE)</f>
        <v>7.32</v>
      </c>
      <c r="AF17" s="33">
        <f>VLOOKUP(AF1,'[15]RK FORN MAR 25'!$A$1:$M$115,8,FALSE)</f>
        <v>31116.02</v>
      </c>
      <c r="AG17" s="34">
        <f>VLOOKUP(AF1,'[15]RK FORN MAR 25'!$A$1:$M$115,12,FALSE)</f>
        <v>29.78</v>
      </c>
      <c r="AH17" s="34">
        <f>VLOOKUP(AF1,'[15]RK FORN MAR 25'!$A$1:$M$115,13,FALSE)</f>
        <v>2.5</v>
      </c>
      <c r="AI17" s="33">
        <f>VLOOKUP(AI1,'[15]RK FORN MAR 25'!$A$1:$M$115,8,FALSE)</f>
        <v>2737.53</v>
      </c>
      <c r="AJ17" s="34">
        <f>VLOOKUP(AI1,'[15]RK FORN MAR 25'!$A$1:$M$115,12,FALSE)</f>
        <v>31.31</v>
      </c>
      <c r="AK17" s="34">
        <f>VLOOKUP(AI1,'[15]RK FORN MAR 25'!$A$1:$M$115,13,FALSE)</f>
        <v>0.24</v>
      </c>
      <c r="AL17" s="33">
        <f>VLOOKUP(AL1,'[15]RK FORN MAR 25'!$A$1:$M$115,8,FALSE)</f>
        <v>18185.77</v>
      </c>
      <c r="AM17" s="34">
        <f>VLOOKUP(AL1,'[15]RK FORN MAR 25'!$A$1:$M$115,12,FALSE)</f>
        <v>47.32</v>
      </c>
      <c r="AN17" s="34">
        <f>VLOOKUP(AL1,'[15]RK FORN MAR 25'!$A$1:$M$115,13,FALSE)</f>
        <v>1.42</v>
      </c>
      <c r="AO17" s="33">
        <f>VLOOKUP(AO1,'[15]RK FORN MAR 25'!$A$1:$M$115,8,FALSE)</f>
        <v>235.7</v>
      </c>
      <c r="AP17" s="34">
        <f>VLOOKUP(AO1,'[15]RK FORN MAR 25'!$A$1:$M$115,12,FALSE)</f>
        <v>24.28</v>
      </c>
      <c r="AQ17" s="34">
        <f>VLOOKUP(AO1,'[15]RK FORN MAR 25'!$A$1:$M$115,13,FALSE)</f>
        <v>0.02</v>
      </c>
      <c r="AR17" s="33">
        <f>VLOOKUP(AR1,'[15]RK FORN MAR 25'!$A$1:$M$115,8,FALSE)</f>
        <v>33075.43</v>
      </c>
      <c r="AS17" s="34">
        <f>VLOOKUP(AR1,'[15]RK FORN MAR 25'!$A$1:$M$115,12,FALSE)</f>
        <v>30.88</v>
      </c>
      <c r="AT17" s="34">
        <f>VLOOKUP(AR1,'[15]RK FORN MAR 25'!$A$1:$M$115,13,FALSE)</f>
        <v>2.61</v>
      </c>
      <c r="AU17" s="33">
        <f>VLOOKUP(AU1,'[15]RK FORN MAR 25'!$A$1:$M$115,8,FALSE)</f>
        <v>57824.06</v>
      </c>
      <c r="AV17" s="34">
        <f>VLOOKUP(AU1,'[15]RK FORN MAR 25'!$A$1:$M$115,12,FALSE)</f>
        <v>34.479999999999997</v>
      </c>
      <c r="AW17" s="34">
        <f>VLOOKUP(AU1,'[15]RK FORN MAR 25'!$A$1:$M$115,13,FALSE)</f>
        <v>4.87</v>
      </c>
      <c r="AX17" s="34" t="e">
        <f>VLOOKUP(AX1,'[15]RK FORN MAR 25'!$A$1:$M$115,8,FALSE)</f>
        <v>#N/A</v>
      </c>
      <c r="AY17" s="34" t="e">
        <f>VLOOKUP(AX1,'[15]RK FORN MAR 25'!$A$1:$M$115,12,FALSE)</f>
        <v>#N/A</v>
      </c>
      <c r="AZ17" s="34" t="e">
        <f>VLOOKUP(AX1,'[15]RK FORN MAR 25'!$A$1:$M$115,13,FALSE)</f>
        <v>#N/A</v>
      </c>
      <c r="BA17" s="33">
        <f>VLOOKUP(BA1,'[15]RK FORN MAR 25'!$A$1:$M$115,8,FALSE)</f>
        <v>9371.25</v>
      </c>
      <c r="BB17" s="34">
        <f>VLOOKUP(BA1,'[15]RK FORN MAR 25'!$A$1:$M$115,12,FALSE)</f>
        <v>36.409999999999997</v>
      </c>
      <c r="BC17" s="34">
        <f>VLOOKUP(BA1,'[15]RK FORN MAR 25'!$A$1:$M$115,13,FALSE)</f>
        <v>0.74</v>
      </c>
      <c r="BD17" s="33">
        <f>VLOOKUP(BD1,'[15]RK FORN MAR 25'!$A$1:$M$115,8,FALSE)</f>
        <v>11796.68</v>
      </c>
      <c r="BE17" s="34">
        <f>VLOOKUP(BD1,'[15]RK FORN MAR 25'!$A$1:$M$115,12,FALSE)</f>
        <v>49.28</v>
      </c>
      <c r="BF17" s="34">
        <f>VLOOKUP(BD1,'[15]RK FORN MAR 25'!$A$1:$M$115,13,FALSE)</f>
        <v>0.92</v>
      </c>
      <c r="BG17" s="33">
        <f>VLOOKUP(BG1,'[15]RK FORN MAR 25'!$A$1:$M$115,8,FALSE)</f>
        <v>12028.71</v>
      </c>
      <c r="BH17" s="34">
        <f>VLOOKUP(BG1,'[15]RK FORN MAR 25'!$A$1:$M$115,12,FALSE)</f>
        <v>39.53</v>
      </c>
      <c r="BI17" s="34">
        <f>VLOOKUP(BG1,'[15]RK FORN MAR 25'!$A$1:$M$115,13,FALSE)</f>
        <v>0.93</v>
      </c>
      <c r="BJ17" s="33">
        <f>VLOOKUP(BJ1,'[15]RK FORN MAR 25'!$A$1:$M$115,8,FALSE)</f>
        <v>18781.509999999998</v>
      </c>
      <c r="BK17" s="34">
        <f>VLOOKUP(BJ1,'[15]RK FORN MAR 25'!$A$1:$M$115,12,FALSE)</f>
        <v>67.97</v>
      </c>
      <c r="BL17" s="34">
        <f>VLOOKUP(BJ1,'[15]RK FORN MAR 25'!$A$1:$M$115,13,FALSE)</f>
        <v>1.44</v>
      </c>
      <c r="BM17" s="34" t="e">
        <f>VLOOKUP(BM1,'[15]RK FORN MAR 25'!$A$1:$M$115,8,FALSE)</f>
        <v>#N/A</v>
      </c>
      <c r="BN17" s="34" t="e">
        <f>VLOOKUP(BM1,'[15]RK FORN MAR 25'!$A$1:$M$115,12,FALSE)</f>
        <v>#N/A</v>
      </c>
      <c r="BO17" s="34" t="e">
        <f>VLOOKUP(BM1,'[15]RK FORN MAR 25'!$A$1:$M$115,13,FALSE)</f>
        <v>#N/A</v>
      </c>
      <c r="BP17" s="34" t="e">
        <f>VLOOKUP(BP1,'[15]RK FORN MAR 25'!$A$1:$M$115,8,FALSE)</f>
        <v>#N/A</v>
      </c>
      <c r="BQ17" s="34" t="e">
        <f>VLOOKUP(BP1,'[15]RK FORN MAR 25'!$A$1:$M$115,12,FALSE)</f>
        <v>#N/A</v>
      </c>
      <c r="BR17" s="34" t="e">
        <f>VLOOKUP(BP1,'[15]RK FORN MAR 25'!$A$1:$M$115,13,FALSE)</f>
        <v>#N/A</v>
      </c>
      <c r="BS17" s="33">
        <f>VLOOKUP(BS1,'[15]RK FORN MAR 25'!$A$1:$M$115,8,FALSE)</f>
        <v>10357.114</v>
      </c>
      <c r="BT17" s="34">
        <f>VLOOKUP(BS1,'[15]RK FORN MAR 25'!$A$1:$M$115,12,FALSE)</f>
        <v>36.03</v>
      </c>
      <c r="BU17" s="34">
        <f>VLOOKUP(BS1,'[15]RK FORN MAR 25'!$A$1:$M$115,13,FALSE)</f>
        <v>0.84</v>
      </c>
      <c r="BV17" s="33">
        <f>VLOOKUP(BV1,'[15]RK FORN MAR 25'!$A$1:$M$115,8,FALSE)</f>
        <v>13681.74</v>
      </c>
      <c r="BW17" s="34">
        <f>VLOOKUP(BV1,'[15]RK FORN MAR 25'!$A$1:$M$115,12,FALSE)</f>
        <v>36.58</v>
      </c>
      <c r="BX17" s="34">
        <f>VLOOKUP(BV1,'[15]RK FORN MAR 25'!$A$1:$M$115,13,FALSE)</f>
        <v>1.06</v>
      </c>
      <c r="BY17" s="33">
        <f>VLOOKUP(BY1,'[15]RK FORN MAR 25'!$A$1:$M$115,8,FALSE)</f>
        <v>12121.76</v>
      </c>
      <c r="BZ17" s="34">
        <f>VLOOKUP(BY1,'[15]RK FORN MAR 25'!$A$1:$M$115,12,FALSE)</f>
        <v>42.85</v>
      </c>
      <c r="CA17" s="34">
        <f>VLOOKUP(BY1,'[15]RK FORN MAR 25'!$A$1:$M$115,13,FALSE)</f>
        <v>0.97</v>
      </c>
      <c r="CB17" s="34" t="e">
        <f>VLOOKUP(CB1,'[15]RK FORN MAR 25'!$A$1:$M$115,8,FALSE)</f>
        <v>#N/A</v>
      </c>
      <c r="CC17" s="34" t="e">
        <f>VLOOKUP(CB1,'[15]RK FORN MAR 25'!$A$1:$M$115,12,FALSE)</f>
        <v>#N/A</v>
      </c>
      <c r="CD17" s="34" t="e">
        <f>VLOOKUP(CB1,'[15]RK FORN MAR 25'!$A$1:$M$115,13,FALSE)</f>
        <v>#N/A</v>
      </c>
      <c r="CE17" s="33">
        <f>VLOOKUP(CE1,'[15]RK FORN MAR 25'!$A$1:$M$115,8,FALSE)</f>
        <v>9883.4699999999993</v>
      </c>
      <c r="CF17" s="34">
        <f>VLOOKUP(CE1,'[15]RK FORN MAR 25'!$A$1:$M$115,12,FALSE)</f>
        <v>38.99</v>
      </c>
      <c r="CG17" s="34">
        <f>VLOOKUP(CE1,'[15]RK FORN MAR 25'!$A$1:$M$115,13,FALSE)</f>
        <v>0.76</v>
      </c>
      <c r="CH17" s="33">
        <f>VLOOKUP(CH1,'[15]RK FORN MAR 25'!$A$1:$M$115,8,FALSE)</f>
        <v>10419.52</v>
      </c>
      <c r="CI17" s="34">
        <f>VLOOKUP(CH1,'[15]RK FORN MAR 25'!$A$1:$M$115,12,FALSE)</f>
        <v>41.45</v>
      </c>
      <c r="CJ17" s="34">
        <f>VLOOKUP(CH1,'[15]RK FORN MAR 25'!$A$1:$M$115,13,FALSE)</f>
        <v>0.82</v>
      </c>
      <c r="CK17" s="33">
        <f>VLOOKUP(CK1,'[15]RK FORN MAR 25'!$A$1:$M$115,8,FALSE)</f>
        <v>6466.65</v>
      </c>
      <c r="CL17" s="34">
        <f>VLOOKUP(CK1,'[15]RK FORN MAR 25'!$A$1:$M$115,12,FALSE)</f>
        <v>38.630000000000003</v>
      </c>
      <c r="CM17" s="34">
        <f>VLOOKUP(CK1,'[15]RK FORN MAR 25'!$A$1:$M$115,13,FALSE)</f>
        <v>0.52</v>
      </c>
      <c r="CN17" s="33">
        <f>VLOOKUP(CN1,'[15]RK FORN MAR 25'!$A$1:$M$115,8,FALSE)</f>
        <v>4772.9799999999996</v>
      </c>
      <c r="CO17" s="34">
        <f>VLOOKUP(CN1,'[15]RK FORN MAR 25'!$A$1:$M$115,12,FALSE)</f>
        <v>41.24</v>
      </c>
      <c r="CP17" s="34">
        <f>VLOOKUP(CN1,'[15]RK FORN MAR 25'!$A$1:$M$115,13,FALSE)</f>
        <v>0.37</v>
      </c>
      <c r="CQ17" s="33">
        <f>VLOOKUP(CQ1,'[15]RK FORN MAR 25'!$A$1:$M$115,8,FALSE)</f>
        <v>5041.7700000000004</v>
      </c>
      <c r="CR17" s="34">
        <f>VLOOKUP(CQ1,'[15]RK FORN MAR 25'!$A$1:$M$115,12,FALSE)</f>
        <v>43.47</v>
      </c>
      <c r="CS17" s="34">
        <f>VLOOKUP(CQ1,'[15]RK FORN MAR 25'!$A$1:$M$115,13,FALSE)</f>
        <v>0.4</v>
      </c>
      <c r="CT17" s="33">
        <f>VLOOKUP(CT1,'[15]RK FORN MAR 25'!$A$1:$M$115,8,FALSE)</f>
        <v>3213.05</v>
      </c>
      <c r="CU17" s="34">
        <f>VLOOKUP(CT1,'[15]RK FORN MAR 25'!$A$1:$M$115,12,FALSE)</f>
        <v>34.86</v>
      </c>
      <c r="CV17" s="34">
        <f>VLOOKUP(CT1,'[15]RK FORN MAR 25'!$A$1:$M$115,13,FALSE)</f>
        <v>0.28000000000000003</v>
      </c>
      <c r="CW17" s="33">
        <f>VLOOKUP(CW1,'[15]RK FORN MAR 25'!$A$1:$M$115,8,FALSE)</f>
        <v>5054.12</v>
      </c>
      <c r="CX17" s="34">
        <f>VLOOKUP(CW1,'[15]RK FORN MAR 25'!$A$1:$M$115,12,FALSE)</f>
        <v>36.33</v>
      </c>
      <c r="CY17" s="34">
        <f>VLOOKUP(CW1,'[15]RK FORN MAR 25'!$A$1:$M$115,13,FALSE)</f>
        <v>0.39</v>
      </c>
      <c r="CZ17" s="33">
        <f>VLOOKUP(CZ1,'[15]RK FORN MAR 25'!$A$1:$M$115,8,FALSE)</f>
        <v>6790.62</v>
      </c>
      <c r="DA17" s="34">
        <f>VLOOKUP(CZ1,'[15]RK FORN MAR 25'!$A$1:$M$115,12,FALSE)</f>
        <v>36.97</v>
      </c>
      <c r="DB17" s="34">
        <f>VLOOKUP(CZ1,'[15]RK FORN MAR 25'!$A$1:$M$115,13,FALSE)</f>
        <v>0.52</v>
      </c>
      <c r="DC17" s="34" t="e">
        <f>VLOOKUP(DC1,'[15]RK FORN MAR 25'!$A$1:$M$115,8,FALSE)</f>
        <v>#N/A</v>
      </c>
      <c r="DD17" s="34" t="e">
        <f>VLOOKUP(DC1,'[15]RK FORN MAR 25'!$A$1:$M$115,12,FALSE)</f>
        <v>#N/A</v>
      </c>
      <c r="DE17" s="34" t="e">
        <f>VLOOKUP(DC1,'[15]RK FORN MAR 25'!$A$1:$M$115,13,FALSE)</f>
        <v>#N/A</v>
      </c>
      <c r="DF17" s="33">
        <f>VLOOKUP(DF1,'[15]RK FORN MAR 25'!$A$1:$M$115,8,FALSE)</f>
        <v>3388.12</v>
      </c>
      <c r="DG17" s="34">
        <f>VLOOKUP(DF1,'[15]RK FORN MAR 25'!$A$1:$M$115,12,FALSE)</f>
        <v>32.97</v>
      </c>
      <c r="DH17" s="34">
        <f>VLOOKUP(DF1,'[15]RK FORN MAR 25'!$A$1:$M$115,13,FALSE)</f>
        <v>0.28000000000000003</v>
      </c>
      <c r="DI17" s="33">
        <f>VLOOKUP(DI1,'[15]RK FORN MAR 25'!$A$1:$M$115,8,FALSE)</f>
        <v>5798.94</v>
      </c>
      <c r="DJ17" s="34">
        <f>VLOOKUP(DI1,'[15]RK FORN MAR 25'!$A$1:$M$115,12,FALSE)</f>
        <v>40.26</v>
      </c>
      <c r="DK17" s="34">
        <f>VLOOKUP(DI1,'[15]RK FORN MAR 25'!$A$1:$M$115,13,FALSE)</f>
        <v>0.51</v>
      </c>
      <c r="DL17" s="33">
        <f>VLOOKUP(DL1,'[15]RK FORN MAR 25'!$A$1:$M$115,8,FALSE)</f>
        <v>22799.69</v>
      </c>
      <c r="DM17" s="34">
        <f>VLOOKUP(DL1,'[15]RK FORN MAR 25'!$A$1:$M$115,12,FALSE)</f>
        <v>29.03</v>
      </c>
      <c r="DN17" s="34">
        <f>VLOOKUP(DL1,'[15]RK FORN MAR 25'!$A$1:$M$115,13,FALSE)</f>
        <v>1.79</v>
      </c>
      <c r="DO17" s="33">
        <f>VLOOKUP(DO1,'[15]RK FORN MAR 25'!$A$1:$M$115,8,FALSE)</f>
        <v>67840.27</v>
      </c>
      <c r="DP17" s="34">
        <f>VLOOKUP(DO1,'[15]RK FORN MAR 25'!$A$1:$M$115,12,FALSE)</f>
        <v>27.2</v>
      </c>
      <c r="DQ17" s="34">
        <f>VLOOKUP(DO1,'[15]RK FORN MAR 25'!$A$1:$M$115,13,FALSE)</f>
        <v>5.48</v>
      </c>
      <c r="DR17" s="33">
        <f>VLOOKUP(DR1,'[15]RK FORN MAR 25'!$A$1:$M$115,8,FALSE)</f>
        <v>326.3</v>
      </c>
      <c r="DS17" s="34">
        <f>VLOOKUP(DR1,'[15]RK FORN MAR 25'!$A$1:$M$115,12,FALSE)</f>
        <v>42.87</v>
      </c>
      <c r="DT17" s="34">
        <f>VLOOKUP(DR1,'[15]RK FORN MAR 25'!$A$1:$M$115,13,FALSE)</f>
        <v>0.03</v>
      </c>
      <c r="DU17" s="33" t="e">
        <f>VLOOKUP(DU1,'[15]RK FORN MAR 25'!$A$1:$M$115,8,FALSE)</f>
        <v>#N/A</v>
      </c>
      <c r="DV17" s="34" t="e">
        <f>VLOOKUP(DU1,'[15]RK FORN MAR 25'!$A$1:$M$115,12,FALSE)</f>
        <v>#N/A</v>
      </c>
      <c r="DW17" s="34" t="e">
        <f>VLOOKUP(DU1,'[15]RK FORN MAR 25'!$A$1:$M$115,13,FALSE)</f>
        <v>#N/A</v>
      </c>
      <c r="DX17" s="33">
        <f>VLOOKUP(DX1,'[15]RK FORN MAR 25'!$A$1:$M$115,8,FALSE)</f>
        <v>169.6</v>
      </c>
      <c r="DY17" s="34">
        <f>VLOOKUP(DX1,'[15]RK FORN MAR 25'!$A$1:$M$115,12,FALSE)</f>
        <v>40.299999999999997</v>
      </c>
      <c r="DZ17" s="34">
        <f>VLOOKUP(DX1,'[15]RK FORN MAR 25'!$A$1:$M$115,13,FALSE)</f>
        <v>0.01</v>
      </c>
      <c r="EA17" s="33">
        <f>VLOOKUP(EA1,'[15]RK FORN MAR 25'!$A$1:$M$115,8,FALSE)</f>
        <v>4639.8235000000004</v>
      </c>
      <c r="EB17" s="34">
        <f>VLOOKUP(EA1,'[15]RK FORN MAR 25'!$A$1:$M$115,12,FALSE)</f>
        <v>28.15</v>
      </c>
      <c r="EC17" s="34">
        <f>VLOOKUP(EA1,'[15]RK FORN MAR 25'!$A$1:$M$115,13,FALSE)</f>
        <v>0.36</v>
      </c>
    </row>
    <row r="18" spans="1:133" x14ac:dyDescent="0.2">
      <c r="A18" s="32">
        <v>45748</v>
      </c>
      <c r="B18" s="33">
        <f>VLOOKUP(B1,'[16]RK FORN ABR 25'!$A$1:$M$115,8,FALSE)</f>
        <v>229299.74720000001</v>
      </c>
      <c r="C18" s="34">
        <f>VLOOKUP(B1,'[16]RK FORN ABR 25'!$A$1:$M$115,12,FALSE)</f>
        <v>35.18</v>
      </c>
      <c r="D18" s="34">
        <f>VLOOKUP(B1,'[16]RK FORN ABR 25'!$A$1:$M$115,13,FALSE)</f>
        <v>19.79</v>
      </c>
      <c r="E18" s="33">
        <f>VLOOKUP(E1,'[16]RK FORN ABR 25'!$A$1:$M$115,8,FALSE)</f>
        <v>66928.090800000005</v>
      </c>
      <c r="F18" s="34">
        <f>VLOOKUP(E1,'[16]RK FORN ABR 25'!$A$1:$M$115,12,FALSE)</f>
        <v>40.9</v>
      </c>
      <c r="G18" s="34">
        <f>VLOOKUP(E1,'[16]RK FORN ABR 25'!$A$1:$M$115,13,FALSE)</f>
        <v>5.79</v>
      </c>
      <c r="H18" s="34" t="e">
        <f>VLOOKUP(H1,'[16]RK FORN ABR 25'!$A$1:$M$115,8,FALSE)</f>
        <v>#N/A</v>
      </c>
      <c r="I18" s="34" t="e">
        <f>VLOOKUP(H1,'[16]RK FORN ABR 25'!$A$1:$M$115,12,FALSE)</f>
        <v>#N/A</v>
      </c>
      <c r="J18" s="34" t="e">
        <f>VLOOKUP(H1,'[16]RK FORN ABR 25'!$A$1:$M$115,13,FALSE)</f>
        <v>#N/A</v>
      </c>
      <c r="K18" s="33">
        <f>VLOOKUP(K1,'[16]RK FORN ABR 25'!$A$1:$M$115,8,FALSE)</f>
        <v>70049.83</v>
      </c>
      <c r="L18" s="33">
        <f>VLOOKUP(K1,'[16]RK FORN ABR 25'!$A$1:$M$115,12,FALSE)</f>
        <v>37.630000000000003</v>
      </c>
      <c r="M18" s="35">
        <f>VLOOKUP(K1,'[16]RK FORN ABR 25'!$A$1:$M$115,13,FALSE)</f>
        <v>6.06</v>
      </c>
      <c r="N18" s="33">
        <f>VLOOKUP(N1,'[16]RK FORN ABR 25'!$A$1:$M$115,8,FALSE)</f>
        <v>94172.66</v>
      </c>
      <c r="O18" s="35">
        <f>VLOOKUP(N1,'[16]RK FORN ABR 25'!$A$1:$M$115,12,FALSE)</f>
        <v>39.880000000000003</v>
      </c>
      <c r="P18" s="34">
        <f>VLOOKUP(N1,'[16]RK FORN ABR 25'!$A$1:$M$115,13,FALSE)</f>
        <v>8.26</v>
      </c>
      <c r="Q18" s="33">
        <f>VLOOKUP(Q1,'[16]RK FORN ABR 25'!$A$1:$M$115,8,FALSE)</f>
        <v>56678.955900000001</v>
      </c>
      <c r="R18" s="33">
        <f>VLOOKUP(Q1,'[16]RK FORN ABR 25'!$A$1:$M$115,12,FALSE)</f>
        <v>34.79</v>
      </c>
      <c r="S18" s="34">
        <f>VLOOKUP(Q1,'[16]RK FORN ABR 25'!$A$1:$M$115,13,FALSE)</f>
        <v>5</v>
      </c>
      <c r="T18" s="33">
        <f>VLOOKUP(T1,'[16]RK FORN ABR 25'!$A$1:$M$115,8,FALSE)</f>
        <v>35423.089999999997</v>
      </c>
      <c r="U18" s="34">
        <f>VLOOKUP(T1,'[16]RK FORN ABR 25'!$A$1:$M$115,12,FALSE)</f>
        <v>36.74</v>
      </c>
      <c r="V18" s="34">
        <f>VLOOKUP(T1,'[16]RK FORN ABR 25'!$A$1:$M$115,13,FALSE)</f>
        <v>3.06</v>
      </c>
      <c r="W18" s="33">
        <f>VLOOKUP(W1,'[16]RK FORN ABR 25'!$A$1:$M$115,8,FALSE)</f>
        <v>83528.667300000001</v>
      </c>
      <c r="X18" s="34">
        <f>VLOOKUP(W1,'[16]RK FORN ABR 25'!$A$1:$M$115,12,FALSE)</f>
        <v>37.44</v>
      </c>
      <c r="Y18" s="34">
        <f>VLOOKUP(W1,'[16]RK FORN ABR 25'!$A$1:$M$115,13,FALSE)</f>
        <v>7.26</v>
      </c>
      <c r="Z18" s="33">
        <f>VLOOKUP(Z1,'[16]RK FORN ABR 25'!$A$1:$M$115,8,FALSE)</f>
        <v>30532.7814</v>
      </c>
      <c r="AA18" s="34">
        <f>VLOOKUP(Z1,'[16]RK FORN ABR 25'!$A$1:$M$115,12,FALSE)</f>
        <v>37.880000000000003</v>
      </c>
      <c r="AB18" s="34">
        <f>VLOOKUP(Z1,'[16]RK FORN ABR 25'!$A$1:$M$115,13,FALSE)</f>
        <v>2.6</v>
      </c>
      <c r="AC18" s="33">
        <f>VLOOKUP(AC1,'[16]RK FORN ABR 25'!$A$1:$M$115,8,FALSE)</f>
        <v>83528.667300000001</v>
      </c>
      <c r="AD18" s="34">
        <f>VLOOKUP(AC1,'[16]RK FORN ABR 25'!$A$1:$M$115,12,FALSE)</f>
        <v>37.44</v>
      </c>
      <c r="AE18" s="34">
        <f>VLOOKUP(AC1,'[16]RK FORN ABR 25'!$A$1:$M$115,13,FALSE)</f>
        <v>7.26</v>
      </c>
      <c r="AF18" s="33">
        <f>VLOOKUP(AF1,'[16]RK FORN ABR 25'!$A$1:$M$115,8,FALSE)</f>
        <v>47952.11</v>
      </c>
      <c r="AG18" s="34">
        <f>VLOOKUP(AF1,'[16]RK FORN ABR 25'!$A$1:$M$115,12,FALSE)</f>
        <v>29.48</v>
      </c>
      <c r="AH18" s="34">
        <f>VLOOKUP(AF1,'[16]RK FORN ABR 25'!$A$1:$M$115,13,FALSE)</f>
        <v>4.2300000000000004</v>
      </c>
      <c r="AI18" s="33">
        <f>VLOOKUP(AI1,'[16]RK FORN ABR 25'!$A$1:$M$115,8,FALSE)</f>
        <v>296.18790000000001</v>
      </c>
      <c r="AJ18" s="34">
        <f>VLOOKUP(AI1,'[16]RK FORN ABR 25'!$A$1:$M$115,12,FALSE)</f>
        <v>30.98</v>
      </c>
      <c r="AK18" s="34">
        <f>VLOOKUP(AI1,'[16]RK FORN ABR 25'!$A$1:$M$115,13,FALSE)</f>
        <v>0.04</v>
      </c>
      <c r="AL18" s="33">
        <f>VLOOKUP(AL1,'[16]RK FORN ABR 25'!$A$1:$M$115,8,FALSE)</f>
        <v>15211.72</v>
      </c>
      <c r="AM18" s="34">
        <f>VLOOKUP(AL1,'[16]RK FORN ABR 25'!$A$1:$M$115,12,FALSE)</f>
        <v>46.81</v>
      </c>
      <c r="AN18" s="34">
        <f>VLOOKUP(AL1,'[16]RK FORN ABR 25'!$A$1:$M$115,13,FALSE)</f>
        <v>1.3</v>
      </c>
      <c r="AO18" s="33">
        <f>VLOOKUP(AO1,'[16]RK FORN ABR 25'!$A$1:$M$115,8,FALSE)</f>
        <v>79.900000000000006</v>
      </c>
      <c r="AP18" s="34">
        <f>VLOOKUP(AO1,'[16]RK FORN ABR 25'!$A$1:$M$115,12,FALSE)</f>
        <v>18.79</v>
      </c>
      <c r="AQ18" s="34">
        <f>VLOOKUP(AO1,'[16]RK FORN ABR 25'!$A$1:$M$115,13,FALSE)</f>
        <v>0.01</v>
      </c>
      <c r="AR18" s="33">
        <f>VLOOKUP(AR1,'[16]RK FORN ABR 25'!$A$1:$M$115,8,FALSE)</f>
        <v>32572.18</v>
      </c>
      <c r="AS18" s="34">
        <f>VLOOKUP(AR1,'[16]RK FORN ABR 25'!$A$1:$M$115,12,FALSE)</f>
        <v>29.37</v>
      </c>
      <c r="AT18" s="34">
        <f>VLOOKUP(AR1,'[16]RK FORN ABR 25'!$A$1:$M$115,13,FALSE)</f>
        <v>2.81</v>
      </c>
      <c r="AU18" s="33">
        <f>VLOOKUP(AU1,'[16]RK FORN ABR 25'!$A$1:$M$115,8,FALSE)</f>
        <v>44698.98</v>
      </c>
      <c r="AV18" s="34">
        <f>VLOOKUP(AU1,'[16]RK FORN ABR 25'!$A$1:$M$115,12,FALSE)</f>
        <v>34.68</v>
      </c>
      <c r="AW18" s="34">
        <f>VLOOKUP(AU1,'[16]RK FORN ABR 25'!$A$1:$M$115,13,FALSE)</f>
        <v>4.03</v>
      </c>
      <c r="AX18" s="34" t="e">
        <f>VLOOKUP(AX1,'[16]RK FORN ABR 25'!$A$1:$M$115,8,FALSE)</f>
        <v>#N/A</v>
      </c>
      <c r="AY18" s="34" t="e">
        <f>VLOOKUP(AX1,'[16]RK FORN ABR 25'!$A$1:$M$115,12,FALSE)</f>
        <v>#N/A</v>
      </c>
      <c r="AZ18" s="34" t="e">
        <f>VLOOKUP(AX1,'[16]RK FORN ABR 25'!$A$1:$M$115,13,FALSE)</f>
        <v>#N/A</v>
      </c>
      <c r="BA18" s="33">
        <f>VLOOKUP(BA1,'[16]RK FORN ABR 25'!$A$1:$M$115,8,FALSE)</f>
        <v>8221.2800000000007</v>
      </c>
      <c r="BB18" s="34">
        <f>VLOOKUP(BA1,'[16]RK FORN ABR 25'!$A$1:$M$115,12,FALSE)</f>
        <v>35.5</v>
      </c>
      <c r="BC18" s="34">
        <f>VLOOKUP(BA1,'[16]RK FORN ABR 25'!$A$1:$M$115,13,FALSE)</f>
        <v>0.72</v>
      </c>
      <c r="BD18" s="33">
        <f>VLOOKUP(BD1,'[16]RK FORN ABR 25'!$A$1:$M$115,8,FALSE)</f>
        <v>12320.94</v>
      </c>
      <c r="BE18" s="34">
        <f>VLOOKUP(BD1,'[16]RK FORN ABR 25'!$A$1:$M$115,12,FALSE)</f>
        <v>50.28</v>
      </c>
      <c r="BF18" s="34">
        <f>VLOOKUP(BD1,'[16]RK FORN ABR 25'!$A$1:$M$115,13,FALSE)</f>
        <v>1.07</v>
      </c>
      <c r="BG18" s="33">
        <f>VLOOKUP(BG1,'[16]RK FORN ABR 25'!$A$1:$M$115,8,FALSE)</f>
        <v>13650.75</v>
      </c>
      <c r="BH18" s="34">
        <f>VLOOKUP(BG1,'[16]RK FORN ABR 25'!$A$1:$M$115,12,FALSE)</f>
        <v>41.44</v>
      </c>
      <c r="BI18" s="34">
        <f>VLOOKUP(BG1,'[16]RK FORN ABR 25'!$A$1:$M$115,13,FALSE)</f>
        <v>1.18</v>
      </c>
      <c r="BJ18" s="33">
        <f>VLOOKUP(BJ1,'[16]RK FORN ABR 25'!$A$1:$M$115,8,FALSE)</f>
        <v>20690.274000000001</v>
      </c>
      <c r="BK18" s="34">
        <f>VLOOKUP(BJ1,'[16]RK FORN ABR 25'!$A$1:$M$115,12,FALSE)</f>
        <v>67.41</v>
      </c>
      <c r="BL18" s="34">
        <f>VLOOKUP(BJ1,'[16]RK FORN ABR 25'!$A$1:$M$115,13,FALSE)</f>
        <v>1.76</v>
      </c>
      <c r="BM18" s="34" t="e">
        <f>VLOOKUP(BM1,'[16]RK FORN ABR 25'!$A$1:$M$115,8,FALSE)</f>
        <v>#N/A</v>
      </c>
      <c r="BN18" s="34" t="e">
        <f>VLOOKUP(BM1,'[16]RK FORN ABR 25'!$A$1:$M$115,12,FALSE)</f>
        <v>#N/A</v>
      </c>
      <c r="BO18" s="34" t="e">
        <f>VLOOKUP(BM1,'[16]RK FORN ABR 25'!$A$1:$M$115,13,FALSE)</f>
        <v>#N/A</v>
      </c>
      <c r="BP18" s="34" t="e">
        <f>VLOOKUP(BP1,'[16]RK FORN ABR 25'!$A$1:$M$115,8,FALSE)</f>
        <v>#N/A</v>
      </c>
      <c r="BQ18" s="34" t="e">
        <f>VLOOKUP(BP1,'[16]RK FORN ABR 25'!$A$1:$M$115,12,FALSE)</f>
        <v>#N/A</v>
      </c>
      <c r="BR18" s="34" t="e">
        <f>VLOOKUP(BP1,'[16]RK FORN ABR 25'!$A$1:$M$115,13,FALSE)</f>
        <v>#N/A</v>
      </c>
      <c r="BS18" s="33">
        <f>VLOOKUP(BS1,'[16]RK FORN ABR 25'!$A$1:$M$115,8,FALSE)</f>
        <v>6915.66</v>
      </c>
      <c r="BT18" s="34">
        <f>VLOOKUP(BS1,'[16]RK FORN ABR 25'!$A$1:$M$115,12,FALSE)</f>
        <v>35.86</v>
      </c>
      <c r="BU18" s="34">
        <f>VLOOKUP(BS1,'[16]RK FORN ABR 25'!$A$1:$M$115,13,FALSE)</f>
        <v>0.61</v>
      </c>
      <c r="BV18" s="33">
        <f>VLOOKUP(BV1,'[16]RK FORN ABR 25'!$A$1:$M$115,8,FALSE)</f>
        <v>12207.73</v>
      </c>
      <c r="BW18" s="34">
        <f>VLOOKUP(BV1,'[16]RK FORN ABR 25'!$A$1:$M$115,12,FALSE)</f>
        <v>35.49</v>
      </c>
      <c r="BX18" s="34">
        <f>VLOOKUP(BV1,'[16]RK FORN ABR 25'!$A$1:$M$115,13,FALSE)</f>
        <v>1.05</v>
      </c>
      <c r="BY18" s="33">
        <f>VLOOKUP(BY1,'[16]RK FORN ABR 25'!$A$1:$M$115,8,FALSE)</f>
        <v>11184.58</v>
      </c>
      <c r="BZ18" s="34">
        <f>VLOOKUP(BY1,'[16]RK FORN ABR 25'!$A$1:$M$115,12,FALSE)</f>
        <v>41.3</v>
      </c>
      <c r="CA18" s="34">
        <f>VLOOKUP(BY1,'[16]RK FORN ABR 25'!$A$1:$M$115,13,FALSE)</f>
        <v>1.01</v>
      </c>
      <c r="CB18" s="33">
        <f>VLOOKUP(CB1,'[16]RK FORN ABR 25'!$A$1:$M$115,8,FALSE)</f>
        <v>4300.8900000000003</v>
      </c>
      <c r="CC18" s="34">
        <f>VLOOKUP(CB1,'[16]RK FORN ABR 25'!$A$1:$M$115,12,FALSE)</f>
        <v>42.41</v>
      </c>
      <c r="CD18" s="34">
        <f>VLOOKUP(CB1,'[16]RK FORN ABR 25'!$A$1:$M$115,13,FALSE)</f>
        <v>0.37</v>
      </c>
      <c r="CE18" s="33">
        <f>VLOOKUP(CE1,'[16]RK FORN ABR 25'!$A$1:$M$115,8,FALSE)</f>
        <v>7772.36</v>
      </c>
      <c r="CF18" s="34">
        <f>VLOOKUP(CE1,'[16]RK FORN ABR 25'!$A$1:$M$115,12,FALSE)</f>
        <v>40.26</v>
      </c>
      <c r="CG18" s="34">
        <f>VLOOKUP(CE1,'[16]RK FORN ABR 25'!$A$1:$M$115,13,FALSE)</f>
        <v>0.66</v>
      </c>
      <c r="CH18" s="33">
        <f>VLOOKUP(CH1,'[16]RK FORN ABR 25'!$A$1:$M$115,8,FALSE)</f>
        <v>10444.19</v>
      </c>
      <c r="CI18" s="34">
        <f>VLOOKUP(CH1,'[16]RK FORN ABR 25'!$A$1:$M$115,12,FALSE)</f>
        <v>41.14</v>
      </c>
      <c r="CJ18" s="34">
        <f>VLOOKUP(CH1,'[16]RK FORN ABR 25'!$A$1:$M$115,13,FALSE)</f>
        <v>0.89</v>
      </c>
      <c r="CK18" s="33">
        <f>VLOOKUP(CK1,'[16]RK FORN ABR 25'!$A$1:$M$115,8,FALSE)</f>
        <v>6418.83</v>
      </c>
      <c r="CL18" s="34">
        <f>VLOOKUP(CK1,'[16]RK FORN ABR 25'!$A$1:$M$115,12,FALSE)</f>
        <v>37.18</v>
      </c>
      <c r="CM18" s="34">
        <f>VLOOKUP(CK1,'[16]RK FORN ABR 25'!$A$1:$M$115,13,FALSE)</f>
        <v>0.56999999999999995</v>
      </c>
      <c r="CN18" s="33">
        <f>VLOOKUP(CN1,'[16]RK FORN ABR 25'!$A$1:$M$115,8,FALSE)</f>
        <v>4284.95</v>
      </c>
      <c r="CO18" s="34">
        <f>VLOOKUP(CN1,'[16]RK FORN ABR 25'!$A$1:$M$115,12,FALSE)</f>
        <v>41.54</v>
      </c>
      <c r="CP18" s="34">
        <f>VLOOKUP(CN1,'[16]RK FORN ABR 25'!$A$1:$M$115,13,FALSE)</f>
        <v>0.37</v>
      </c>
      <c r="CQ18" s="33">
        <f>VLOOKUP(CQ1,'[16]RK FORN ABR 25'!$A$1:$M$115,8,FALSE)</f>
        <v>5946.62</v>
      </c>
      <c r="CR18" s="34">
        <f>VLOOKUP(CQ1,'[16]RK FORN ABR 25'!$A$1:$M$115,12,FALSE)</f>
        <v>43.81</v>
      </c>
      <c r="CS18" s="34">
        <f>VLOOKUP(CQ1,'[16]RK FORN ABR 25'!$A$1:$M$115,13,FALSE)</f>
        <v>0.51</v>
      </c>
      <c r="CT18" s="33">
        <f>VLOOKUP(CT1,'[16]RK FORN ABR 25'!$A$1:$M$115,8,FALSE)</f>
        <v>4707.55</v>
      </c>
      <c r="CU18" s="34">
        <f>VLOOKUP(CT1,'[16]RK FORN ABR 25'!$A$1:$M$115,12,FALSE)</f>
        <v>33.5</v>
      </c>
      <c r="CV18" s="34">
        <f>VLOOKUP(CT1,'[16]RK FORN ABR 25'!$A$1:$M$115,13,FALSE)</f>
        <v>0.4</v>
      </c>
      <c r="CW18" s="33">
        <f>VLOOKUP(CW1,'[16]RK FORN ABR 25'!$A$1:$M$115,8,FALSE)</f>
        <v>4968.71</v>
      </c>
      <c r="CX18" s="34">
        <f>VLOOKUP(CW1,'[16]RK FORN ABR 25'!$A$1:$M$115,12,FALSE)</f>
        <v>41.88</v>
      </c>
      <c r="CY18" s="34">
        <f>VLOOKUP(CW1,'[16]RK FORN ABR 25'!$A$1:$M$115,13,FALSE)</f>
        <v>0.43</v>
      </c>
      <c r="CZ18" s="33">
        <f>VLOOKUP(CZ1,'[16]RK FORN ABR 25'!$A$1:$M$115,8,FALSE)</f>
        <v>7114.19</v>
      </c>
      <c r="DA18" s="34">
        <f>VLOOKUP(CZ1,'[16]RK FORN ABR 25'!$A$1:$M$115,12,FALSE)</f>
        <v>36.17</v>
      </c>
      <c r="DB18" s="34">
        <f>VLOOKUP(CZ1,'[16]RK FORN ABR 25'!$A$1:$M$115,13,FALSE)</f>
        <v>0.61</v>
      </c>
      <c r="DC18" s="34" t="e">
        <f>VLOOKUP(DC1,'[16]RK FORN ABR 25'!$A$1:$M$115,8,FALSE)</f>
        <v>#N/A</v>
      </c>
      <c r="DD18" s="34" t="e">
        <f>VLOOKUP(DC1,'[16]RK FORN ABR 25'!$A$1:$M$115,12,FALSE)</f>
        <v>#N/A</v>
      </c>
      <c r="DE18" s="34" t="e">
        <f>VLOOKUP(DC1,'[16]RK FORN ABR 25'!$A$1:$M$115,13,FALSE)</f>
        <v>#N/A</v>
      </c>
      <c r="DF18" s="33">
        <f>VLOOKUP(DF1,'[16]RK FORN ABR 25'!$A$1:$M$115,8,FALSE)</f>
        <v>3323.23</v>
      </c>
      <c r="DG18" s="34">
        <f>VLOOKUP(DF1,'[16]RK FORN ABR 25'!$A$1:$M$115,12,FALSE)</f>
        <v>36.29</v>
      </c>
      <c r="DH18" s="34">
        <f>VLOOKUP(DF1,'[16]RK FORN ABR 25'!$A$1:$M$115,13,FALSE)</f>
        <v>0.28000000000000003</v>
      </c>
      <c r="DI18" s="33">
        <f>VLOOKUP(DI1,'[16]RK FORN ABR 25'!$A$1:$M$115,8,FALSE)</f>
        <v>3153.9</v>
      </c>
      <c r="DJ18" s="34">
        <f>VLOOKUP(DI1,'[16]RK FORN ABR 25'!$A$1:$M$115,12,FALSE)</f>
        <v>38.79</v>
      </c>
      <c r="DK18" s="34">
        <f>VLOOKUP(DI1,'[16]RK FORN ABR 25'!$A$1:$M$115,13,FALSE)</f>
        <v>0.33</v>
      </c>
      <c r="DL18" s="33">
        <f>VLOOKUP(DL1,'[16]RK FORN ABR 25'!$A$1:$M$115,8,FALSE)</f>
        <v>19354.12</v>
      </c>
      <c r="DM18" s="34">
        <f>VLOOKUP(DL1,'[16]RK FORN ABR 25'!$A$1:$M$115,12,FALSE)</f>
        <v>31.1</v>
      </c>
      <c r="DN18" s="34">
        <f>VLOOKUP(DL1,'[16]RK FORN ABR 25'!$A$1:$M$115,13,FALSE)</f>
        <v>1.67</v>
      </c>
      <c r="DO18" s="33">
        <f>VLOOKUP(DO1,'[16]RK FORN ABR 25'!$A$1:$M$115,8,FALSE)</f>
        <v>38460.71</v>
      </c>
      <c r="DP18" s="34">
        <f>VLOOKUP(DO1,'[16]RK FORN ABR 25'!$A$1:$M$115,12,FALSE)</f>
        <v>27.09</v>
      </c>
      <c r="DQ18" s="34">
        <f>VLOOKUP(DO1,'[16]RK FORN ABR 25'!$A$1:$M$115,13,FALSE)</f>
        <v>3.43</v>
      </c>
      <c r="DR18" s="33">
        <f>VLOOKUP(DR1,'[16]RK FORN ABR 25'!$A$1:$M$115,8,FALSE)</f>
        <v>1297.8</v>
      </c>
      <c r="DS18" s="34">
        <f>VLOOKUP(DR1,'[16]RK FORN ABR 25'!$A$1:$M$115,12,FALSE)</f>
        <v>39.520000000000003</v>
      </c>
      <c r="DT18" s="34">
        <f>VLOOKUP(DR1,'[16]RK FORN ABR 25'!$A$1:$M$115,13,FALSE)</f>
        <v>0.11</v>
      </c>
      <c r="DU18" s="33" t="e">
        <f>VLOOKUP(DU1,'[16]RK FORN ABR 25'!$A$1:$M$115,8,FALSE)</f>
        <v>#N/A</v>
      </c>
      <c r="DV18" s="34" t="e">
        <f>VLOOKUP(DU1,'[16]RK FORN ABR 25'!$A$1:$M$115,12,FALSE)</f>
        <v>#N/A</v>
      </c>
      <c r="DW18" s="34" t="e">
        <f>VLOOKUP(DU1,'[16]RK FORN ABR 25'!$A$1:$M$115,13,FALSE)</f>
        <v>#N/A</v>
      </c>
      <c r="DX18" s="33">
        <f>VLOOKUP(DX1,'[16]RK FORN ABR 25'!$A$1:$M$115,8,FALSE)</f>
        <v>1018.4</v>
      </c>
      <c r="DY18" s="34">
        <f>VLOOKUP(DX1,'[16]RK FORN ABR 25'!$A$1:$M$115,12,FALSE)</f>
        <v>36.14</v>
      </c>
      <c r="DZ18" s="34">
        <f>VLOOKUP(DX1,'[16]RK FORN ABR 25'!$A$1:$M$115,13,FALSE)</f>
        <v>0.09</v>
      </c>
      <c r="EA18" s="33">
        <f>VLOOKUP(EA1,'[16]RK FORN ABR 25'!$A$1:$M$115,8,FALSE)</f>
        <v>1315.8545999999999</v>
      </c>
      <c r="EB18" s="34">
        <f>VLOOKUP(EA1,'[16]RK FORN ABR 25'!$A$1:$M$115,12,FALSE)</f>
        <v>32.049999999999997</v>
      </c>
      <c r="EC18" s="34">
        <f>VLOOKUP(EA1,'[16]RK FORN ABR 25'!$A$1:$M$115,13,FALSE)</f>
        <v>0.11</v>
      </c>
    </row>
    <row r="19" spans="1:133" x14ac:dyDescent="0.2">
      <c r="A19" s="32">
        <v>45778</v>
      </c>
      <c r="B19" s="33">
        <f>VLOOKUP(B1,'[17]RK FORN MAIO 25'!$A$1:$M$118,8,FALSE)</f>
        <v>278680.75780000002</v>
      </c>
      <c r="C19" s="34">
        <f>VLOOKUP(B1,'[17]RK FORN MAIO 25'!$A$1:$M$118,12,FALSE)</f>
        <v>34.71</v>
      </c>
      <c r="D19" s="34">
        <f>VLOOKUP(B1,'[17]RK FORN MAIO 25'!$A$1:$M$118,13,FALSE)</f>
        <v>21.1</v>
      </c>
      <c r="E19" s="33">
        <f>VLOOKUP(E1,'[17]RK FORN MAIO 25'!$A$1:$M$118,8,FALSE)</f>
        <v>58707.078800000003</v>
      </c>
      <c r="F19" s="34">
        <f>VLOOKUP(E1,'[17]RK FORN MAIO 25'!$A$1:$M$118,12,FALSE)</f>
        <v>40.6</v>
      </c>
      <c r="G19" s="34">
        <f>VLOOKUP(E1,'[17]RK FORN MAIO 25'!$A$1:$M$118,13,FALSE)</f>
        <v>4.3099999999999996</v>
      </c>
      <c r="H19" s="34" t="e">
        <f>VLOOKUP(H1,'[17]RK FORN MAIO 25'!$A$1:$M$118,8,FALSE)</f>
        <v>#N/A</v>
      </c>
      <c r="I19" s="34" t="e">
        <f>VLOOKUP(H1,'[17]RK FORN MAIO 25'!$A$1:$M$118,12,FALSE)</f>
        <v>#N/A</v>
      </c>
      <c r="J19" s="34" t="e">
        <f>VLOOKUP(H1,'[17]RK FORN MAIO 25'!$A$1:$M$118,13,FALSE)</f>
        <v>#N/A</v>
      </c>
      <c r="K19" s="33">
        <f>VLOOKUP(K1,'[17]RK FORN MAIO 25'!$A$1:$M$118,8,FALSE)</f>
        <v>71959.399999999994</v>
      </c>
      <c r="L19" s="33">
        <f>VLOOKUP(K1,'[17]RK FORN MAIO 25'!$A$1:$M$118,12,FALSE)</f>
        <v>37.35</v>
      </c>
      <c r="M19" s="35">
        <f>VLOOKUP(K1,'[17]RK FORN MAIO 25'!$A$1:$M$118,13,FALSE)</f>
        <v>5.27</v>
      </c>
      <c r="N19" s="33">
        <f>VLOOKUP(N1,'[17]RK FORN MAIO 25'!$A$1:$M$118,8,FALSE)</f>
        <v>100421.67</v>
      </c>
      <c r="O19" s="35">
        <f>VLOOKUP(N1,'[17]RK FORN MAIO 25'!$A$1:$M$118,12,FALSE)</f>
        <v>40.130000000000003</v>
      </c>
      <c r="P19" s="34">
        <f>VLOOKUP(N1,'[17]RK FORN MAIO 25'!$A$1:$M$118,13,FALSE)</f>
        <v>7.46</v>
      </c>
      <c r="Q19" s="33">
        <f>VLOOKUP(Q1,'[17]RK FORN MAIO 25'!$A$1:$M$118,8,FALSE)</f>
        <v>67285.280400000003</v>
      </c>
      <c r="R19" s="33">
        <f>VLOOKUP(Q1,'[17]RK FORN MAIO 25'!$A$1:$M$118,12,FALSE)</f>
        <v>39.44</v>
      </c>
      <c r="S19" s="34">
        <f>VLOOKUP(Q1,'[17]RK FORN MAIO 25'!$A$1:$M$118,13,FALSE)</f>
        <v>4.8899999999999997</v>
      </c>
      <c r="T19" s="33">
        <f>VLOOKUP(T1,'[17]RK FORN MAIO 25'!$A$1:$M$118,8,FALSE)</f>
        <v>48351.97</v>
      </c>
      <c r="U19" s="34">
        <f>VLOOKUP(T1,'[17]RK FORN MAIO 25'!$A$1:$M$118,12,FALSE)</f>
        <v>34.770000000000003</v>
      </c>
      <c r="V19" s="34">
        <f>VLOOKUP(T1,'[17]RK FORN MAIO 25'!$A$1:$M$118,13,FALSE)</f>
        <v>3.63</v>
      </c>
      <c r="W19" s="33">
        <f>VLOOKUP(W1,'[17]RK FORN MAIO 25'!$A$1:$M$118,8,FALSE)</f>
        <v>95245.373800000001</v>
      </c>
      <c r="X19" s="34">
        <f>VLOOKUP(W1,'[17]RK FORN MAIO 25'!$A$1:$M$118,12,FALSE)</f>
        <v>37.380000000000003</v>
      </c>
      <c r="Y19" s="34">
        <f>VLOOKUP(W1,'[17]RK FORN MAIO 25'!$A$1:$M$118,13,FALSE)</f>
        <v>7.29</v>
      </c>
      <c r="Z19" s="33">
        <f>VLOOKUP(Z1,'[17]RK FORN MAIO 25'!$A$1:$M$118,8,FALSE)</f>
        <v>25528.547399999999</v>
      </c>
      <c r="AA19" s="34">
        <f>VLOOKUP(Z1,'[17]RK FORN MAIO 25'!$A$1:$M$118,12,FALSE)</f>
        <v>37.75</v>
      </c>
      <c r="AB19" s="34">
        <f>VLOOKUP(Z1,'[17]RK FORN MAIO 25'!$A$1:$M$118,13,FALSE)</f>
        <v>1.85</v>
      </c>
      <c r="AC19" s="33">
        <f>VLOOKUP(AC1,'[17]RK FORN MAIO 25'!$A$1:$M$118,8,FALSE)</f>
        <v>95245.373800000001</v>
      </c>
      <c r="AD19" s="34">
        <f>VLOOKUP(AC1,'[17]RK FORN MAIO 25'!$A$1:$M$118,12,FALSE)</f>
        <v>37.380000000000003</v>
      </c>
      <c r="AE19" s="34">
        <f>VLOOKUP(AC1,'[17]RK FORN MAIO 25'!$A$1:$M$118,13,FALSE)</f>
        <v>7.29</v>
      </c>
      <c r="AF19" s="33">
        <f>VLOOKUP(AF1,'[17]RK FORN MAIO 25'!$A$1:$M$118,8,FALSE)</f>
        <v>58169.98</v>
      </c>
      <c r="AG19" s="34">
        <f>VLOOKUP(AF1,'[17]RK FORN MAIO 25'!$A$1:$M$118,12,FALSE)</f>
        <v>29.7</v>
      </c>
      <c r="AH19" s="34">
        <f>VLOOKUP(AF1,'[17]RK FORN MAIO 25'!$A$1:$M$118,13,FALSE)</f>
        <v>4.3499999999999996</v>
      </c>
      <c r="AI19" s="33">
        <f>VLOOKUP(AI1,'[17]RK FORN MAIO 25'!$A$1:$M$118,8,FALSE)</f>
        <v>1786.482</v>
      </c>
      <c r="AJ19" s="34">
        <f>VLOOKUP(AI1,'[17]RK FORN MAIO 25'!$A$1:$M$118,12,FALSE)</f>
        <v>38.409999999999997</v>
      </c>
      <c r="AK19" s="34">
        <f>VLOOKUP(AI1,'[17]RK FORN MAIO 25'!$A$1:$M$118,13,FALSE)</f>
        <v>0.13</v>
      </c>
      <c r="AL19" s="33">
        <f>VLOOKUP(AL1,'[17]RK FORN MAIO 25'!$A$1:$M$118,8,FALSE)</f>
        <v>16886.080000000002</v>
      </c>
      <c r="AM19" s="34">
        <f>VLOOKUP(AL1,'[17]RK FORN MAIO 25'!$A$1:$M$118,12,FALSE)</f>
        <v>46.23</v>
      </c>
      <c r="AN19" s="34">
        <f>VLOOKUP(AL1,'[17]RK FORN MAIO 25'!$A$1:$M$118,13,FALSE)</f>
        <v>1.23</v>
      </c>
      <c r="AO19" s="33">
        <f>VLOOKUP(AO1,'[17]RK FORN MAIO 25'!$A$1:$M$118,8,FALSE)</f>
        <v>41885.53</v>
      </c>
      <c r="AP19" s="34">
        <f>VLOOKUP(AO1,'[17]RK FORN MAIO 25'!$A$1:$M$118,12,FALSE)</f>
        <v>18.53</v>
      </c>
      <c r="AQ19" s="34">
        <f>VLOOKUP(AO1,'[17]RK FORN MAIO 25'!$A$1:$M$118,13,FALSE)</f>
        <v>3.05</v>
      </c>
      <c r="AR19" s="33">
        <f>VLOOKUP(AR1,'[17]RK FORN MAIO 25'!$A$1:$M$118,8,FALSE)</f>
        <v>44105.4</v>
      </c>
      <c r="AS19" s="34">
        <f>VLOOKUP(AR1,'[17]RK FORN MAIO 25'!$A$1:$M$118,12,FALSE)</f>
        <v>28.88</v>
      </c>
      <c r="AT19" s="34">
        <f>VLOOKUP(AR1,'[17]RK FORN MAIO 25'!$A$1:$M$118,13,FALSE)</f>
        <v>3.35</v>
      </c>
      <c r="AU19" s="33">
        <f>VLOOKUP(AU1,'[17]RK FORN MAIO 25'!$A$1:$M$118,8,FALSE)</f>
        <v>52735.62</v>
      </c>
      <c r="AV19" s="34">
        <f>VLOOKUP(AU1,'[17]RK FORN MAIO 25'!$A$1:$M$118,12,FALSE)</f>
        <v>35.57</v>
      </c>
      <c r="AW19" s="34">
        <f>VLOOKUP(AU1,'[17]RK FORN MAIO 25'!$A$1:$M$118,13,FALSE)</f>
        <v>4.08</v>
      </c>
      <c r="AX19" s="33">
        <f>VLOOKUP(AX1,'[17]RK FORN MAIO 25'!$A$1:$M$118,8,FALSE)</f>
        <v>1372.9</v>
      </c>
      <c r="AY19" s="34">
        <f>VLOOKUP(AX1,'[17]RK FORN MAIO 25'!$A$1:$M$118,12,FALSE)</f>
        <v>27.39</v>
      </c>
      <c r="AZ19" s="34">
        <f>VLOOKUP(AX1,'[17]RK FORN MAIO 25'!$A$1:$M$118,13,FALSE)</f>
        <v>0.1</v>
      </c>
      <c r="BA19" s="33">
        <f>VLOOKUP(BA1,'[17]RK FORN MAIO 25'!$A$1:$M$118,8,FALSE)</f>
        <v>13443.66</v>
      </c>
      <c r="BB19" s="34">
        <f>VLOOKUP(BA1,'[17]RK FORN MAIO 25'!$A$1:$M$118,12,FALSE)</f>
        <v>35.909999999999997</v>
      </c>
      <c r="BC19" s="34">
        <f>VLOOKUP(BA1,'[17]RK FORN MAIO 25'!$A$1:$M$118,13,FALSE)</f>
        <v>1</v>
      </c>
      <c r="BD19" s="33">
        <f>VLOOKUP(BD1,'[17]RK FORN MAIO 25'!$A$1:$M$118,8,FALSE)</f>
        <v>13340.31</v>
      </c>
      <c r="BE19" s="34">
        <f>VLOOKUP(BD1,'[17]RK FORN MAIO 25'!$A$1:$M$118,12,FALSE)</f>
        <v>48.61</v>
      </c>
      <c r="BF19" s="34">
        <f>VLOOKUP(BD1,'[17]RK FORN MAIO 25'!$A$1:$M$118,13,FALSE)</f>
        <v>0.99</v>
      </c>
      <c r="BG19" s="33">
        <f>VLOOKUP(BG1,'[17]RK FORN MAIO 25'!$A$1:$M$118,8,FALSE)</f>
        <v>10741.08</v>
      </c>
      <c r="BH19" s="34">
        <f>VLOOKUP(BG1,'[17]RK FORN MAIO 25'!$A$1:$M$118,12,FALSE)</f>
        <v>42.4</v>
      </c>
      <c r="BI19" s="34">
        <f>VLOOKUP(BG1,'[17]RK FORN MAIO 25'!$A$1:$M$118,13,FALSE)</f>
        <v>0.86</v>
      </c>
      <c r="BJ19" s="33">
        <f>VLOOKUP(BJ1,'[17]RK FORN MAIO 25'!$A$1:$M$118,8,FALSE)</f>
        <v>25438.864000000001</v>
      </c>
      <c r="BK19" s="34">
        <f>VLOOKUP(BJ1,'[17]RK FORN MAIO 25'!$A$1:$M$118,12,FALSE)</f>
        <v>67.19</v>
      </c>
      <c r="BL19" s="34">
        <f>VLOOKUP(BJ1,'[17]RK FORN MAIO 25'!$A$1:$M$118,13,FALSE)</f>
        <v>1.85</v>
      </c>
      <c r="BM19" s="34" t="e">
        <f>VLOOKUP(BM1,'[17]RK FORN MAIO 25'!$A$1:$M$118,8,FALSE)</f>
        <v>#N/A</v>
      </c>
      <c r="BN19" s="34" t="e">
        <f>VLOOKUP(BM1,'[17]RK FORN MAIO 25'!$A$1:$M$118,12,FALSE)</f>
        <v>#N/A</v>
      </c>
      <c r="BO19" s="34" t="e">
        <f>VLOOKUP(BM1,'[17]RK FORN MAIO 25'!$A$1:$M$118,13,FALSE)</f>
        <v>#N/A</v>
      </c>
      <c r="BP19" s="34" t="e">
        <f>VLOOKUP(BP1,'[17]RK FORN MAIO 25'!$A$1:$M$118,8,FALSE)</f>
        <v>#N/A</v>
      </c>
      <c r="BQ19" s="34" t="e">
        <f>VLOOKUP(BP1,'[17]RK FORN MAIO 25'!$A$1:$M$118,12,FALSE)</f>
        <v>#N/A</v>
      </c>
      <c r="BR19" s="34" t="e">
        <f>VLOOKUP(BP1,'[17]RK FORN MAIO 25'!$A$1:$M$118,13,FALSE)</f>
        <v>#N/A</v>
      </c>
      <c r="BS19" s="33">
        <f>VLOOKUP(BS1,'[17]RK FORN MAIO 25'!$A$1:$M$118,8,FALSE)</f>
        <v>9932.5759999999991</v>
      </c>
      <c r="BT19" s="34">
        <f>VLOOKUP(BS1,'[17]RK FORN MAIO 25'!$A$1:$M$118,12,FALSE)</f>
        <v>36.590000000000003</v>
      </c>
      <c r="BU19" s="34">
        <f>VLOOKUP(BS1,'[17]RK FORN MAIO 25'!$A$1:$M$118,13,FALSE)</f>
        <v>0.72</v>
      </c>
      <c r="BV19" s="33">
        <f>VLOOKUP(BV1,'[17]RK FORN MAIO 25'!$A$1:$M$118,8,FALSE)</f>
        <v>7790.41</v>
      </c>
      <c r="BW19" s="34">
        <f>VLOOKUP(BV1,'[17]RK FORN MAIO 25'!$A$1:$M$118,12,FALSE)</f>
        <v>36.159999999999997</v>
      </c>
      <c r="BX19" s="34">
        <f>VLOOKUP(BV1,'[17]RK FORN MAIO 25'!$A$1:$M$118,13,FALSE)</f>
        <v>0.57999999999999996</v>
      </c>
      <c r="BY19" s="33">
        <f>VLOOKUP(BY1,'[17]RK FORN MAIO 25'!$A$1:$M$118,8,FALSE)</f>
        <v>16404.47</v>
      </c>
      <c r="BZ19" s="34">
        <f>VLOOKUP(BY1,'[17]RK FORN MAIO 25'!$A$1:$M$118,12,FALSE)</f>
        <v>39.89</v>
      </c>
      <c r="CA19" s="34">
        <f>VLOOKUP(BY1,'[17]RK FORN MAIO 25'!$A$1:$M$118,13,FALSE)</f>
        <v>1.22</v>
      </c>
      <c r="CB19" s="33">
        <f>VLOOKUP(CB1,'[17]RK FORN MAIO 25'!$A$1:$M$118,8,FALSE)</f>
        <v>15963.77</v>
      </c>
      <c r="CC19" s="34">
        <f>VLOOKUP(CB1,'[17]RK FORN MAIO 25'!$A$1:$M$118,12,FALSE)</f>
        <v>43.52</v>
      </c>
      <c r="CD19" s="34">
        <f>VLOOKUP(CB1,'[17]RK FORN MAIO 25'!$A$1:$M$118,13,FALSE)</f>
        <v>1.18</v>
      </c>
      <c r="CE19" s="33">
        <f>VLOOKUP(CE1,'[17]RK FORN MAIO 25'!$A$1:$M$118,8,FALSE)</f>
        <v>7130.2</v>
      </c>
      <c r="CF19" s="34">
        <f>VLOOKUP(CE1,'[17]RK FORN MAIO 25'!$A$1:$M$118,12,FALSE)</f>
        <v>38.82</v>
      </c>
      <c r="CG19" s="34">
        <f>VLOOKUP(CE1,'[17]RK FORN MAIO 25'!$A$1:$M$118,13,FALSE)</f>
        <v>0.55000000000000004</v>
      </c>
      <c r="CH19" s="33">
        <f>VLOOKUP(CH1,'[17]RK FORN MAIO 25'!$A$1:$M$118,8,FALSE)</f>
        <v>11199.04</v>
      </c>
      <c r="CI19" s="34">
        <f>VLOOKUP(CH1,'[17]RK FORN MAIO 25'!$A$1:$M$118,12,FALSE)</f>
        <v>40.19</v>
      </c>
      <c r="CJ19" s="34">
        <f>VLOOKUP(CH1,'[17]RK FORN MAIO 25'!$A$1:$M$118,13,FALSE)</f>
        <v>0.81</v>
      </c>
      <c r="CK19" s="33">
        <f>VLOOKUP(CK1,'[17]RK FORN MAIO 25'!$A$1:$M$118,8,FALSE)</f>
        <v>16152.7</v>
      </c>
      <c r="CL19" s="34">
        <f>VLOOKUP(CK1,'[17]RK FORN MAIO 25'!$A$1:$M$118,12,FALSE)</f>
        <v>36.6</v>
      </c>
      <c r="CM19" s="34">
        <f>VLOOKUP(CK1,'[17]RK FORN MAIO 25'!$A$1:$M$118,13,FALSE)</f>
        <v>1.19</v>
      </c>
      <c r="CN19" s="33">
        <f>VLOOKUP(CN1,'[17]RK FORN MAIO 25'!$A$1:$M$118,8,FALSE)</f>
        <v>4745.3</v>
      </c>
      <c r="CO19" s="34">
        <f>VLOOKUP(CN1,'[17]RK FORN MAIO 25'!$A$1:$M$118,12,FALSE)</f>
        <v>41.09</v>
      </c>
      <c r="CP19" s="34">
        <f>VLOOKUP(CN1,'[17]RK FORN MAIO 25'!$A$1:$M$118,13,FALSE)</f>
        <v>0.34</v>
      </c>
      <c r="CQ19" s="33">
        <f>VLOOKUP(CQ1,'[17]RK FORN MAIO 25'!$A$1:$M$118,8,FALSE)</f>
        <v>6425.29</v>
      </c>
      <c r="CR19" s="34">
        <f>VLOOKUP(CQ1,'[17]RK FORN MAIO 25'!$A$1:$M$118,12,FALSE)</f>
        <v>44.89</v>
      </c>
      <c r="CS19" s="34">
        <f>VLOOKUP(CQ1,'[17]RK FORN MAIO 25'!$A$1:$M$118,13,FALSE)</f>
        <v>0.47</v>
      </c>
      <c r="CT19" s="33">
        <f>VLOOKUP(CT1,'[17]RK FORN MAIO 25'!$A$1:$M$118,8,FALSE)</f>
        <v>3544.73</v>
      </c>
      <c r="CU19" s="34">
        <f>VLOOKUP(CT1,'[17]RK FORN MAIO 25'!$A$1:$M$118,12,FALSE)</f>
        <v>30.07</v>
      </c>
      <c r="CV19" s="34">
        <f>VLOOKUP(CT1,'[17]RK FORN MAIO 25'!$A$1:$M$118,13,FALSE)</f>
        <v>0.26</v>
      </c>
      <c r="CW19" s="33">
        <f>VLOOKUP(CW1,'[17]RK FORN MAIO 25'!$A$1:$M$118,8,FALSE)</f>
        <v>6920.31</v>
      </c>
      <c r="CX19" s="34">
        <f>VLOOKUP(CW1,'[17]RK FORN MAIO 25'!$A$1:$M$118,12,FALSE)</f>
        <v>43.05</v>
      </c>
      <c r="CY19" s="34">
        <f>VLOOKUP(CW1,'[17]RK FORN MAIO 25'!$A$1:$M$118,13,FALSE)</f>
        <v>0.52</v>
      </c>
      <c r="CZ19" s="33">
        <f>VLOOKUP(CZ1,'[17]RK FORN MAIO 25'!$A$1:$M$118,8,FALSE)</f>
        <v>7723.96</v>
      </c>
      <c r="DA19" s="34">
        <f>VLOOKUP(CZ1,'[17]RK FORN MAIO 25'!$A$1:$M$118,12,FALSE)</f>
        <v>35.119999999999997</v>
      </c>
      <c r="DB19" s="34">
        <f>VLOOKUP(CZ1,'[17]RK FORN MAIO 25'!$A$1:$M$118,13,FALSE)</f>
        <v>0.57999999999999996</v>
      </c>
      <c r="DC19" s="34" t="e">
        <f>VLOOKUP(DC1,'[17]RK FORN MAIO 25'!$A$1:$M$118,8,FALSE)</f>
        <v>#N/A</v>
      </c>
      <c r="DD19" s="34" t="e">
        <f>VLOOKUP(DC1,'[17]RK FORN MAIO 25'!$A$1:$M$118,12,FALSE)</f>
        <v>#N/A</v>
      </c>
      <c r="DE19" s="34" t="e">
        <f>VLOOKUP(DC1,'[17]RK FORN MAIO 25'!$A$1:$M$118,13,FALSE)</f>
        <v>#N/A</v>
      </c>
      <c r="DF19" s="33">
        <f>VLOOKUP(DF1,'[17]RK FORN MAIO 25'!$A$1:$M$118,8,FALSE)</f>
        <v>3170.08</v>
      </c>
      <c r="DG19" s="34">
        <f>VLOOKUP(DF1,'[17]RK FORN MAIO 25'!$A$1:$M$118,12,FALSE)</f>
        <v>39.43</v>
      </c>
      <c r="DH19" s="34">
        <f>VLOOKUP(DF1,'[17]RK FORN MAIO 25'!$A$1:$M$118,13,FALSE)</f>
        <v>0.26</v>
      </c>
      <c r="DI19" s="33">
        <f>VLOOKUP(DI1,'[17]RK FORN MAIO 25'!$A$1:$M$118,8,FALSE)</f>
        <v>4419.53</v>
      </c>
      <c r="DJ19" s="34">
        <f>VLOOKUP(DI1,'[17]RK FORN MAIO 25'!$A$1:$M$118,12,FALSE)</f>
        <v>42.64</v>
      </c>
      <c r="DK19" s="34">
        <f>VLOOKUP(DI1,'[17]RK FORN MAIO 25'!$A$1:$M$118,13,FALSE)</f>
        <v>0.32</v>
      </c>
      <c r="DL19" s="33">
        <f>VLOOKUP(DL1,'[17]RK FORN MAIO 25'!$A$1:$M$118,8,FALSE)</f>
        <v>30041.3</v>
      </c>
      <c r="DM19" s="34">
        <f>VLOOKUP(DL1,'[17]RK FORN MAIO 25'!$A$1:$M$118,12,FALSE)</f>
        <v>29.83</v>
      </c>
      <c r="DN19" s="34">
        <f>VLOOKUP(DL1,'[17]RK FORN MAIO 25'!$A$1:$M$118,13,FALSE)</f>
        <v>2.19</v>
      </c>
      <c r="DO19" s="33">
        <f>VLOOKUP(DO1,'[17]RK FORN MAIO 25'!$A$1:$M$118,8,FALSE)</f>
        <v>27366.14</v>
      </c>
      <c r="DP19" s="34">
        <f>VLOOKUP(DO1,'[17]RK FORN MAIO 25'!$A$1:$M$118,12,FALSE)</f>
        <v>25.85</v>
      </c>
      <c r="DQ19" s="34">
        <f>VLOOKUP(DO1,'[17]RK FORN MAIO 25'!$A$1:$M$118,13,FALSE)</f>
        <v>2.19</v>
      </c>
      <c r="DR19" s="33">
        <f>VLOOKUP(DR1,'[17]RK FORN MAIO 25'!$A$1:$M$118,8,FALSE)</f>
        <v>725.39</v>
      </c>
      <c r="DS19" s="34">
        <f>VLOOKUP(DR1,'[17]RK FORN MAIO 25'!$A$1:$M$118,12,FALSE)</f>
        <v>40.270000000000003</v>
      </c>
      <c r="DT19" s="34">
        <f>VLOOKUP(DR1,'[17]RK FORN MAIO 25'!$A$1:$M$118,13,FALSE)</f>
        <v>0.05</v>
      </c>
      <c r="DU19" s="34" t="e">
        <f>VLOOKUP(DU1,'[17]RK FORN MAIO 25'!$A$1:$M$118,8,FALSE)</f>
        <v>#N/A</v>
      </c>
      <c r="DV19" s="34" t="e">
        <f>VLOOKUP(DU1,'[17]RK FORN MAIO 25'!$A$1:$M$118,12,FALSE)</f>
        <v>#N/A</v>
      </c>
      <c r="DW19" s="34" t="e">
        <f>VLOOKUP(DU1,'[17]RK FORN MAIO 25'!$A$1:$M$118,13,FALSE)</f>
        <v>#N/A</v>
      </c>
      <c r="DX19" s="33">
        <f>VLOOKUP(DX1,'[17]RK FORN MAIO 25'!$A$1:$M$118,8,FALSE)</f>
        <v>976.8</v>
      </c>
      <c r="DY19" s="34">
        <f>VLOOKUP(DX1,'[17]RK FORN MAIO 25'!$A$1:$M$118,12,FALSE)</f>
        <v>35.06</v>
      </c>
      <c r="DZ19" s="34">
        <f>VLOOKUP(DX1,'[17]RK FORN MAIO 25'!$A$1:$M$118,13,FALSE)</f>
        <v>7.0000000000000007E-2</v>
      </c>
      <c r="EA19" s="33">
        <f>VLOOKUP(EA1,'[17]RK FORN MAIO 25'!$A$1:$M$118,8,FALSE)</f>
        <v>2045.3076000000001</v>
      </c>
      <c r="EB19" s="34">
        <f>VLOOKUP(EA1,'[17]RK FORN MAIO 25'!$A$1:$M$118,12,FALSE)</f>
        <v>39.729999999999997</v>
      </c>
      <c r="EC19" s="34">
        <f>VLOOKUP(EA1,'[17]RK FORN MAIO 25'!$A$1:$M$118,13,FALSE)</f>
        <v>0.15</v>
      </c>
    </row>
    <row r="20" spans="1:133" x14ac:dyDescent="0.2">
      <c r="A20" s="32">
        <v>45809</v>
      </c>
      <c r="B20" s="33">
        <f>VLOOKUP(B1,'[18]RK FORN JUN 25'!$A$1:$M$119,8,FALSE)</f>
        <v>230842.51149999999</v>
      </c>
      <c r="C20" s="34">
        <f>VLOOKUP(B1,'[18]RK FORN JUN 25'!$A$1:$M$119,12,FALSE)</f>
        <v>35.090000000000003</v>
      </c>
      <c r="D20" s="34">
        <f>VLOOKUP(B1,'[18]RK FORN JUN 25'!$A$1:$M$119,13,FALSE)</f>
        <v>19.64</v>
      </c>
      <c r="E20" s="33">
        <f>VLOOKUP(E1,'[18]RK FORN JUN 25'!$A$1:$M$119,8,FALSE)</f>
        <v>64199.0504</v>
      </c>
      <c r="F20" s="34">
        <f>VLOOKUP(E1,'[18]RK FORN JUN 25'!$A$1:$M$119,12,FALSE)</f>
        <v>38.81</v>
      </c>
      <c r="G20" s="34">
        <f>VLOOKUP(E1,'[18]RK FORN JUN 25'!$A$1:$M$119,13,FALSE)</f>
        <v>5.46</v>
      </c>
      <c r="H20" s="34" t="e">
        <f>VLOOKUP(H1,'[18]RK FORN JUN 25'!$A$1:$M$119,8,FALSE)</f>
        <v>#N/A</v>
      </c>
      <c r="I20" s="34" t="e">
        <f>VLOOKUP(H1,'[18]RK FORN JUN 25'!$A$1:$M$119,12,FALSE)</f>
        <v>#N/A</v>
      </c>
      <c r="J20" s="34" t="e">
        <f>VLOOKUP(H1,'[18]RK FORN JUN 25'!$A$1:$M$119,13,FALSE)</f>
        <v>#N/A</v>
      </c>
      <c r="K20" s="33">
        <f>VLOOKUP(K1,'[18]RK FORN JUN 25'!$A$1:$M$119,8,FALSE)</f>
        <v>57608.87</v>
      </c>
      <c r="L20" s="33">
        <f>VLOOKUP(K1,'[18]RK FORN JUN 25'!$A$1:$M$119,12,FALSE)</f>
        <v>36.93</v>
      </c>
      <c r="M20" s="35">
        <f>VLOOKUP(K1,'[18]RK FORN JUN 25'!$A$1:$M$119,13,FALSE)</f>
        <v>4.8499999999999996</v>
      </c>
      <c r="N20" s="33">
        <f>VLOOKUP(N1,'[18]RK FORN JUN 25'!$A$1:$M$119,8,FALSE)</f>
        <v>96270.3</v>
      </c>
      <c r="O20" s="35">
        <f>VLOOKUP(N1,'[18]RK FORN JUN 25'!$A$1:$M$119,12,FALSE)</f>
        <v>39.78</v>
      </c>
      <c r="P20" s="34">
        <f>VLOOKUP(N1,'[18]RK FORN JUN 25'!$A$1:$M$119,13,FALSE)</f>
        <v>8.08</v>
      </c>
      <c r="Q20" s="33">
        <f>VLOOKUP(Q1,'[18]RK FORN JUN 25'!$A$1:$M$119,8,FALSE)</f>
        <v>48226.582499999997</v>
      </c>
      <c r="R20" s="33">
        <f>VLOOKUP(Q1,'[18]RK FORN JUN 25'!$A$1:$M$119,12,FALSE)</f>
        <v>37.6</v>
      </c>
      <c r="S20" s="34">
        <f>VLOOKUP(Q1,'[18]RK FORN JUN 25'!$A$1:$M$119,13,FALSE)</f>
        <v>4.1100000000000003</v>
      </c>
      <c r="T20" s="33">
        <f>VLOOKUP(T1,'[18]RK FORN JUN 25'!$A$1:$M$119,8,FALSE)</f>
        <v>33333.79</v>
      </c>
      <c r="U20" s="34">
        <f>VLOOKUP(T1,'[18]RK FORN JUN 25'!$A$1:$M$119,12,FALSE)</f>
        <v>36.33</v>
      </c>
      <c r="V20" s="34">
        <f>VLOOKUP(T1,'[18]RK FORN JUN 25'!$A$1:$M$119,13,FALSE)</f>
        <v>2.87</v>
      </c>
      <c r="W20" s="33">
        <f>VLOOKUP(W1,'[18]RK FORN JUN 25'!$A$1:$M$119,8,FALSE)</f>
        <v>98523.146399999998</v>
      </c>
      <c r="X20" s="34">
        <f>VLOOKUP(W1,'[18]RK FORN JUN 25'!$A$1:$M$119,12,FALSE)</f>
        <v>37.369999999999997</v>
      </c>
      <c r="Y20" s="34">
        <f>VLOOKUP(W1,'[18]RK FORN JUN 25'!$A$1:$M$119,13,FALSE)</f>
        <v>8.4499999999999993</v>
      </c>
      <c r="Z20" s="33">
        <f>VLOOKUP(Z1,'[18]RK FORN JUN 25'!$A$1:$M$119,8,FALSE)</f>
        <v>53461.020400000001</v>
      </c>
      <c r="AA20" s="34">
        <f>VLOOKUP(Z1,'[18]RK FORN JUN 25'!$A$1:$M$119,12,FALSE)</f>
        <v>36.840000000000003</v>
      </c>
      <c r="AB20" s="34">
        <f>VLOOKUP(Z1,'[18]RK FORN JUN 25'!$A$1:$M$119,13,FALSE)</f>
        <v>4.42</v>
      </c>
      <c r="AC20" s="33">
        <f>VLOOKUP(AC1,'[18]RK FORN JUN 25'!$A$1:$M$119,8,FALSE)</f>
        <v>98523.146399999998</v>
      </c>
      <c r="AD20" s="34">
        <f>VLOOKUP(AC1,'[18]RK FORN JUN 25'!$A$1:$M$119,12,FALSE)</f>
        <v>37.369999999999997</v>
      </c>
      <c r="AE20" s="34">
        <f>VLOOKUP(AC1,'[18]RK FORN JUN 25'!$A$1:$M$119,13,FALSE)</f>
        <v>8.4499999999999993</v>
      </c>
      <c r="AF20" s="33">
        <f>VLOOKUP(AF1,'[18]RK FORN JUN 25'!$A$1:$M$119,8,FALSE)</f>
        <v>43169.43</v>
      </c>
      <c r="AG20" s="34">
        <f>VLOOKUP(AF1,'[18]RK FORN JUN 25'!$A$1:$M$119,12,FALSE)</f>
        <v>34.47</v>
      </c>
      <c r="AH20" s="34">
        <f>VLOOKUP(AF1,'[18]RK FORN JUN 25'!$A$1:$M$119,13,FALSE)</f>
        <v>3.63</v>
      </c>
      <c r="AI20" s="33">
        <f>VLOOKUP(AI1,'[18]RK FORN JUN 25'!$A$1:$M$119,8,FALSE)</f>
        <v>5658.3090000000002</v>
      </c>
      <c r="AJ20" s="34">
        <f>VLOOKUP(AI1,'[18]RK FORN JUN 25'!$A$1:$M$119,12,FALSE)</f>
        <v>35.450000000000003</v>
      </c>
      <c r="AK20" s="34">
        <f>VLOOKUP(AI1,'[18]RK FORN JUN 25'!$A$1:$M$119,13,FALSE)</f>
        <v>0.47</v>
      </c>
      <c r="AL20" s="33">
        <f>VLOOKUP(AL1,'[18]RK FORN JUN 25'!$A$1:$M$119,8,FALSE)</f>
        <v>14722.45</v>
      </c>
      <c r="AM20" s="34">
        <f>VLOOKUP(AL1,'[18]RK FORN JUN 25'!$A$1:$M$119,12,FALSE)</f>
        <v>46.08</v>
      </c>
      <c r="AN20" s="34">
        <f>VLOOKUP(AL1,'[18]RK FORN JUN 25'!$A$1:$M$119,13,FALSE)</f>
        <v>1.24</v>
      </c>
      <c r="AO20" s="33">
        <f>VLOOKUP(AO1,'[18]RK FORN JUN 25'!$A$1:$M$119,8,FALSE)</f>
        <v>36710.400000000001</v>
      </c>
      <c r="AP20" s="34">
        <f>VLOOKUP(AO1,'[18]RK FORN JUN 25'!$A$1:$M$119,12,FALSE)</f>
        <v>20.3</v>
      </c>
      <c r="AQ20" s="34">
        <f>VLOOKUP(AO1,'[18]RK FORN JUN 25'!$A$1:$M$119,13,FALSE)</f>
        <v>3.06</v>
      </c>
      <c r="AR20" s="33">
        <f>VLOOKUP(AR1,'[18]RK FORN JUN 25'!$A$1:$M$119,8,FALSE)</f>
        <v>30803.99</v>
      </c>
      <c r="AS20" s="34">
        <f>VLOOKUP(AR1,'[18]RK FORN JUN 25'!$A$1:$M$119,12,FALSE)</f>
        <v>28.12</v>
      </c>
      <c r="AT20" s="34">
        <f>VLOOKUP(AR1,'[18]RK FORN JUN 25'!$A$1:$M$119,13,FALSE)</f>
        <v>2.59</v>
      </c>
      <c r="AU20" s="33">
        <f>VLOOKUP(AU1,'[18]RK FORN JUN 25'!$A$1:$M$119,8,FALSE)</f>
        <v>47876.959999999999</v>
      </c>
      <c r="AV20" s="34">
        <f>VLOOKUP(AU1,'[18]RK FORN JUN 25'!$A$1:$M$119,12,FALSE)</f>
        <v>35.090000000000003</v>
      </c>
      <c r="AW20" s="34">
        <f>VLOOKUP(AU1,'[18]RK FORN JUN 25'!$A$1:$M$119,13,FALSE)</f>
        <v>4.3</v>
      </c>
      <c r="AX20" s="33">
        <f>VLOOKUP(AX1,'[18]RK FORN JUN 25'!$A$1:$M$119,8,FALSE)</f>
        <v>2024.1</v>
      </c>
      <c r="AY20" s="34">
        <f>VLOOKUP(AX1,'[18]RK FORN JUN 25'!$A$1:$M$119,12,FALSE)</f>
        <v>12.45</v>
      </c>
      <c r="AZ20" s="34">
        <f>VLOOKUP(AX1,'[18]RK FORN JUN 25'!$A$1:$M$119,13,FALSE)</f>
        <v>0.21</v>
      </c>
      <c r="BA20" s="33">
        <f>VLOOKUP(BA1,'[18]RK FORN JUN 25'!$A$1:$M$119,8,FALSE)</f>
        <v>14864.14</v>
      </c>
      <c r="BB20" s="34">
        <f>VLOOKUP(BA1,'[18]RK FORN JUN 25'!$A$1:$M$119,12,FALSE)</f>
        <v>35.51</v>
      </c>
      <c r="BC20" s="34">
        <f>VLOOKUP(BA1,'[18]RK FORN JUN 25'!$A$1:$M$119,13,FALSE)</f>
        <v>1.24</v>
      </c>
      <c r="BD20" s="33">
        <f>VLOOKUP(BD1,'[18]RK FORN JUN 25'!$A$1:$M$119,8,FALSE)</f>
        <v>16211.38</v>
      </c>
      <c r="BE20" s="34">
        <f>VLOOKUP(BD1,'[18]RK FORN JUN 25'!$A$1:$M$119,12,FALSE)</f>
        <v>47.37</v>
      </c>
      <c r="BF20" s="34">
        <f>VLOOKUP(BD1,'[18]RK FORN JUN 25'!$A$1:$M$119,13,FALSE)</f>
        <v>1.35</v>
      </c>
      <c r="BG20" s="33">
        <f>VLOOKUP(BG1,'[18]RK FORN JUN 25'!$A$1:$M$119,8,FALSE)</f>
        <v>5698.31</v>
      </c>
      <c r="BH20" s="34">
        <f>VLOOKUP(BG1,'[18]RK FORN JUN 25'!$A$1:$M$119,12,FALSE)</f>
        <v>46.26</v>
      </c>
      <c r="BI20" s="34">
        <f>VLOOKUP(BG1,'[18]RK FORN JUN 25'!$A$1:$M$119,13,FALSE)</f>
        <v>0.48</v>
      </c>
      <c r="BJ20" s="33">
        <f>VLOOKUP(BJ1,'[18]RK FORN JUN 25'!$A$1:$M$119,8,FALSE)</f>
        <v>34355.284</v>
      </c>
      <c r="BK20" s="34">
        <f>VLOOKUP(BJ1,'[18]RK FORN JUN 25'!$A$1:$M$119,12,FALSE)</f>
        <v>63.16</v>
      </c>
      <c r="BL20" s="34">
        <f>VLOOKUP(BJ1,'[18]RK FORN JUN 25'!$A$1:$M$119,13,FALSE)</f>
        <v>3.09</v>
      </c>
      <c r="BM20" s="34" t="e">
        <f>VLOOKUP(BM1,'[18]RK FORN JUN 25'!$A$1:$M$119,8,FALSE)</f>
        <v>#N/A</v>
      </c>
      <c r="BN20" s="34" t="e">
        <f>VLOOKUP(BM1,'[18]RK FORN JUN 25'!$A$1:$M$119,12,FALSE)</f>
        <v>#N/A</v>
      </c>
      <c r="BO20" s="34" t="e">
        <f>VLOOKUP(BM1,'[18]RK FORN JUN 25'!$A$1:$M$119,13,FALSE)</f>
        <v>#N/A</v>
      </c>
      <c r="BP20" s="34" t="e">
        <f>VLOOKUP(BP1,'[18]RK FORN JUN 25'!$A$1:$M$119,8,FALSE)</f>
        <v>#N/A</v>
      </c>
      <c r="BQ20" s="34" t="e">
        <f>VLOOKUP(BP1,'[18]RK FORN JUN 25'!$A$1:$M$119,12,FALSE)</f>
        <v>#N/A</v>
      </c>
      <c r="BR20" s="34" t="e">
        <f>VLOOKUP(BP1,'[18]RK FORN JUN 25'!$A$1:$M$119,13,FALSE)</f>
        <v>#N/A</v>
      </c>
      <c r="BS20" s="33">
        <f>VLOOKUP(BS1,'[18]RK FORN JUN 25'!$A$1:$M$119,8,FALSE)</f>
        <v>9087.56</v>
      </c>
      <c r="BT20" s="34">
        <f>VLOOKUP(BS1,'[18]RK FORN JUN 25'!$A$1:$M$119,12,FALSE)</f>
        <v>36.200000000000003</v>
      </c>
      <c r="BU20" s="34">
        <f>VLOOKUP(BS1,'[18]RK FORN JUN 25'!$A$1:$M$119,13,FALSE)</f>
        <v>0.77</v>
      </c>
      <c r="BV20" s="33">
        <f>VLOOKUP(BV1,'[18]RK FORN JUN 25'!$A$1:$M$119,8,FALSE)</f>
        <v>9972.36</v>
      </c>
      <c r="BW20" s="34">
        <f>VLOOKUP(BV1,'[18]RK FORN JUN 25'!$A$1:$M$119,12,FALSE)</f>
        <v>34.43</v>
      </c>
      <c r="BX20" s="34">
        <f>VLOOKUP(BV1,'[18]RK FORN JUN 25'!$A$1:$M$119,13,FALSE)</f>
        <v>0.86</v>
      </c>
      <c r="BY20" s="33">
        <f>VLOOKUP(BY1,'[18]RK FORN JUN 25'!$A$1:$M$119,8,FALSE)</f>
        <v>13457.39</v>
      </c>
      <c r="BZ20" s="34">
        <f>VLOOKUP(BY1,'[18]RK FORN JUN 25'!$A$1:$M$119,12,FALSE)</f>
        <v>41.2</v>
      </c>
      <c r="CA20" s="34">
        <f>VLOOKUP(BY1,'[18]RK FORN JUN 25'!$A$1:$M$119,13,FALSE)</f>
        <v>1.1299999999999999</v>
      </c>
      <c r="CB20" s="33">
        <f>VLOOKUP(CB1,'[18]RK FORN JUN 25'!$A$1:$M$119,8,FALSE)</f>
        <v>14908.62</v>
      </c>
      <c r="CC20" s="34">
        <f>VLOOKUP(CB1,'[18]RK FORN JUN 25'!$A$1:$M$119,12,FALSE)</f>
        <v>43.43</v>
      </c>
      <c r="CD20" s="34">
        <f>VLOOKUP(CB1,'[18]RK FORN JUN 25'!$A$1:$M$119,13,FALSE)</f>
        <v>1.24</v>
      </c>
      <c r="CE20" s="33">
        <f>VLOOKUP(CE1,'[18]RK FORN JUN 25'!$A$1:$M$119,8,FALSE)</f>
        <v>3351.83</v>
      </c>
      <c r="CF20" s="34">
        <f>VLOOKUP(CE1,'[18]RK FORN JUN 25'!$A$1:$M$119,12,FALSE)</f>
        <v>38.24</v>
      </c>
      <c r="CG20" s="34">
        <f>VLOOKUP(CE1,'[18]RK FORN JUN 25'!$A$1:$M$119,13,FALSE)</f>
        <v>0.33</v>
      </c>
      <c r="CH20" s="33">
        <f>VLOOKUP(CH1,'[18]RK FORN JUN 25'!$A$1:$M$119,8,FALSE)</f>
        <v>10419.370000000001</v>
      </c>
      <c r="CI20" s="34">
        <f>VLOOKUP(CH1,'[18]RK FORN JUN 25'!$A$1:$M$119,12,FALSE)</f>
        <v>37.18</v>
      </c>
      <c r="CJ20" s="34">
        <f>VLOOKUP(CH1,'[18]RK FORN JUN 25'!$A$1:$M$119,13,FALSE)</f>
        <v>0.87</v>
      </c>
      <c r="CK20" s="33">
        <f>VLOOKUP(CK1,'[18]RK FORN JUN 25'!$A$1:$M$119,8,FALSE)</f>
        <v>12317.07</v>
      </c>
      <c r="CL20" s="34">
        <f>VLOOKUP(CK1,'[18]RK FORN JUN 25'!$A$1:$M$119,12,FALSE)</f>
        <v>37.15</v>
      </c>
      <c r="CM20" s="34">
        <f>VLOOKUP(CK1,'[18]RK FORN JUN 25'!$A$1:$M$119,13,FALSE)</f>
        <v>1.04</v>
      </c>
      <c r="CN20" s="33">
        <f>VLOOKUP(CN1,'[18]RK FORN JUN 25'!$A$1:$M$119,8,FALSE)</f>
        <v>2836.7</v>
      </c>
      <c r="CO20" s="34">
        <f>VLOOKUP(CN1,'[18]RK FORN JUN 25'!$A$1:$M$119,12,FALSE)</f>
        <v>39.85</v>
      </c>
      <c r="CP20" s="34">
        <f>VLOOKUP(CN1,'[18]RK FORN JUN 25'!$A$1:$M$119,13,FALSE)</f>
        <v>0.25</v>
      </c>
      <c r="CQ20" s="33">
        <f>VLOOKUP(CQ1,'[18]RK FORN JUN 25'!$A$1:$M$119,8,FALSE)</f>
        <v>4814.4799999999996</v>
      </c>
      <c r="CR20" s="34">
        <f>VLOOKUP(CQ1,'[18]RK FORN JUN 25'!$A$1:$M$119,12,FALSE)</f>
        <v>45.08</v>
      </c>
      <c r="CS20" s="34">
        <f>VLOOKUP(CQ1,'[18]RK FORN JUN 25'!$A$1:$M$119,13,FALSE)</f>
        <v>0.4</v>
      </c>
      <c r="CT20" s="33">
        <f>VLOOKUP(CT1,'[18]RK FORN JUN 25'!$A$1:$M$119,8,FALSE)</f>
        <v>11260.25</v>
      </c>
      <c r="CU20" s="34">
        <f>VLOOKUP(CT1,'[18]RK FORN JUN 25'!$A$1:$M$119,12,FALSE)</f>
        <v>29.08</v>
      </c>
      <c r="CV20" s="34">
        <f>VLOOKUP(CT1,'[18]RK FORN JUN 25'!$A$1:$M$119,13,FALSE)</f>
        <v>0.93</v>
      </c>
      <c r="CW20" s="33">
        <f>VLOOKUP(CW1,'[18]RK FORN JUN 25'!$A$1:$M$119,8,FALSE)</f>
        <v>4952.74</v>
      </c>
      <c r="CX20" s="34">
        <f>VLOOKUP(CW1,'[18]RK FORN JUN 25'!$A$1:$M$119,12,FALSE)</f>
        <v>44.05</v>
      </c>
      <c r="CY20" s="34">
        <f>VLOOKUP(CW1,'[18]RK FORN JUN 25'!$A$1:$M$119,13,FALSE)</f>
        <v>0.41</v>
      </c>
      <c r="CZ20" s="33">
        <f>VLOOKUP(CZ1,'[18]RK FORN JUN 25'!$A$1:$M$119,8,FALSE)</f>
        <v>7037.97</v>
      </c>
      <c r="DA20" s="34">
        <f>VLOOKUP(CZ1,'[18]RK FORN JUN 25'!$A$1:$M$119,12,FALSE)</f>
        <v>35.869999999999997</v>
      </c>
      <c r="DB20" s="34">
        <f>VLOOKUP(CZ1,'[18]RK FORN JUN 25'!$A$1:$M$119,13,FALSE)</f>
        <v>0.59</v>
      </c>
      <c r="DC20" s="34" t="e">
        <f>VLOOKUP(DC1,'[18]RK FORN JUN 25'!$A$1:$M$119,8,FALSE)</f>
        <v>#N/A</v>
      </c>
      <c r="DD20" s="34" t="e">
        <f>VLOOKUP(DC1,'[18]RK FORN JUN 25'!$A$1:$M$119,12,FALSE)</f>
        <v>#N/A</v>
      </c>
      <c r="DE20" s="34" t="e">
        <f>VLOOKUP(DC1,'[18]RK FORN JUN 25'!$A$1:$M$119,13,FALSE)</f>
        <v>#N/A</v>
      </c>
      <c r="DF20" s="33">
        <f>VLOOKUP(DF1,'[18]RK FORN JUN 25'!$A$1:$M$119,8,FALSE)</f>
        <v>1297.96</v>
      </c>
      <c r="DG20" s="34">
        <f>VLOOKUP(DF1,'[18]RK FORN JUN 25'!$A$1:$M$119,12,FALSE)</f>
        <v>35.25</v>
      </c>
      <c r="DH20" s="34">
        <f>VLOOKUP(DF1,'[18]RK FORN JUN 25'!$A$1:$M$119,13,FALSE)</f>
        <v>0.12</v>
      </c>
      <c r="DI20" s="33">
        <f>VLOOKUP(DI1,'[18]RK FORN JUN 25'!$A$1:$M$119,8,FALSE)</f>
        <v>4866.7700000000004</v>
      </c>
      <c r="DJ20" s="34">
        <f>VLOOKUP(DI1,'[18]RK FORN JUN 25'!$A$1:$M$119,12,FALSE)</f>
        <v>40.01</v>
      </c>
      <c r="DK20" s="34">
        <f>VLOOKUP(DI1,'[18]RK FORN JUN 25'!$A$1:$M$119,13,FALSE)</f>
        <v>0.45</v>
      </c>
      <c r="DL20" s="33">
        <f>VLOOKUP(DL1,'[18]RK FORN JUN 25'!$A$1:$M$119,8,FALSE)</f>
        <v>15880.67</v>
      </c>
      <c r="DM20" s="34">
        <f>VLOOKUP(DL1,'[18]RK FORN JUN 25'!$A$1:$M$119,12,FALSE)</f>
        <v>33.69</v>
      </c>
      <c r="DN20" s="34">
        <f>VLOOKUP(DL1,'[18]RK FORN JUN 25'!$A$1:$M$119,13,FALSE)</f>
        <v>1.31</v>
      </c>
      <c r="DO20" s="33">
        <f>VLOOKUP(DO1,'[18]RK FORN JUN 25'!$A$1:$M$119,8,FALSE)</f>
        <v>4695.3599999999997</v>
      </c>
      <c r="DP20" s="34">
        <f>VLOOKUP(DO1,'[18]RK FORN JUN 25'!$A$1:$M$119,12,FALSE)</f>
        <v>26.16</v>
      </c>
      <c r="DQ20" s="34">
        <f>VLOOKUP(DO1,'[18]RK FORN JUN 25'!$A$1:$M$119,13,FALSE)</f>
        <v>0.39</v>
      </c>
      <c r="DR20" s="33">
        <f>VLOOKUP(DR1,'[18]RK FORN JUN 25'!$A$1:$M$119,8,FALSE)</f>
        <v>553.6</v>
      </c>
      <c r="DS20" s="34">
        <f>VLOOKUP(DR1,'[18]RK FORN JUN 25'!$A$1:$M$119,12,FALSE)</f>
        <v>42.28</v>
      </c>
      <c r="DT20" s="34">
        <f>VLOOKUP(DR1,'[18]RK FORN JUN 25'!$A$1:$M$119,13,FALSE)</f>
        <v>0.05</v>
      </c>
      <c r="DU20" s="33">
        <f>VLOOKUP(DU1,'[18]RK FORN JUN 25'!$A$1:$M$119,8,FALSE)</f>
        <v>759.2</v>
      </c>
      <c r="DV20" s="34">
        <f>VLOOKUP(DU1,'[18]RK FORN JUN 25'!$A$1:$M$119,12,FALSE)</f>
        <v>32.49</v>
      </c>
      <c r="DW20" s="34">
        <f>VLOOKUP(DU1,'[18]RK FORN JUN 25'!$A$1:$M$119,13,FALSE)</f>
        <v>0.06</v>
      </c>
      <c r="DX20" s="33">
        <f>VLOOKUP(DX1,'[18]RK FORN JUN 25'!$A$1:$M$119,8,FALSE)</f>
        <v>737.68</v>
      </c>
      <c r="DY20" s="34">
        <f>VLOOKUP(DX1,'[18]RK FORN JUN 25'!$A$1:$M$119,12,FALSE)</f>
        <v>34.909999999999997</v>
      </c>
      <c r="DZ20" s="34">
        <f>VLOOKUP(DX1,'[18]RK FORN JUN 25'!$A$1:$M$119,13,FALSE)</f>
        <v>0.06</v>
      </c>
      <c r="EA20" s="34" t="e">
        <f>VLOOKUP(EA1,'[18]RK FORN JUN 25'!$A$1:$M$119,8,FALSE)</f>
        <v>#N/A</v>
      </c>
      <c r="EB20" s="34" t="e">
        <f>VLOOKUP(EA1,'[18]RK FORN JUN 25'!$A$1:$M$119,12,FALSE)</f>
        <v>#N/A</v>
      </c>
      <c r="EC20" s="34" t="e">
        <f>VLOOKUP(EA1,'[18]RK FORN JUN 25'!$A$1:$M$119,13,FALSE)</f>
        <v>#N/A</v>
      </c>
    </row>
    <row r="21" spans="1:133" x14ac:dyDescent="0.2">
      <c r="A21" s="32">
        <v>45839</v>
      </c>
      <c r="B21" s="33">
        <f>VLOOKUP(B1,'[19]RK FORN JUL 25'!$A$1:$M$122,8,FALSE)</f>
        <v>218397.356</v>
      </c>
      <c r="C21" s="34">
        <f>VLOOKUP(B1,'[19]RK FORN JUL 25'!$A$1:$M$122,12,FALSE)</f>
        <v>36.590000000000003</v>
      </c>
      <c r="D21" s="34">
        <f>VLOOKUP(B1,'[19]RK FORN JUL 25'!$A$1:$M$122,13,FALSE)</f>
        <v>14.32</v>
      </c>
      <c r="E21" s="33">
        <f>VLOOKUP(E1,'[19]RK FORN JUL 25'!$A$1:$M$122,8,FALSE)</f>
        <v>90444.728799999997</v>
      </c>
      <c r="F21" s="34">
        <f>VLOOKUP(E1,'[19]RK FORN JUL 25'!$A$1:$M$122,12,FALSE)</f>
        <v>41.09</v>
      </c>
      <c r="G21" s="34">
        <f>VLOOKUP(E1,'[19]RK FORN JUL 25'!$A$1:$M$122,13,FALSE)</f>
        <v>5.66</v>
      </c>
      <c r="H21" s="34" t="e">
        <f>VLOOKUP(H1,'[19]RK FORN JUL 25'!$A$1:$M$122,8,FALSE)</f>
        <v>#N/A</v>
      </c>
      <c r="I21" s="34" t="e">
        <f>VLOOKUP(H1,'[19]RK FORN JUL 25'!$A$1:$M$122,12,FALSE)</f>
        <v>#N/A</v>
      </c>
      <c r="J21" s="34" t="e">
        <f>VLOOKUP(H1,'[19]RK FORN JUL 25'!$A$1:$M$122,13,FALSE)</f>
        <v>#N/A</v>
      </c>
      <c r="K21" s="33">
        <f>VLOOKUP(K1,'[19]RK FORN JUL 25'!$A$1:$M$122,8,FALSE)</f>
        <v>82336.5</v>
      </c>
      <c r="L21" s="33">
        <f>VLOOKUP(K1,'[19]RK FORN JUL 25'!$A$1:$M$122,12,FALSE)</f>
        <v>37.840000000000003</v>
      </c>
      <c r="M21" s="35">
        <f>VLOOKUP(K1,'[19]RK FORN JUL 25'!$A$1:$M$122,13,FALSE)</f>
        <v>5.21</v>
      </c>
      <c r="N21" s="33">
        <f>VLOOKUP(N1,'[19]RK FORN JUL 25'!$A$1:$M$122,8,FALSE)</f>
        <v>142441.79999999999</v>
      </c>
      <c r="O21" s="35">
        <f>VLOOKUP(N1,'[19]RK FORN JUL 25'!$A$1:$M$122,12,FALSE)</f>
        <v>40.85</v>
      </c>
      <c r="P21" s="34">
        <f>VLOOKUP(N1,'[19]RK FORN JUL 25'!$A$1:$M$122,13,FALSE)</f>
        <v>8.94</v>
      </c>
      <c r="Q21" s="33">
        <f>VLOOKUP(Q1,'[19]RK FORN JUL 25'!$A$1:$M$122,8,FALSE)</f>
        <v>81507.187099999996</v>
      </c>
      <c r="R21" s="33">
        <f>VLOOKUP(Q1,'[19]RK FORN JUL 25'!$A$1:$M$122,12,FALSE)</f>
        <v>38.549999999999997</v>
      </c>
      <c r="S21" s="34">
        <f>VLOOKUP(Q1,'[19]RK FORN JUL 25'!$A$1:$M$122,13,FALSE)</f>
        <v>5.3</v>
      </c>
      <c r="T21" s="33">
        <f>VLOOKUP(T1,'[19]RK FORN JUL 25'!$A$1:$M$122,8,FALSE)</f>
        <v>54862.25</v>
      </c>
      <c r="U21" s="34">
        <f>VLOOKUP(T1,'[19]RK FORN JUL 25'!$A$1:$M$122,12,FALSE)</f>
        <v>37.14</v>
      </c>
      <c r="V21" s="34">
        <f>VLOOKUP(T1,'[19]RK FORN JUL 25'!$A$1:$M$122,13,FALSE)</f>
        <v>3.47</v>
      </c>
      <c r="W21" s="33">
        <f>VLOOKUP(W1,'[19]RK FORN JUL 25'!$A$1:$M$122,8,FALSE)</f>
        <v>219567.23319999999</v>
      </c>
      <c r="X21" s="34">
        <f>VLOOKUP(W1,'[19]RK FORN JUL 25'!$A$1:$M$122,12,FALSE)</f>
        <v>36.729999999999997</v>
      </c>
      <c r="Y21" s="34">
        <f>VLOOKUP(W1,'[19]RK FORN JUL 25'!$A$1:$M$122,13,FALSE)</f>
        <v>13.88</v>
      </c>
      <c r="Z21" s="33">
        <f>VLOOKUP(Z1,'[19]RK FORN JUL 25'!$A$1:$M$122,8,FALSE)</f>
        <v>46577.760300000002</v>
      </c>
      <c r="AA21" s="34">
        <f>VLOOKUP(Z1,'[19]RK FORN JUL 25'!$A$1:$M$122,12,FALSE)</f>
        <v>45.98</v>
      </c>
      <c r="AB21" s="34">
        <f>VLOOKUP(Z1,'[19]RK FORN JUL 25'!$A$1:$M$122,13,FALSE)</f>
        <v>2.97</v>
      </c>
      <c r="AC21" s="33">
        <f>VLOOKUP(AC1,'[19]RK FORN JUL 25'!$A$1:$M$122,8,FALSE)</f>
        <v>219567.23319999999</v>
      </c>
      <c r="AD21" s="34">
        <f>VLOOKUP(AC1,'[19]RK FORN JUL 25'!$A$1:$M$122,12,FALSE)</f>
        <v>36.729999999999997</v>
      </c>
      <c r="AE21" s="34">
        <f>VLOOKUP(AC1,'[19]RK FORN JUL 25'!$A$1:$M$122,13,FALSE)</f>
        <v>13.88</v>
      </c>
      <c r="AF21" s="33">
        <f>VLOOKUP(AF1,'[19]RK FORN JUL 25'!$A$1:$M$122,8,FALSE)</f>
        <v>44937.11</v>
      </c>
      <c r="AG21" s="34">
        <f>VLOOKUP(AF1,'[19]RK FORN JUL 25'!$A$1:$M$122,12,FALSE)</f>
        <v>33.74</v>
      </c>
      <c r="AH21" s="34">
        <f>VLOOKUP(AF1,'[19]RK FORN JUL 25'!$A$1:$M$122,13,FALSE)</f>
        <v>2.85</v>
      </c>
      <c r="AI21" s="33">
        <f>VLOOKUP(AI1,'[19]RK FORN JUL 25'!$A$1:$M$122,8,FALSE)</f>
        <v>807.35400000000004</v>
      </c>
      <c r="AJ21" s="34">
        <f>VLOOKUP(AI1,'[19]RK FORN JUL 25'!$A$1:$M$122,12,FALSE)</f>
        <v>32.92</v>
      </c>
      <c r="AK21" s="34">
        <f>VLOOKUP(AI1,'[19]RK FORN JUL 25'!$A$1:$M$122,13,FALSE)</f>
        <v>0.05</v>
      </c>
      <c r="AL21" s="33">
        <f>VLOOKUP(AL1,'[19]RK FORN JUL 25'!$A$1:$M$122,8,FALSE)</f>
        <v>24132.58</v>
      </c>
      <c r="AM21" s="34">
        <f>VLOOKUP(AL1,'[19]RK FORN JUL 25'!$A$1:$M$122,12,FALSE)</f>
        <v>45.27</v>
      </c>
      <c r="AN21" s="34">
        <f>VLOOKUP(AL1,'[19]RK FORN JUL 25'!$A$1:$M$122,13,FALSE)</f>
        <v>1.54</v>
      </c>
      <c r="AO21" s="33">
        <f>VLOOKUP(AO1,'[19]RK FORN JUL 25'!$A$1:$M$122,8,FALSE)</f>
        <v>37203.94</v>
      </c>
      <c r="AP21" s="34">
        <f>VLOOKUP(AO1,'[19]RK FORN JUL 25'!$A$1:$M$122,12,FALSE)</f>
        <v>22.1</v>
      </c>
      <c r="AQ21" s="34">
        <f>VLOOKUP(AO1,'[19]RK FORN JUL 25'!$A$1:$M$122,13,FALSE)</f>
        <v>2.59</v>
      </c>
      <c r="AR21" s="33">
        <f>VLOOKUP(AR1,'[19]RK FORN JUL 25'!$A$1:$M$122,8,FALSE)</f>
        <v>38896.699999999997</v>
      </c>
      <c r="AS21" s="34">
        <f>VLOOKUP(AR1,'[19]RK FORN JUL 25'!$A$1:$M$122,12,FALSE)</f>
        <v>28.11</v>
      </c>
      <c r="AT21" s="34">
        <f>VLOOKUP(AR1,'[19]RK FORN JUL 25'!$A$1:$M$122,13,FALSE)</f>
        <v>2.56</v>
      </c>
      <c r="AU21" s="33">
        <f>VLOOKUP(AU1,'[19]RK FORN JUL 25'!$A$1:$M$122,8,FALSE)</f>
        <v>40930.69</v>
      </c>
      <c r="AV21" s="34">
        <f>VLOOKUP(AU1,'[19]RK FORN JUL 25'!$A$1:$M$122,12,FALSE)</f>
        <v>37.89</v>
      </c>
      <c r="AW21" s="34">
        <f>VLOOKUP(AU1,'[19]RK FORN JUL 25'!$A$1:$M$122,13,FALSE)</f>
        <v>2.72</v>
      </c>
      <c r="AX21" s="33">
        <f>VLOOKUP(AX1,'[19]RK FORN JUL 25'!$A$1:$M$122,8,FALSE)</f>
        <v>12712.37</v>
      </c>
      <c r="AY21" s="34">
        <f>VLOOKUP(AX1,'[19]RK FORN JUL 25'!$A$1:$M$122,12,FALSE)</f>
        <v>25.81</v>
      </c>
      <c r="AZ21" s="34">
        <f>VLOOKUP(AX1,'[19]RK FORN JUL 25'!$A$1:$M$122,13,FALSE)</f>
        <v>0.79</v>
      </c>
      <c r="BA21" s="33">
        <f>VLOOKUP(BA1,'[19]RK FORN JUL 25'!$A$1:$M$122,8,FALSE)</f>
        <v>44314.13</v>
      </c>
      <c r="BB21" s="34">
        <f>VLOOKUP(BA1,'[19]RK FORN JUL 25'!$A$1:$M$122,12,FALSE)</f>
        <v>36.03</v>
      </c>
      <c r="BC21" s="34">
        <f>VLOOKUP(BA1,'[19]RK FORN JUL 25'!$A$1:$M$122,13,FALSE)</f>
        <v>2.83</v>
      </c>
      <c r="BD21" s="33">
        <f>VLOOKUP(BD1,'[19]RK FORN JUL 25'!$A$1:$M$122,8,FALSE)</f>
        <v>17429.419999999998</v>
      </c>
      <c r="BE21" s="34">
        <f>VLOOKUP(BD1,'[19]RK FORN JUL 25'!$A$1:$M$122,12,FALSE)</f>
        <v>46.57</v>
      </c>
      <c r="BF21" s="34">
        <f>VLOOKUP(BD1,'[19]RK FORN JUL 25'!$A$1:$M$122,13,FALSE)</f>
        <v>1.1200000000000001</v>
      </c>
      <c r="BG21" s="33">
        <f>VLOOKUP(BG1,'[19]RK FORN JUL 25'!$A$1:$M$122,8,FALSE)</f>
        <v>16929.740000000002</v>
      </c>
      <c r="BH21" s="34">
        <f>VLOOKUP(BG1,'[19]RK FORN JUL 25'!$A$1:$M$122,12,FALSE)</f>
        <v>47.52</v>
      </c>
      <c r="BI21" s="34">
        <f>VLOOKUP(BG1,'[19]RK FORN JUL 25'!$A$1:$M$122,13,FALSE)</f>
        <v>1.07</v>
      </c>
      <c r="BJ21" s="33">
        <f>VLOOKUP(BJ1,'[19]RK FORN JUL 25'!$A$1:$M$122,8,FALSE)</f>
        <v>18934.877499999999</v>
      </c>
      <c r="BK21" s="34">
        <f>VLOOKUP(BJ1,'[19]RK FORN JUL 25'!$A$1:$M$122,12,FALSE)</f>
        <v>53.21</v>
      </c>
      <c r="BL21" s="34">
        <f>VLOOKUP(BJ1,'[19]RK FORN JUL 25'!$A$1:$M$122,13,FALSE)</f>
        <v>1.18</v>
      </c>
      <c r="BM21" s="34" t="e">
        <f>VLOOKUP(BM1,'[19]RK FORN JUL 25'!$A$1:$M$122,8,FALSE)</f>
        <v>#N/A</v>
      </c>
      <c r="BN21" s="34" t="e">
        <f>VLOOKUP(BM1,'[19]RK FORN JUL 25'!$A$1:$M$122,12,FALSE)</f>
        <v>#N/A</v>
      </c>
      <c r="BO21" s="34" t="e">
        <f>VLOOKUP(BM1,'[19]RK FORN JUL 25'!$A$1:$M$122,13,FALSE)</f>
        <v>#N/A</v>
      </c>
      <c r="BP21" s="34" t="e">
        <f>VLOOKUP(BP1,'[19]RK FORN JUL 25'!$A$1:$M$122,8,FALSE)</f>
        <v>#N/A</v>
      </c>
      <c r="BQ21" s="34" t="e">
        <f>VLOOKUP(BP1,'[19]RK FORN JUL 25'!$A$1:$M$122,12,FALSE)</f>
        <v>#N/A</v>
      </c>
      <c r="BR21" s="34" t="e">
        <f>VLOOKUP(BP1,'[19]RK FORN JUL 25'!$A$1:$M$122,13,FALSE)</f>
        <v>#N/A</v>
      </c>
      <c r="BS21" s="33">
        <f>VLOOKUP(BS1,'[19]RK FORN JUL 25'!$A$1:$M$122,8,FALSE)</f>
        <v>8031.83</v>
      </c>
      <c r="BT21" s="34">
        <f>VLOOKUP(BS1,'[19]RK FORN JUL 25'!$A$1:$M$122,12,FALSE)</f>
        <v>36.909999999999997</v>
      </c>
      <c r="BU21" s="34">
        <f>VLOOKUP(BS1,'[19]RK FORN JUL 25'!$A$1:$M$122,13,FALSE)</f>
        <v>0.54</v>
      </c>
      <c r="BV21" s="33">
        <f>VLOOKUP(BV1,'[19]RK FORN JUL 25'!$A$1:$M$122,8,FALSE)</f>
        <v>11698.37</v>
      </c>
      <c r="BW21" s="34">
        <f>VLOOKUP(BV1,'[19]RK FORN JUL 25'!$A$1:$M$122,12,FALSE)</f>
        <v>37.94</v>
      </c>
      <c r="BX21" s="34">
        <f>VLOOKUP(BV1,'[19]RK FORN JUL 25'!$A$1:$M$122,13,FALSE)</f>
        <v>0.73</v>
      </c>
      <c r="BY21" s="33">
        <f>VLOOKUP(BY1,'[19]RK FORN JUL 25'!$A$1:$M$122,8,FALSE)</f>
        <v>13609.05</v>
      </c>
      <c r="BZ21" s="34">
        <f>VLOOKUP(BY1,'[19]RK FORN JUL 25'!$A$1:$M$122,12,FALSE)</f>
        <v>41.62</v>
      </c>
      <c r="CA21" s="34">
        <f>VLOOKUP(BY1,'[19]RK FORN JUL 25'!$A$1:$M$122,13,FALSE)</f>
        <v>0.9</v>
      </c>
      <c r="CB21" s="33">
        <f>VLOOKUP(CB1,'[19]RK FORN JUL 25'!$A$1:$M$122,8,FALSE)</f>
        <v>17472.830000000002</v>
      </c>
      <c r="CC21" s="34">
        <f>VLOOKUP(CB1,'[19]RK FORN JUL 25'!$A$1:$M$122,12,FALSE)</f>
        <v>44.43</v>
      </c>
      <c r="CD21" s="34">
        <f>VLOOKUP(CB1,'[19]RK FORN JUL 25'!$A$1:$M$122,13,FALSE)</f>
        <v>1.0900000000000001</v>
      </c>
      <c r="CE21" s="33">
        <f>VLOOKUP(CE1,'[19]RK FORN JUL 25'!$A$1:$M$122,8,FALSE)</f>
        <v>4599.7</v>
      </c>
      <c r="CF21" s="34">
        <f>VLOOKUP(CE1,'[19]RK FORN JUL 25'!$A$1:$M$122,12,FALSE)</f>
        <v>40.950000000000003</v>
      </c>
      <c r="CG21" s="34">
        <f>VLOOKUP(CE1,'[19]RK FORN JUL 25'!$A$1:$M$122,13,FALSE)</f>
        <v>0.3</v>
      </c>
      <c r="CH21" s="33">
        <f>VLOOKUP(CH1,'[19]RK FORN JUL 25'!$A$1:$M$122,8,FALSE)</f>
        <v>13533.49</v>
      </c>
      <c r="CI21" s="34">
        <f>VLOOKUP(CH1,'[19]RK FORN JUL 25'!$A$1:$M$122,12,FALSE)</f>
        <v>38.369999999999997</v>
      </c>
      <c r="CJ21" s="34">
        <f>VLOOKUP(CH1,'[19]RK FORN JUL 25'!$A$1:$M$122,13,FALSE)</f>
        <v>0.85</v>
      </c>
      <c r="CK21" s="33">
        <f>VLOOKUP(CK1,'[19]RK FORN JUL 25'!$A$1:$M$122,8,FALSE)</f>
        <v>17525.560000000001</v>
      </c>
      <c r="CL21" s="34">
        <f>VLOOKUP(CK1,'[19]RK FORN JUL 25'!$A$1:$M$122,12,FALSE)</f>
        <v>36.909999999999997</v>
      </c>
      <c r="CM21" s="34">
        <f>VLOOKUP(CK1,'[19]RK FORN JUL 25'!$A$1:$M$122,13,FALSE)</f>
        <v>1.19</v>
      </c>
      <c r="CN21" s="33">
        <f>VLOOKUP(CN1,'[19]RK FORN JUL 25'!$A$1:$M$122,8,FALSE)</f>
        <v>5606.18</v>
      </c>
      <c r="CO21" s="34">
        <f>VLOOKUP(CN1,'[19]RK FORN JUL 25'!$A$1:$M$122,12,FALSE)</f>
        <v>41.19</v>
      </c>
      <c r="CP21" s="34">
        <f>VLOOKUP(CN1,'[19]RK FORN JUL 25'!$A$1:$M$122,13,FALSE)</f>
        <v>0.36</v>
      </c>
      <c r="CQ21" s="33">
        <f>VLOOKUP(CQ1,'[19]RK FORN JUL 25'!$A$1:$M$122,8,FALSE)</f>
        <v>7112.59</v>
      </c>
      <c r="CR21" s="34">
        <f>VLOOKUP(CQ1,'[19]RK FORN JUL 25'!$A$1:$M$122,12,FALSE)</f>
        <v>43.44</v>
      </c>
      <c r="CS21" s="34">
        <f>VLOOKUP(CQ1,'[19]RK FORN JUL 25'!$A$1:$M$122,13,FALSE)</f>
        <v>0.47</v>
      </c>
      <c r="CT21" s="33">
        <f>VLOOKUP(CT1,'[19]RK FORN JUL 25'!$A$1:$M$122,8,FALSE)</f>
        <v>5409.4</v>
      </c>
      <c r="CU21" s="34">
        <f>VLOOKUP(CT1,'[19]RK FORN JUL 25'!$A$1:$M$122,12,FALSE)</f>
        <v>32.18</v>
      </c>
      <c r="CV21" s="34">
        <f>VLOOKUP(CT1,'[19]RK FORN JUL 25'!$A$1:$M$122,13,FALSE)</f>
        <v>0.34</v>
      </c>
      <c r="CW21" s="33">
        <f>VLOOKUP(CW1,'[19]RK FORN JUL 25'!$A$1:$M$122,8,FALSE)</f>
        <v>7698.26</v>
      </c>
      <c r="CX21" s="34">
        <f>VLOOKUP(CW1,'[19]RK FORN JUL 25'!$A$1:$M$122,12,FALSE)</f>
        <v>42.85</v>
      </c>
      <c r="CY21" s="34">
        <f>VLOOKUP(CW1,'[19]RK FORN JUL 25'!$A$1:$M$122,13,FALSE)</f>
        <v>0.49</v>
      </c>
      <c r="CZ21" s="33">
        <f>VLOOKUP(CZ1,'[19]RK FORN JUL 25'!$A$1:$M$122,8,FALSE)</f>
        <v>8946.91</v>
      </c>
      <c r="DA21" s="34">
        <f>VLOOKUP(CZ1,'[19]RK FORN JUL 25'!$A$1:$M$122,12,FALSE)</f>
        <v>36.880000000000003</v>
      </c>
      <c r="DB21" s="34">
        <f>VLOOKUP(CZ1,'[19]RK FORN JUL 25'!$A$1:$M$122,13,FALSE)</f>
        <v>0.56999999999999995</v>
      </c>
      <c r="DC21" s="33">
        <f>VLOOKUP(DC1,'[19]RK FORN JUL 25'!$A$1:$M$122,8,FALSE)</f>
        <v>329</v>
      </c>
      <c r="DD21" s="34">
        <f>VLOOKUP(DC1,'[19]RK FORN JUL 25'!$A$1:$M$122,12,FALSE)</f>
        <v>21.73</v>
      </c>
      <c r="DE21" s="34">
        <f>VLOOKUP(DC1,'[19]RK FORN JUL 25'!$A$1:$M$122,13,FALSE)</f>
        <v>0.02</v>
      </c>
      <c r="DF21" s="33">
        <f>VLOOKUP(DF1,'[19]RK FORN JUL 25'!$A$1:$M$122,8,FALSE)</f>
        <v>3967.24</v>
      </c>
      <c r="DG21" s="34">
        <f>VLOOKUP(DF1,'[19]RK FORN JUL 25'!$A$1:$M$122,12,FALSE)</f>
        <v>39.979999999999997</v>
      </c>
      <c r="DH21" s="34">
        <f>VLOOKUP(DF1,'[19]RK FORN JUL 25'!$A$1:$M$122,13,FALSE)</f>
        <v>0.25</v>
      </c>
      <c r="DI21" s="33">
        <f>VLOOKUP(DI1,'[19]RK FORN JUL 25'!$A$1:$M$122,8,FALSE)</f>
        <v>5040.74</v>
      </c>
      <c r="DJ21" s="34">
        <f>VLOOKUP(DI1,'[19]RK FORN JUL 25'!$A$1:$M$122,12,FALSE)</f>
        <v>42.34</v>
      </c>
      <c r="DK21" s="34">
        <f>VLOOKUP(DI1,'[19]RK FORN JUL 25'!$A$1:$M$122,13,FALSE)</f>
        <v>0.33</v>
      </c>
      <c r="DL21" s="33">
        <f>VLOOKUP(DL1,'[19]RK FORN JUL 25'!$A$1:$M$122,8,FALSE)</f>
        <v>10041.73</v>
      </c>
      <c r="DM21" s="34">
        <f>VLOOKUP(DL1,'[19]RK FORN JUL 25'!$A$1:$M$122,12,FALSE)</f>
        <v>38.39</v>
      </c>
      <c r="DN21" s="34">
        <f>VLOOKUP(DL1,'[19]RK FORN JUL 25'!$A$1:$M$122,13,FALSE)</f>
        <v>0.63</v>
      </c>
      <c r="DO21" s="33">
        <f>VLOOKUP(DO1,'[19]RK FORN JUL 25'!$A$1:$M$122,8,FALSE)</f>
        <v>20399.689999999999</v>
      </c>
      <c r="DP21" s="34">
        <f>VLOOKUP(DO1,'[19]RK FORN JUL 25'!$A$1:$M$122,12,FALSE)</f>
        <v>23.86</v>
      </c>
      <c r="DQ21" s="34">
        <f>VLOOKUP(DO1,'[19]RK FORN JUL 25'!$A$1:$M$122,13,FALSE)</f>
        <v>1.3</v>
      </c>
      <c r="DR21" s="33">
        <f>VLOOKUP(DR1,'[19]RK FORN JUL 25'!$A$1:$M$122,8,FALSE)</f>
        <v>718.8</v>
      </c>
      <c r="DS21" s="34">
        <f>VLOOKUP(DR1,'[19]RK FORN JUL 25'!$A$1:$M$122,12,FALSE)</f>
        <v>42.51</v>
      </c>
      <c r="DT21" s="34">
        <f>VLOOKUP(DR1,'[19]RK FORN JUL 25'!$A$1:$M$122,13,FALSE)</f>
        <v>0.04</v>
      </c>
      <c r="DU21" s="33">
        <f>VLOOKUP(DU1,'[19]RK FORN JUL 25'!$A$1:$M$122,8,FALSE)</f>
        <v>94.8</v>
      </c>
      <c r="DV21" s="34">
        <f>VLOOKUP(DU1,'[19]RK FORN JUL 25'!$A$1:$M$122,12,FALSE)</f>
        <v>33.22</v>
      </c>
      <c r="DW21" s="34">
        <f>VLOOKUP(DU1,'[19]RK FORN JUL 25'!$A$1:$M$122,13,FALSE)</f>
        <v>0.01</v>
      </c>
      <c r="DX21" s="33">
        <f>VLOOKUP(DX1,'[19]RK FORN JUL 25'!$A$1:$M$122,8,FALSE)</f>
        <v>1104.67</v>
      </c>
      <c r="DY21" s="34">
        <f>VLOOKUP(DX1,'[19]RK FORN JUL 25'!$A$1:$M$122,12,FALSE)</f>
        <v>32.130000000000003</v>
      </c>
      <c r="DZ21" s="34">
        <f>VLOOKUP(DX1,'[19]RK FORN JUL 25'!$A$1:$M$122,13,FALSE)</f>
        <v>0.09</v>
      </c>
      <c r="EA21" s="33">
        <f>VLOOKUP(EA1,'[19]RK FORN JUL 25'!$A$1:$M$122,8,FALSE)</f>
        <v>407.55</v>
      </c>
      <c r="EB21" s="34">
        <f>VLOOKUP(EA1,'[19]RK FORN JUL 25'!$A$1:$M$122,12,FALSE)</f>
        <v>45.13</v>
      </c>
      <c r="EC21" s="34">
        <f>VLOOKUP(EA1,'[19]RK FORN JUL 25'!$A$1:$M$122,13,FALSE)</f>
        <v>0.03</v>
      </c>
    </row>
    <row r="22" spans="1:133" x14ac:dyDescent="0.2">
      <c r="A22" s="32">
        <v>45870</v>
      </c>
      <c r="B22" s="33">
        <f>VLOOKUP(B1,'[20]RK FORN AGO 25'!$A$1:$M$117,8,FALSE)</f>
        <v>343403.88050000003</v>
      </c>
      <c r="C22" s="34">
        <f>VLOOKUP(B1,'[20]RK FORN AGO 25'!$A$1:$M$117,12,FALSE)</f>
        <v>33.94</v>
      </c>
      <c r="D22" s="34">
        <f>VLOOKUP(B1,'[20]RK FORN AGO 25'!$A$1:$M$117,13,FALSE)</f>
        <v>18.54</v>
      </c>
      <c r="E22" s="33">
        <f>VLOOKUP(E1,'[20]RK FORN AGO 25'!$A$1:$M$117,8,FALSE)</f>
        <v>124352.99679999999</v>
      </c>
      <c r="F22" s="34">
        <f>VLOOKUP(E1,'[20]RK FORN AGO 25'!$A$1:$M$117,12,FALSE)</f>
        <v>39.53</v>
      </c>
      <c r="G22" s="34">
        <f>VLOOKUP(E1,'[20]RK FORN AGO 25'!$A$1:$M$117,13,FALSE)</f>
        <v>6.56</v>
      </c>
      <c r="H22" s="34" t="e">
        <f>VLOOKUP(H1,'[20]RK FORN AGO 25'!$A$1:$M$117,8,FALSE)</f>
        <v>#N/A</v>
      </c>
      <c r="I22" s="34" t="e">
        <f>VLOOKUP(H1,'[20]RK FORN AGO 25'!$A$1:$M$117,12,FALSE)</f>
        <v>#N/A</v>
      </c>
      <c r="J22" s="34" t="e">
        <f>VLOOKUP(H1,'[20]RK FORN AGO 25'!$A$1:$M$117,13,FALSE)</f>
        <v>#N/A</v>
      </c>
      <c r="K22" s="33">
        <f>VLOOKUP(K1,'[20]RK FORN AGO 25'!$A$1:$M$117,8,FALSE)</f>
        <v>85501.99</v>
      </c>
      <c r="L22" s="33">
        <f>VLOOKUP(K1,'[20]RK FORN AGO 25'!$A$1:$M$117,12,FALSE)</f>
        <v>39.19</v>
      </c>
      <c r="M22" s="35">
        <f>VLOOKUP(K1,'[20]RK FORN AGO 25'!$A$1:$M$117,13,FALSE)</f>
        <v>4.5</v>
      </c>
      <c r="N22" s="33">
        <f>VLOOKUP(N1,'[20]RK FORN AGO 25'!$A$1:$M$117,8,FALSE)</f>
        <v>132128.23699999999</v>
      </c>
      <c r="O22" s="35">
        <f>VLOOKUP(N1,'[20]RK FORN AGO 25'!$A$1:$M$117,12,FALSE)</f>
        <v>43.94</v>
      </c>
      <c r="P22" s="34">
        <f>VLOOKUP(N1,'[20]RK FORN AGO 25'!$A$1:$M$117,13,FALSE)</f>
        <v>6.96</v>
      </c>
      <c r="Q22" s="33">
        <f>VLOOKUP(Q1,'[20]RK FORN AGO 25'!$A$1:$M$117,8,FALSE)</f>
        <v>133605.76759999999</v>
      </c>
      <c r="R22" s="33">
        <f>VLOOKUP(Q1,'[20]RK FORN AGO 25'!$A$1:$M$117,12,FALSE)</f>
        <v>35.26</v>
      </c>
      <c r="S22" s="34">
        <f>VLOOKUP(Q1,'[20]RK FORN AGO 25'!$A$1:$M$117,13,FALSE)</f>
        <v>7.08</v>
      </c>
      <c r="T22" s="33">
        <f>VLOOKUP(T1,'[20]RK FORN AGO 25'!$A$1:$M$117,8,FALSE)</f>
        <v>70057.949900000007</v>
      </c>
      <c r="U22" s="34">
        <f>VLOOKUP(T1,'[20]RK FORN AGO 25'!$A$1:$M$117,12,FALSE)</f>
        <v>36.22</v>
      </c>
      <c r="V22" s="34">
        <f>VLOOKUP(T1,'[20]RK FORN AGO 25'!$A$1:$M$117,13,FALSE)</f>
        <v>3.85</v>
      </c>
      <c r="W22" s="33">
        <f>VLOOKUP(W1,'[20]RK FORN AGO 25'!$A$1:$M$117,8,FALSE)</f>
        <v>174882.584</v>
      </c>
      <c r="X22" s="34">
        <f>VLOOKUP(W1,'[20]RK FORN AGO 25'!$A$1:$M$117,12,FALSE)</f>
        <v>37.090000000000003</v>
      </c>
      <c r="Y22" s="34">
        <f>VLOOKUP(W1,'[20]RK FORN AGO 25'!$A$1:$M$117,13,FALSE)</f>
        <v>9.35</v>
      </c>
      <c r="Z22" s="33">
        <f>VLOOKUP(Z1,'[20]RK FORN AGO 25'!$A$1:$M$117,8,FALSE)</f>
        <v>53012.652000000002</v>
      </c>
      <c r="AA22" s="34">
        <f>VLOOKUP(Z1,'[20]RK FORN AGO 25'!$A$1:$M$117,12,FALSE)</f>
        <v>43.66</v>
      </c>
      <c r="AB22" s="34">
        <f>VLOOKUP(Z1,'[20]RK FORN AGO 25'!$A$1:$M$117,13,FALSE)</f>
        <v>2.87</v>
      </c>
      <c r="AC22" s="33">
        <f>VLOOKUP(AC1,'[20]RK FORN AGO 25'!$A$1:$M$117,8,FALSE)</f>
        <v>174882.584</v>
      </c>
      <c r="AD22" s="34">
        <f>VLOOKUP(AC1,'[20]RK FORN AGO 25'!$A$1:$M$117,12,FALSE)</f>
        <v>37.090000000000003</v>
      </c>
      <c r="AE22" s="34">
        <f>VLOOKUP(AC1,'[20]RK FORN AGO 25'!$A$1:$M$117,13,FALSE)</f>
        <v>9.35</v>
      </c>
      <c r="AF22" s="33">
        <f>VLOOKUP(AF1,'[20]RK FORN AGO 25'!$A$1:$M$117,8,FALSE)</f>
        <v>63087.31</v>
      </c>
      <c r="AG22" s="34">
        <f>VLOOKUP(AF1,'[20]RK FORN AGO 25'!$A$1:$M$117,12,FALSE)</f>
        <v>30.37</v>
      </c>
      <c r="AH22" s="34">
        <f>VLOOKUP(AF1,'[20]RK FORN AGO 25'!$A$1:$M$117,13,FALSE)</f>
        <v>3.37</v>
      </c>
      <c r="AI22" s="33">
        <f>VLOOKUP(AI1,'[20]RK FORN AGO 25'!$A$1:$M$117,8,FALSE)</f>
        <v>1693.3833</v>
      </c>
      <c r="AJ22" s="34">
        <f>VLOOKUP(AI1,'[20]RK FORN AGO 25'!$A$1:$M$117,12,FALSE)</f>
        <v>39.15</v>
      </c>
      <c r="AK22" s="34">
        <f>VLOOKUP(AI1,'[20]RK FORN AGO 25'!$A$1:$M$117,13,FALSE)</f>
        <v>0.09</v>
      </c>
      <c r="AL22" s="33">
        <f>VLOOKUP(AL1,'[20]RK FORN AGO 25'!$A$1:$M$117,8,FALSE)</f>
        <v>30410.26</v>
      </c>
      <c r="AM22" s="34">
        <f>VLOOKUP(AL1,'[20]RK FORN AGO 25'!$A$1:$M$117,12,FALSE)</f>
        <v>44.18</v>
      </c>
      <c r="AN22" s="34">
        <f>VLOOKUP(AL1,'[20]RK FORN AGO 25'!$A$1:$M$117,13,FALSE)</f>
        <v>1.59</v>
      </c>
      <c r="AO22" s="33">
        <f>VLOOKUP(AO1,'[20]RK FORN AGO 25'!$A$1:$M$117,8,FALSE)</f>
        <v>44003.12</v>
      </c>
      <c r="AP22" s="34">
        <f>VLOOKUP(AO1,'[20]RK FORN AGO 25'!$A$1:$M$117,12,FALSE)</f>
        <v>22</v>
      </c>
      <c r="AQ22" s="34">
        <f>VLOOKUP(AO1,'[20]RK FORN AGO 25'!$A$1:$M$117,13,FALSE)</f>
        <v>2.36</v>
      </c>
      <c r="AR22" s="33">
        <f>VLOOKUP(AR1,'[20]RK FORN AGO 25'!$A$1:$M$117,8,FALSE)</f>
        <v>46948.53</v>
      </c>
      <c r="AS22" s="34">
        <f>VLOOKUP(AR1,'[20]RK FORN AGO 25'!$A$1:$M$117,12,FALSE)</f>
        <v>29.59</v>
      </c>
      <c r="AT22" s="34">
        <f>VLOOKUP(AR1,'[20]RK FORN AGO 25'!$A$1:$M$117,13,FALSE)</f>
        <v>2.54</v>
      </c>
      <c r="AU22" s="33">
        <f>VLOOKUP(AU1,'[20]RK FORN AGO 25'!$A$1:$M$117,8,FALSE)</f>
        <v>44900.21</v>
      </c>
      <c r="AV22" s="34">
        <f>VLOOKUP(AU1,'[20]RK FORN AGO 25'!$A$1:$M$117,12,FALSE)</f>
        <v>35.47</v>
      </c>
      <c r="AW22" s="34">
        <f>VLOOKUP(AU1,'[20]RK FORN AGO 25'!$A$1:$M$117,13,FALSE)</f>
        <v>2.68</v>
      </c>
      <c r="AX22" s="33">
        <f>VLOOKUP(AX1,'[20]RK FORN AGO 25'!$A$1:$M$117,8,FALSE)</f>
        <v>22739.759999999998</v>
      </c>
      <c r="AY22" s="34">
        <f>VLOOKUP(AX1,'[20]RK FORN AGO 25'!$A$1:$M$117,12,FALSE)</f>
        <v>24.72</v>
      </c>
      <c r="AZ22" s="34">
        <f>VLOOKUP(AX1,'[20]RK FORN AGO 25'!$A$1:$M$117,13,FALSE)</f>
        <v>1.19</v>
      </c>
      <c r="BA22" s="33">
        <f>VLOOKUP(BA1,'[20]RK FORN AGO 25'!$A$1:$M$117,8,FALSE)</f>
        <v>27044.01</v>
      </c>
      <c r="BB22" s="34">
        <f>VLOOKUP(BA1,'[20]RK FORN AGO 25'!$A$1:$M$117,12,FALSE)</f>
        <v>37.68</v>
      </c>
      <c r="BC22" s="34">
        <f>VLOOKUP(BA1,'[20]RK FORN AGO 25'!$A$1:$M$117,13,FALSE)</f>
        <v>1.43</v>
      </c>
      <c r="BD22" s="33">
        <f>VLOOKUP(BD1,'[20]RK FORN AGO 25'!$A$1:$M$117,8,FALSE)</f>
        <v>18958.02</v>
      </c>
      <c r="BE22" s="34">
        <f>VLOOKUP(BD1,'[20]RK FORN AGO 25'!$A$1:$M$117,12,FALSE)</f>
        <v>46.21</v>
      </c>
      <c r="BF22" s="34">
        <f>VLOOKUP(BD1,'[20]RK FORN AGO 25'!$A$1:$M$117,13,FALSE)</f>
        <v>1</v>
      </c>
      <c r="BG22" s="33">
        <f>VLOOKUP(BG1,'[20]RK FORN AGO 25'!$A$1:$M$117,8,FALSE)</f>
        <v>16636.43</v>
      </c>
      <c r="BH22" s="34">
        <f>VLOOKUP(BG1,'[20]RK FORN AGO 25'!$A$1:$M$117,12,FALSE)</f>
        <v>46.18</v>
      </c>
      <c r="BI22" s="34">
        <f>VLOOKUP(BG1,'[20]RK FORN AGO 25'!$A$1:$M$117,13,FALSE)</f>
        <v>0.88</v>
      </c>
      <c r="BJ22" s="33">
        <f>VLOOKUP(BJ1,'[20]RK FORN AGO 25'!$A$1:$M$117,8,FALSE)</f>
        <v>22839.377499999999</v>
      </c>
      <c r="BK22" s="34">
        <f>VLOOKUP(BJ1,'[20]RK FORN AGO 25'!$A$1:$M$117,12,FALSE)</f>
        <v>43.52</v>
      </c>
      <c r="BL22" s="34">
        <f>VLOOKUP(BJ1,'[20]RK FORN AGO 25'!$A$1:$M$117,13,FALSE)</f>
        <v>1.22</v>
      </c>
      <c r="BM22" s="34" t="e">
        <f>VLOOKUP(BM1,'[20]RK FORN AGO 25'!$A$1:$M$117,8,FALSE)</f>
        <v>#N/A</v>
      </c>
      <c r="BN22" s="34" t="e">
        <f>VLOOKUP(BM1,'[20]RK FORN AGO 25'!$A$1:$M$117,12,FALSE)</f>
        <v>#N/A</v>
      </c>
      <c r="BO22" s="34" t="e">
        <f>VLOOKUP(BM1,'[20]RK FORN AGO 25'!$A$1:$M$117,13,FALSE)</f>
        <v>#N/A</v>
      </c>
      <c r="BP22" s="34" t="e">
        <f>VLOOKUP(BP1,'[20]RK FORN AGO 25'!$A$1:$M$117,8,FALSE)</f>
        <v>#N/A</v>
      </c>
      <c r="BQ22" s="34" t="e">
        <f>VLOOKUP(BP1,'[20]RK FORN AGO 25'!$A$1:$M$117,12,FALSE)</f>
        <v>#N/A</v>
      </c>
      <c r="BR22" s="34" t="e">
        <f>VLOOKUP(BP1,'[20]RK FORN AGO 25'!$A$1:$M$117,13,FALSE)</f>
        <v>#N/A</v>
      </c>
      <c r="BS22" s="33">
        <f>VLOOKUP(BS1,'[20]RK FORN AGO 25'!$A$1:$M$117,8,FALSE)</f>
        <v>13922.73</v>
      </c>
      <c r="BT22" s="34">
        <f>VLOOKUP(BS1,'[20]RK FORN AGO 25'!$A$1:$M$117,12,FALSE)</f>
        <v>39.36</v>
      </c>
      <c r="BU22" s="34">
        <f>VLOOKUP(BS1,'[20]RK FORN AGO 25'!$A$1:$M$117,13,FALSE)</f>
        <v>0.75</v>
      </c>
      <c r="BV22" s="33">
        <f>VLOOKUP(BV1,'[20]RK FORN AGO 25'!$A$1:$M$117,8,FALSE)</f>
        <v>17224.45</v>
      </c>
      <c r="BW22" s="34">
        <f>VLOOKUP(BV1,'[20]RK FORN AGO 25'!$A$1:$M$117,12,FALSE)</f>
        <v>33.1</v>
      </c>
      <c r="BX22" s="34">
        <f>VLOOKUP(BV1,'[20]RK FORN AGO 25'!$A$1:$M$117,13,FALSE)</f>
        <v>0.92</v>
      </c>
      <c r="BY22" s="33">
        <f>VLOOKUP(BY1,'[20]RK FORN AGO 25'!$A$1:$M$117,8,FALSE)</f>
        <v>14527.34</v>
      </c>
      <c r="BZ22" s="34">
        <f>VLOOKUP(BY1,'[20]RK FORN AGO 25'!$A$1:$M$117,12,FALSE)</f>
        <v>41.07</v>
      </c>
      <c r="CA22" s="34">
        <f>VLOOKUP(BY1,'[20]RK FORN AGO 25'!$A$1:$M$117,13,FALSE)</f>
        <v>0.8</v>
      </c>
      <c r="CB22" s="33">
        <f>VLOOKUP(CB1,'[20]RK FORN AGO 25'!$A$1:$M$117,8,FALSE)</f>
        <v>17226.62</v>
      </c>
      <c r="CC22" s="34">
        <f>VLOOKUP(CB1,'[20]RK FORN AGO 25'!$A$1:$M$117,12,FALSE)</f>
        <v>44.96</v>
      </c>
      <c r="CD22" s="34">
        <f>VLOOKUP(CB1,'[20]RK FORN AGO 25'!$A$1:$M$117,13,FALSE)</f>
        <v>0.91</v>
      </c>
      <c r="CE22" s="33">
        <f>VLOOKUP(CE1,'[20]RK FORN AGO 25'!$A$1:$M$117,8,FALSE)</f>
        <v>10825.96</v>
      </c>
      <c r="CF22" s="34">
        <f>VLOOKUP(CE1,'[20]RK FORN AGO 25'!$A$1:$M$117,12,FALSE)</f>
        <v>38.9</v>
      </c>
      <c r="CG22" s="34">
        <f>VLOOKUP(CE1,'[20]RK FORN AGO 25'!$A$1:$M$117,13,FALSE)</f>
        <v>0.56000000000000005</v>
      </c>
      <c r="CH22" s="33">
        <f>VLOOKUP(CH1,'[20]RK FORN AGO 25'!$A$1:$M$117,8,FALSE)</f>
        <v>13061.31</v>
      </c>
      <c r="CI22" s="34">
        <f>VLOOKUP(CH1,'[20]RK FORN AGO 25'!$A$1:$M$117,12,FALSE)</f>
        <v>39.549999999999997</v>
      </c>
      <c r="CJ22" s="34">
        <f>VLOOKUP(CH1,'[20]RK FORN AGO 25'!$A$1:$M$117,13,FALSE)</f>
        <v>0.69</v>
      </c>
      <c r="CK22" s="33">
        <f>VLOOKUP(CK1,'[20]RK FORN AGO 25'!$A$1:$M$117,8,FALSE)</f>
        <v>14983.02</v>
      </c>
      <c r="CL22" s="34">
        <f>VLOOKUP(CK1,'[20]RK FORN AGO 25'!$A$1:$M$117,12,FALSE)</f>
        <v>38.76</v>
      </c>
      <c r="CM22" s="34">
        <f>VLOOKUP(CK1,'[20]RK FORN AGO 25'!$A$1:$M$117,13,FALSE)</f>
        <v>0.8</v>
      </c>
      <c r="CN22" s="33">
        <f>VLOOKUP(CN1,'[20]RK FORN AGO 25'!$A$1:$M$117,8,FALSE)</f>
        <v>7892.07</v>
      </c>
      <c r="CO22" s="34">
        <f>VLOOKUP(CN1,'[20]RK FORN AGO 25'!$A$1:$M$117,12,FALSE)</f>
        <v>41.55</v>
      </c>
      <c r="CP22" s="34">
        <f>VLOOKUP(CN1,'[20]RK FORN AGO 25'!$A$1:$M$117,13,FALSE)</f>
        <v>0.42</v>
      </c>
      <c r="CQ22" s="33">
        <f>VLOOKUP(CQ1,'[20]RK FORN AGO 25'!$A$1:$M$117,8,FALSE)</f>
        <v>8497.89</v>
      </c>
      <c r="CR22" s="34">
        <f>VLOOKUP(CQ1,'[20]RK FORN AGO 25'!$A$1:$M$117,12,FALSE)</f>
        <v>43.15</v>
      </c>
      <c r="CS22" s="34">
        <f>VLOOKUP(CQ1,'[20]RK FORN AGO 25'!$A$1:$M$117,13,FALSE)</f>
        <v>0.45</v>
      </c>
      <c r="CT22" s="33">
        <f>VLOOKUP(CT1,'[20]RK FORN AGO 25'!$A$1:$M$117,8,FALSE)</f>
        <v>10729.4</v>
      </c>
      <c r="CU22" s="34">
        <f>VLOOKUP(CT1,'[20]RK FORN AGO 25'!$A$1:$M$117,12,FALSE)</f>
        <v>30.62</v>
      </c>
      <c r="CV22" s="34">
        <f>VLOOKUP(CT1,'[20]RK FORN AGO 25'!$A$1:$M$117,13,FALSE)</f>
        <v>0.56000000000000005</v>
      </c>
      <c r="CW22" s="33">
        <f>VLOOKUP(CW1,'[20]RK FORN AGO 25'!$A$1:$M$117,8,FALSE)</f>
        <v>9918.17</v>
      </c>
      <c r="CX22" s="34">
        <f>VLOOKUP(CW1,'[20]RK FORN AGO 25'!$A$1:$M$117,12,FALSE)</f>
        <v>43.64</v>
      </c>
      <c r="CY22" s="34">
        <f>VLOOKUP(CW1,'[20]RK FORN AGO 25'!$A$1:$M$117,13,FALSE)</f>
        <v>0.53</v>
      </c>
      <c r="CZ22" s="33">
        <f>VLOOKUP(CZ1,'[20]RK FORN AGO 25'!$A$1:$M$117,8,FALSE)</f>
        <v>8135.54</v>
      </c>
      <c r="DA22" s="34">
        <f>VLOOKUP(CZ1,'[20]RK FORN AGO 25'!$A$1:$M$117,12,FALSE)</f>
        <v>38.700000000000003</v>
      </c>
      <c r="DB22" s="34">
        <f>VLOOKUP(CZ1,'[20]RK FORN AGO 25'!$A$1:$M$117,13,FALSE)</f>
        <v>0.43</v>
      </c>
      <c r="DC22" s="33">
        <f>VLOOKUP(DC1,'[20]RK FORN AGO 25'!$A$1:$M$117,8,FALSE)</f>
        <v>6433.55</v>
      </c>
      <c r="DD22" s="34">
        <f>VLOOKUP(DC1,'[20]RK FORN AGO 25'!$A$1:$M$117,12,FALSE)</f>
        <v>25.97</v>
      </c>
      <c r="DE22" s="34">
        <f>VLOOKUP(DC1,'[20]RK FORN AGO 25'!$A$1:$M$117,13,FALSE)</f>
        <v>0.34</v>
      </c>
      <c r="DF22" s="33">
        <f>VLOOKUP(DF1,'[20]RK FORN AGO 25'!$A$1:$M$117,8,FALSE)</f>
        <v>41571.14</v>
      </c>
      <c r="DG22" s="34">
        <f>VLOOKUP(DF1,'[20]RK FORN AGO 25'!$A$1:$M$117,12,FALSE)</f>
        <v>19.79</v>
      </c>
      <c r="DH22" s="34">
        <f>VLOOKUP(DF1,'[20]RK FORN AGO 25'!$A$1:$M$117,13,FALSE)</f>
        <v>2.1800000000000002</v>
      </c>
      <c r="DI22" s="33">
        <f>VLOOKUP(DI1,'[20]RK FORN AGO 25'!$A$1:$M$117,8,FALSE)</f>
        <v>5988.21</v>
      </c>
      <c r="DJ22" s="34">
        <f>VLOOKUP(DI1,'[20]RK FORN AGO 25'!$A$1:$M$117,12,FALSE)</f>
        <v>43.55</v>
      </c>
      <c r="DK22" s="34">
        <f>VLOOKUP(DI1,'[20]RK FORN AGO 25'!$A$1:$M$117,13,FALSE)</f>
        <v>0.34</v>
      </c>
      <c r="DL22" s="33">
        <f>VLOOKUP(DL1,'[20]RK FORN AGO 25'!$A$1:$M$117,8,FALSE)</f>
        <v>7919.44</v>
      </c>
      <c r="DM22" s="34">
        <f>VLOOKUP(DL1,'[20]RK FORN AGO 25'!$A$1:$M$117,12,FALSE)</f>
        <v>34.81</v>
      </c>
      <c r="DN22" s="34">
        <f>VLOOKUP(DL1,'[20]RK FORN AGO 25'!$A$1:$M$117,13,FALSE)</f>
        <v>0.42</v>
      </c>
      <c r="DO22" s="33">
        <f>VLOOKUP(DO1,'[20]RK FORN AGO 25'!$A$1:$M$117,8,FALSE)</f>
        <v>31615.84</v>
      </c>
      <c r="DP22" s="34">
        <f>VLOOKUP(DO1,'[20]RK FORN AGO 25'!$A$1:$M$117,12,FALSE)</f>
        <v>23.31</v>
      </c>
      <c r="DQ22" s="34">
        <f>VLOOKUP(DO1,'[20]RK FORN AGO 25'!$A$1:$M$117,13,FALSE)</f>
        <v>1.66</v>
      </c>
      <c r="DR22" s="33">
        <f>VLOOKUP(DR1,'[20]RK FORN AGO 25'!$A$1:$M$117,8,FALSE)</f>
        <v>646.51</v>
      </c>
      <c r="DS22" s="34">
        <f>VLOOKUP(DR1,'[20]RK FORN AGO 25'!$A$1:$M$117,12,FALSE)</f>
        <v>40.33</v>
      </c>
      <c r="DT22" s="34">
        <f>VLOOKUP(DR1,'[20]RK FORN AGO 25'!$A$1:$M$117,13,FALSE)</f>
        <v>0.03</v>
      </c>
      <c r="DU22" s="33">
        <f>VLOOKUP(DU1,'[20]RK FORN AGO 25'!$A$1:$M$117,8,FALSE)</f>
        <v>575.66</v>
      </c>
      <c r="DV22" s="34">
        <f>VLOOKUP(DU1,'[20]RK FORN AGO 25'!$A$1:$M$117,12,FALSE)</f>
        <v>31</v>
      </c>
      <c r="DW22" s="34">
        <f>VLOOKUP(DU1,'[20]RK FORN AGO 25'!$A$1:$M$117,13,FALSE)</f>
        <v>0.03</v>
      </c>
      <c r="DX22" s="33">
        <f>VLOOKUP(DX1,'[20]RK FORN AGO 25'!$A$1:$M$117,8,FALSE)</f>
        <v>736.23</v>
      </c>
      <c r="DY22" s="34">
        <f>VLOOKUP(DX1,'[20]RK FORN AGO 25'!$A$1:$M$117,12,FALSE)</f>
        <v>35.64</v>
      </c>
      <c r="DZ22" s="34">
        <f>VLOOKUP(DX1,'[20]RK FORN AGO 25'!$A$1:$M$117,13,FALSE)</f>
        <v>0.04</v>
      </c>
      <c r="EA22" s="33">
        <f>VLOOKUP(EA1,'[20]RK FORN AGO 25'!$A$1:$M$117,8,FALSE)</f>
        <v>953.83979999999997</v>
      </c>
      <c r="EB22" s="34">
        <f>VLOOKUP(EA1,'[20]RK FORN AGO 25'!$A$1:$M$117,12,FALSE)</f>
        <v>30.16</v>
      </c>
      <c r="EC22" s="34">
        <f>VLOOKUP(EA1,'[20]RK FORN AGO 25'!$A$1:$M$117,13,FALSE)</f>
        <v>0.05</v>
      </c>
    </row>
    <row r="23" spans="1:133" x14ac:dyDescent="0.2">
      <c r="A23" s="32">
        <v>45901</v>
      </c>
      <c r="B23" s="33">
        <f>VLOOKUP(B1,'[21]RK FORN SET 25'!$A$1:$M$118,8,FALSE)</f>
        <v>192333.4455</v>
      </c>
      <c r="C23" s="36">
        <f>VLOOKUP(B1,'[21]RK FORN SET 25'!$A$1:$M$118,12,FALSE)</f>
        <v>35.869999999999997</v>
      </c>
      <c r="D23" s="36">
        <f>VLOOKUP(B1,'[21]RK FORN SET 25'!$A$1:$M$118,13,FALSE)</f>
        <v>12.67</v>
      </c>
      <c r="E23" s="33">
        <f>VLOOKUP(E1,'[21]RK FORN SET 25'!$A$1:$M$118,8,FALSE)</f>
        <v>124148.35</v>
      </c>
      <c r="F23" s="33">
        <f>VLOOKUP(E1,'[21]RK FORN SET 25'!$A$1:$M$118,12,FALSE)</f>
        <v>39.549999999999997</v>
      </c>
      <c r="G23" s="33">
        <f>VLOOKUP(E1,'[21]RK FORN SET 25'!$A$1:$M$118,13,FALSE)</f>
        <v>7.9</v>
      </c>
      <c r="H23" s="33" t="e">
        <f>VLOOKUP(H1,'[21]RK FORN SET 25'!$A$1:$M$118,8,FALSE)</f>
        <v>#N/A</v>
      </c>
      <c r="I23" s="33" t="e">
        <f>VLOOKUP(H1,'[21]RK FORN SET 25'!$A$1:$M$118,12,FALSE)</f>
        <v>#N/A</v>
      </c>
      <c r="J23" s="33" t="e">
        <f>VLOOKUP(H1,'[21]RK FORN SET 25'!$A$1:$M$118,13,FALSE)</f>
        <v>#N/A</v>
      </c>
      <c r="K23" s="33">
        <f>VLOOKUP(K1,'[21]RK FORN SET 25'!$A$1:$M$118,8,FALSE)</f>
        <v>107998.2</v>
      </c>
      <c r="L23" s="33">
        <f>VLOOKUP(K1,'[21]RK FORN SET 25'!$A$1:$M$118,12,FALSE)</f>
        <v>38.92</v>
      </c>
      <c r="M23" s="33">
        <f>VLOOKUP(K1,'[21]RK FORN SET 25'!$A$1:$M$118,13,FALSE)</f>
        <v>6.91</v>
      </c>
      <c r="N23" s="33">
        <f>VLOOKUP(N1,'[21]RK FORN SET 25'!$A$1:$M$118,8,FALSE)</f>
        <v>116242.12</v>
      </c>
      <c r="O23" s="33">
        <f>VLOOKUP(N1,'[21]RK FORN SET 25'!$A$1:$M$118,12,FALSE)</f>
        <v>43.7</v>
      </c>
      <c r="P23" s="33">
        <f>VLOOKUP(N1,'[21]RK FORN SET 25'!$A$1:$M$118,13,FALSE)</f>
        <v>7.48</v>
      </c>
      <c r="Q23" s="33">
        <f>VLOOKUP(Q1,'[21]RK FORN SET 25'!$A$1:$M$118,8,FALSE)</f>
        <v>145363.69760000001</v>
      </c>
      <c r="R23" s="33">
        <f>VLOOKUP(Q1,'[21]RK FORN SET 25'!$A$1:$M$118,12,FALSE)</f>
        <v>35.619999999999997</v>
      </c>
      <c r="S23" s="33">
        <f>VLOOKUP(Q1,'[21]RK FORN SET 25'!$A$1:$M$118,13,FALSE)</f>
        <v>9.26</v>
      </c>
      <c r="T23" s="33">
        <f>VLOOKUP(T1,'[21]RK FORN SET 25'!$A$1:$M$118,8,FALSE)</f>
        <v>57387.88</v>
      </c>
      <c r="U23" s="33">
        <f>VLOOKUP(T1,'[21]RK FORN SET 25'!$A$1:$M$118,12,FALSE)</f>
        <v>37.32</v>
      </c>
      <c r="V23" s="33">
        <f>VLOOKUP(T1,'[21]RK FORN SET 25'!$A$1:$M$118,13,FALSE)</f>
        <v>3.66</v>
      </c>
      <c r="W23" s="33">
        <f>VLOOKUP(W1,'[21]RK FORN SET 25'!$A$1:$M$118,8,FALSE)</f>
        <v>138723.61170000001</v>
      </c>
      <c r="X23" s="33">
        <f>VLOOKUP(W1,'[21]RK FORN SET 25'!$A$1:$M$118,12,FALSE)</f>
        <v>36.869999999999997</v>
      </c>
      <c r="Y23" s="33">
        <f>VLOOKUP(W1,'[21]RK FORN SET 25'!$A$1:$M$118,13,FALSE)</f>
        <v>8.83</v>
      </c>
      <c r="Z23" s="33">
        <f>VLOOKUP(Z1,'[21]RK FORN SET 25'!$A$1:$M$118,8,FALSE)</f>
        <v>50124.590900000003</v>
      </c>
      <c r="AA23" s="33">
        <f>VLOOKUP(Z1,'[21]RK FORN SET 25'!$A$1:$M$118,12,FALSE)</f>
        <v>44.39</v>
      </c>
      <c r="AB23" s="33">
        <f>VLOOKUP(Z1,'[21]RK FORN SET 25'!$A$1:$M$118,13,FALSE)</f>
        <v>3.22</v>
      </c>
      <c r="AC23" s="33">
        <f>VLOOKUP(AC1,'[21]RK FORN SET 25'!$A$1:$M$118,8,FALSE)</f>
        <v>138723.61170000001</v>
      </c>
      <c r="AD23" s="33">
        <f>VLOOKUP(AC1,'[21]RK FORN SET 25'!$A$1:$M$118,12,FALSE)</f>
        <v>36.869999999999997</v>
      </c>
      <c r="AE23" s="33">
        <f>VLOOKUP(AC1,'[21]RK FORN SET 25'!$A$1:$M$118,13,FALSE)</f>
        <v>8.83</v>
      </c>
      <c r="AF23" s="33">
        <f>VLOOKUP(AF1,'[21]RK FORN SET 25'!$A$1:$M$118,8,FALSE)</f>
        <v>51469.440000000002</v>
      </c>
      <c r="AG23" s="33">
        <f>VLOOKUP(AF1,'[21]RK FORN SET 25'!$A$1:$M$118,12,FALSE)</f>
        <v>31.92</v>
      </c>
      <c r="AH23" s="33">
        <f>VLOOKUP(AF1,'[21]RK FORN SET 25'!$A$1:$M$118,13,FALSE)</f>
        <v>3.37</v>
      </c>
      <c r="AI23" s="33">
        <f>VLOOKUP(AI1,'[21]RK FORN SET 25'!$A$1:$M$118,8,FALSE)</f>
        <v>1064.655</v>
      </c>
      <c r="AJ23" s="33">
        <f>VLOOKUP(AI1,'[21]RK FORN SET 25'!$A$1:$M$118,12,FALSE)</f>
        <v>19.78</v>
      </c>
      <c r="AK23" s="33">
        <f>VLOOKUP(AI1,'[21]RK FORN SET 25'!$A$1:$M$118,13,FALSE)</f>
        <v>7.0000000000000007E-2</v>
      </c>
      <c r="AL23" s="33">
        <f>VLOOKUP(AL1,'[21]RK FORN SET 25'!$A$1:$M$118,8,FALSE)</f>
        <v>23258.97</v>
      </c>
      <c r="AM23" s="33">
        <f>VLOOKUP(AL1,'[21]RK FORN SET 25'!$A$1:$M$118,12,FALSE)</f>
        <v>44.52</v>
      </c>
      <c r="AN23" s="33">
        <f>VLOOKUP(AL1,'[21]RK FORN SET 25'!$A$1:$M$118,13,FALSE)</f>
        <v>1.48</v>
      </c>
      <c r="AO23" s="33">
        <f>VLOOKUP(AO1,'[21]RK FORN SET 25'!$A$1:$M$118,8,FALSE)</f>
        <v>26093.5</v>
      </c>
      <c r="AP23" s="33">
        <f>VLOOKUP(AO1,'[21]RK FORN SET 25'!$A$1:$M$118,12,FALSE)</f>
        <v>22.45</v>
      </c>
      <c r="AQ23" s="33">
        <f>VLOOKUP(AO1,'[21]RK FORN SET 25'!$A$1:$M$118,13,FALSE)</f>
        <v>1.64</v>
      </c>
      <c r="AR23" s="33">
        <f>VLOOKUP(AR1,'[21]RK FORN SET 25'!$A$1:$M$118,8,FALSE)</f>
        <v>32489.52</v>
      </c>
      <c r="AS23" s="33">
        <f>VLOOKUP(AR1,'[21]RK FORN SET 25'!$A$1:$M$118,12,FALSE)</f>
        <v>31.3</v>
      </c>
      <c r="AT23" s="33">
        <f>VLOOKUP(AR1,'[21]RK FORN SET 25'!$A$1:$M$118,13,FALSE)</f>
        <v>2.1</v>
      </c>
      <c r="AU23" s="33">
        <f>VLOOKUP(AU1,'[21]RK FORN SET 25'!$A$1:$M$118,8,FALSE)</f>
        <v>35983.589999999997</v>
      </c>
      <c r="AV23" s="33">
        <f>VLOOKUP(AU1,'[21]RK FORN SET 25'!$A$1:$M$118,12,FALSE)</f>
        <v>38.04</v>
      </c>
      <c r="AW23" s="33">
        <f>VLOOKUP(AU1,'[21]RK FORN SET 25'!$A$1:$M$118,13,FALSE)</f>
        <v>2.41</v>
      </c>
      <c r="AX23" s="33">
        <f>VLOOKUP(AX1,'[21]RK FORN SET 25'!$A$1:$M$118,8,FALSE)</f>
        <v>28195.78</v>
      </c>
      <c r="AY23" s="33">
        <f>VLOOKUP(AX1,'[21]RK FORN SET 25'!$A$1:$M$118,12,FALSE)</f>
        <v>26.04</v>
      </c>
      <c r="AZ23" s="33">
        <f>VLOOKUP(AX1,'[21]RK FORN SET 25'!$A$1:$M$118,13,FALSE)</f>
        <v>1.8</v>
      </c>
      <c r="BA23" s="33">
        <f>VLOOKUP(BA1,'[21]RK FORN SET 25'!$A$1:$M$118,8,FALSE)</f>
        <v>23824.880000000001</v>
      </c>
      <c r="BB23" s="33">
        <f>VLOOKUP(BA1,'[21]RK FORN SET 25'!$A$1:$M$118,12,FALSE)</f>
        <v>37.53</v>
      </c>
      <c r="BC23" s="33">
        <f>VLOOKUP(BA1,'[21]RK FORN SET 25'!$A$1:$M$118,13,FALSE)</f>
        <v>1.52</v>
      </c>
      <c r="BD23" s="33">
        <f>VLOOKUP(BD1,'[21]RK FORN SET 25'!$A$1:$M$118,8,FALSE)</f>
        <v>18875.490000000002</v>
      </c>
      <c r="BE23" s="33">
        <f>VLOOKUP(BD1,'[21]RK FORN SET 25'!$A$1:$M$118,12,FALSE)</f>
        <v>46.43</v>
      </c>
      <c r="BF23" s="33">
        <f>VLOOKUP(BD1,'[21]RK FORN SET 25'!$A$1:$M$118,13,FALSE)</f>
        <v>1.21</v>
      </c>
      <c r="BG23" s="33">
        <f>VLOOKUP(BG1,'[21]RK FORN SET 25'!$A$1:$M$118,8,FALSE)</f>
        <v>17291.259999999998</v>
      </c>
      <c r="BH23" s="33">
        <f>VLOOKUP(BG1,'[21]RK FORN SET 25'!$A$1:$M$118,12,FALSE)</f>
        <v>47.06</v>
      </c>
      <c r="BI23" s="33">
        <f>VLOOKUP(BG1,'[21]RK FORN SET 25'!$A$1:$M$118,13,FALSE)</f>
        <v>1.1200000000000001</v>
      </c>
      <c r="BJ23" s="33">
        <f>VLOOKUP(BJ1,'[21]RK FORN SET 25'!$A$1:$M$118,8,FALSE)</f>
        <v>23586.97</v>
      </c>
      <c r="BK23" s="33">
        <f>VLOOKUP(BJ1,'[21]RK FORN SET 25'!$A$1:$M$118,12,FALSE)</f>
        <v>61.65</v>
      </c>
      <c r="BL23" s="33">
        <f>VLOOKUP(BJ1,'[21]RK FORN SET 25'!$A$1:$M$118,13,FALSE)</f>
        <v>1.49</v>
      </c>
      <c r="BM23" s="33" t="e">
        <f>VLOOKUP(BM1,'[21]RK FORN SET 25'!$A$1:$M$118,8,FALSE)</f>
        <v>#N/A</v>
      </c>
      <c r="BN23" s="33" t="e">
        <f>VLOOKUP(BM1,'[21]RK FORN SET 25'!$A$1:$M$118,12,FALSE)</f>
        <v>#N/A</v>
      </c>
      <c r="BO23" s="33" t="e">
        <f>VLOOKUP(BM1,'[21]RK FORN SET 25'!$A$1:$M$118,13,FALSE)</f>
        <v>#N/A</v>
      </c>
      <c r="BP23" s="33">
        <f>VLOOKUP(BP1,'[21]RK FORN SET 25'!$A$1:$M$118,8,FALSE)</f>
        <v>9450.4500000000007</v>
      </c>
      <c r="BQ23" s="33">
        <f>VLOOKUP(BP1,'[21]RK FORN SET 25'!$A$1:$M$118,12,FALSE)</f>
        <v>42</v>
      </c>
      <c r="BR23" s="33">
        <f>VLOOKUP(BP1,'[21]RK FORN SET 25'!$A$1:$M$118,13,FALSE)</f>
        <v>0.67</v>
      </c>
      <c r="BS23" s="33">
        <f>VLOOKUP(BS1,'[21]RK FORN SET 25'!$A$1:$M$118,8,FALSE)</f>
        <v>11812.24</v>
      </c>
      <c r="BT23" s="33">
        <f>VLOOKUP(BS1,'[21]RK FORN SET 25'!$A$1:$M$118,12,FALSE)</f>
        <v>39.869999999999997</v>
      </c>
      <c r="BU23" s="33">
        <f>VLOOKUP(BS1,'[21]RK FORN SET 25'!$A$1:$M$118,13,FALSE)</f>
        <v>0.76</v>
      </c>
      <c r="BV23" s="33">
        <f>VLOOKUP(BV1,'[21]RK FORN SET 25'!$A$1:$M$118,8,FALSE)</f>
        <v>10587.41</v>
      </c>
      <c r="BW23" s="33">
        <f>VLOOKUP(BV1,'[21]RK FORN SET 25'!$A$1:$M$118,12,FALSE)</f>
        <v>34.47</v>
      </c>
      <c r="BX23" s="33">
        <f>VLOOKUP(BV1,'[21]RK FORN SET 25'!$A$1:$M$118,13,FALSE)</f>
        <v>0.67</v>
      </c>
      <c r="BY23" s="33">
        <f>VLOOKUP(BY1,'[21]RK FORN SET 25'!$A$1:$M$118,8,FALSE)</f>
        <v>13272.94</v>
      </c>
      <c r="BZ23" s="33">
        <f>VLOOKUP(BY1,'[21]RK FORN SET 25'!$A$1:$M$118,12,FALSE)</f>
        <v>41.59</v>
      </c>
      <c r="CA23" s="33">
        <f>VLOOKUP(BY1,'[21]RK FORN SET 25'!$A$1:$M$118,13,FALSE)</f>
        <v>0.88</v>
      </c>
      <c r="CB23" s="33">
        <f>VLOOKUP(CB1,'[21]RK FORN SET 25'!$A$1:$M$118,8,FALSE)</f>
        <v>14114.8801</v>
      </c>
      <c r="CC23" s="33">
        <f>VLOOKUP(CB1,'[21]RK FORN SET 25'!$A$1:$M$118,12,FALSE)</f>
        <v>44.72</v>
      </c>
      <c r="CD23" s="33">
        <f>VLOOKUP(CB1,'[21]RK FORN SET 25'!$A$1:$M$118,13,FALSE)</f>
        <v>0.9</v>
      </c>
      <c r="CE23" s="33">
        <f>VLOOKUP(CE1,'[21]RK FORN SET 25'!$A$1:$M$118,8,FALSE)</f>
        <v>10189.09</v>
      </c>
      <c r="CF23" s="33">
        <f>VLOOKUP(CE1,'[21]RK FORN SET 25'!$A$1:$M$118,12,FALSE)</f>
        <v>40.04</v>
      </c>
      <c r="CG23" s="33">
        <f>VLOOKUP(CE1,'[21]RK FORN SET 25'!$A$1:$M$118,13,FALSE)</f>
        <v>0.65</v>
      </c>
      <c r="CH23" s="33">
        <f>VLOOKUP(CH1,'[21]RK FORN SET 25'!$A$1:$M$118,8,FALSE)</f>
        <v>14813.27</v>
      </c>
      <c r="CI23" s="33">
        <f>VLOOKUP(CH1,'[21]RK FORN SET 25'!$A$1:$M$118,12,FALSE)</f>
        <v>40.4</v>
      </c>
      <c r="CJ23" s="33">
        <f>VLOOKUP(CH1,'[21]RK FORN SET 25'!$A$1:$M$118,13,FALSE)</f>
        <v>0.95</v>
      </c>
      <c r="CK23" s="33">
        <f>VLOOKUP(CK1,'[21]RK FORN SET 25'!$A$1:$M$118,8,FALSE)</f>
        <v>14676.52</v>
      </c>
      <c r="CL23" s="33">
        <f>VLOOKUP(CK1,'[21]RK FORN SET 25'!$A$1:$M$118,12,FALSE)</f>
        <v>38.47</v>
      </c>
      <c r="CM23" s="33">
        <f>VLOOKUP(CK1,'[21]RK FORN SET 25'!$A$1:$M$118,13,FALSE)</f>
        <v>0.94</v>
      </c>
      <c r="CN23" s="33">
        <f>VLOOKUP(CN1,'[21]RK FORN SET 25'!$A$1:$M$118,8,FALSE)</f>
        <v>7416</v>
      </c>
      <c r="CO23" s="33">
        <f>VLOOKUP(CN1,'[21]RK FORN SET 25'!$A$1:$M$118,12,FALSE)</f>
        <v>40.68</v>
      </c>
      <c r="CP23" s="33">
        <f>VLOOKUP(CN1,'[21]RK FORN SET 25'!$A$1:$M$118,13,FALSE)</f>
        <v>0.49</v>
      </c>
      <c r="CQ23" s="33">
        <f>VLOOKUP(CQ1,'[21]RK FORN SET 25'!$A$1:$M$118,8,FALSE)</f>
        <v>9185.42</v>
      </c>
      <c r="CR23" s="33">
        <f>VLOOKUP(CQ1,'[21]RK FORN SET 25'!$A$1:$M$118,12,FALSE)</f>
        <v>43.89</v>
      </c>
      <c r="CS23" s="33">
        <f>VLOOKUP(CQ1,'[21]RK FORN SET 25'!$A$1:$M$118,13,FALSE)</f>
        <v>0.59</v>
      </c>
      <c r="CT23" s="33">
        <f>VLOOKUP(CT1,'[21]RK FORN SET 25'!$A$1:$M$118,8,FALSE)</f>
        <v>7921.29</v>
      </c>
      <c r="CU23" s="33">
        <f>VLOOKUP(CT1,'[21]RK FORN SET 25'!$A$1:$M$118,12,FALSE)</f>
        <v>30.19</v>
      </c>
      <c r="CV23" s="33">
        <f>VLOOKUP(CT1,'[21]RK FORN SET 25'!$A$1:$M$118,13,FALSE)</f>
        <v>0.5</v>
      </c>
      <c r="CW23" s="33">
        <f>VLOOKUP(CW1,'[21]RK FORN SET 25'!$A$1:$M$118,8,FALSE)</f>
        <v>7125.78</v>
      </c>
      <c r="CX23" s="33">
        <f>VLOOKUP(CW1,'[21]RK FORN SET 25'!$A$1:$M$118,12,FALSE)</f>
        <v>43.43</v>
      </c>
      <c r="CY23" s="33">
        <f>VLOOKUP(CW1,'[21]RK FORN SET 25'!$A$1:$M$118,13,FALSE)</f>
        <v>0.45</v>
      </c>
      <c r="CZ23" s="33">
        <f>VLOOKUP(CZ1,'[21]RK FORN SET 25'!$A$1:$M$118,8,FALSE)</f>
        <v>7590.02</v>
      </c>
      <c r="DA23" s="33">
        <f>VLOOKUP(CZ1,'[21]RK FORN SET 25'!$A$1:$M$118,12,FALSE)</f>
        <v>38.61</v>
      </c>
      <c r="DB23" s="33">
        <f>VLOOKUP(CZ1,'[21]RK FORN SET 25'!$A$1:$M$118,13,FALSE)</f>
        <v>0.49</v>
      </c>
      <c r="DC23" s="33">
        <f>VLOOKUP(DC1,'[21]RK FORN SET 25'!$A$1:$M$118,8,FALSE)</f>
        <v>4122.01</v>
      </c>
      <c r="DD23" s="33">
        <f>VLOOKUP(DC1,'[21]RK FORN SET 25'!$A$1:$M$118,12,FALSE)</f>
        <v>25.75</v>
      </c>
      <c r="DE23" s="33">
        <f>VLOOKUP(DC1,'[21]RK FORN SET 25'!$A$1:$M$118,13,FALSE)</f>
        <v>0.26</v>
      </c>
      <c r="DF23" s="33">
        <f>VLOOKUP(DF1,'[21]RK FORN SET 25'!$A$1:$M$118,8,FALSE)</f>
        <v>3439.3</v>
      </c>
      <c r="DG23" s="33">
        <f>VLOOKUP(DF1,'[21]RK FORN SET 25'!$A$1:$M$118,12,FALSE)</f>
        <v>39.33</v>
      </c>
      <c r="DH23" s="33">
        <f>VLOOKUP(DF1,'[21]RK FORN SET 25'!$A$1:$M$118,13,FALSE)</f>
        <v>0.22</v>
      </c>
      <c r="DI23" s="33">
        <f>VLOOKUP(DI1,'[21]RK FORN SET 25'!$A$1:$M$118,8,FALSE)</f>
        <v>6575.71</v>
      </c>
      <c r="DJ23" s="33">
        <f>VLOOKUP(DI1,'[21]RK FORN SET 25'!$A$1:$M$118,12,FALSE)</f>
        <v>36.340000000000003</v>
      </c>
      <c r="DK23" s="33">
        <f>VLOOKUP(DI1,'[21]RK FORN SET 25'!$A$1:$M$118,13,FALSE)</f>
        <v>0.54</v>
      </c>
      <c r="DL23" s="33">
        <f>VLOOKUP(DL1,'[21]RK FORN SET 25'!$A$1:$M$118,8,FALSE)</f>
        <v>8794.5</v>
      </c>
      <c r="DM23" s="33">
        <f>VLOOKUP(DL1,'[21]RK FORN SET 25'!$A$1:$M$118,12,FALSE)</f>
        <v>37.94</v>
      </c>
      <c r="DN23" s="33">
        <f>VLOOKUP(DL1,'[21]RK FORN SET 25'!$A$1:$M$118,13,FALSE)</f>
        <v>0.57999999999999996</v>
      </c>
      <c r="DO23" s="33">
        <f>VLOOKUP(DO1,'[21]RK FORN SET 25'!$A$1:$M$118,8,FALSE)</f>
        <v>19898.2</v>
      </c>
      <c r="DP23" s="33">
        <f>VLOOKUP(DO1,'[21]RK FORN SET 25'!$A$1:$M$118,12,FALSE)</f>
        <v>22.82</v>
      </c>
      <c r="DQ23" s="33">
        <f>VLOOKUP(DO1,'[21]RK FORN SET 25'!$A$1:$M$118,13,FALSE)</f>
        <v>1.3</v>
      </c>
      <c r="DR23" s="33">
        <f>VLOOKUP(DR1,'[21]RK FORN SET 25'!$A$1:$M$118,8,FALSE)</f>
        <v>152.02000000000001</v>
      </c>
      <c r="DS23" s="33">
        <f>VLOOKUP(DR1,'[21]RK FORN SET 25'!$A$1:$M$118,12,FALSE)</f>
        <v>49.87</v>
      </c>
      <c r="DT23" s="33">
        <f>VLOOKUP(DR1,'[21]RK FORN SET 25'!$A$1:$M$118,13,FALSE)</f>
        <v>0.01</v>
      </c>
      <c r="DU23" s="33">
        <f>VLOOKUP(DU1,'[21]RK FORN SET 25'!$A$1:$M$118,8,FALSE)</f>
        <v>71.7</v>
      </c>
      <c r="DV23" s="33">
        <f>VLOOKUP(DU1,'[21]RK FORN SET 25'!$A$1:$M$118,12,FALSE)</f>
        <v>27.41</v>
      </c>
      <c r="DW23" s="33">
        <f>VLOOKUP(DU1,'[21]RK FORN SET 25'!$A$1:$M$118,13,FALSE)</f>
        <v>0</v>
      </c>
      <c r="DX23" s="33">
        <f>VLOOKUP(DX1,'[21]RK FORN SET 25'!$A$1:$M$118,8,FALSE)</f>
        <v>705.49</v>
      </c>
      <c r="DY23" s="33">
        <f>VLOOKUP(DX1,'[21]RK FORN SET 25'!$A$1:$M$118,12,FALSE)</f>
        <v>32.57</v>
      </c>
      <c r="DZ23" s="33">
        <f>VLOOKUP(DX1,'[21]RK FORN SET 25'!$A$1:$M$118,13,FALSE)</f>
        <v>0.04</v>
      </c>
      <c r="EA23" s="33">
        <f>VLOOKUP(EA1,'[21]RK FORN SET 25'!$A$1:$M$118,8,FALSE)</f>
        <v>163.02000000000001</v>
      </c>
      <c r="EB23" s="33">
        <f>VLOOKUP(EA1,'[21]RK FORN SET 25'!$A$1:$M$118,12,FALSE)</f>
        <v>45.13</v>
      </c>
      <c r="EC23" s="33">
        <f>VLOOKUP(EA1,'[21]RK FORN SET 25'!$A$1:$M$118,13,FALSE)</f>
        <v>0.01</v>
      </c>
    </row>
    <row r="24" spans="1:133" x14ac:dyDescent="0.2">
      <c r="A24" s="32">
        <v>45931</v>
      </c>
      <c r="B24" s="33">
        <f>VLOOKUP(B1,'[22]RK FORN OUT 25'!$A$1:$M$118,8,FALSE)</f>
        <v>380933.45199999999</v>
      </c>
      <c r="C24" s="36">
        <f>VLOOKUP(B1,'[22]RK FORN OUT 25'!$A$1:$M$118,12,FALSE)</f>
        <v>28.87</v>
      </c>
      <c r="D24" s="36">
        <f>VLOOKUP(B1,'[22]RK FORN OUT 25'!$A$1:$M$118,13,FALSE)</f>
        <v>20.66</v>
      </c>
      <c r="E24" s="33">
        <f>VLOOKUP(E1,'[22]RK FORN OUT 25'!$A$1:$M$118,8,FALSE)</f>
        <v>182032.0637</v>
      </c>
      <c r="F24" s="36">
        <f>VLOOKUP(E1,'[22]RK FORN OUT 25'!$A$1:$M$118,12,FALSE)</f>
        <v>39.06</v>
      </c>
      <c r="G24" s="36">
        <f>VLOOKUP(E1,'[22]RK FORN OUT 25'!$A$1:$M$118,13,FALSE)</f>
        <v>9.2899999999999991</v>
      </c>
      <c r="H24" s="33">
        <f>VLOOKUP(H1,'[22]RK FORN OUT 25'!$A$1:$M$118,8,FALSE)</f>
        <v>36054.240100000003</v>
      </c>
      <c r="I24" s="36">
        <f>VLOOKUP(H1,'[22]RK FORN OUT 25'!$A$1:$M$118,12,FALSE)</f>
        <v>38.83</v>
      </c>
      <c r="J24" s="36">
        <f>VLOOKUP(H1,'[22]RK FORN OUT 25'!$A$1:$M$118,13,FALSE)</f>
        <v>1.82</v>
      </c>
      <c r="K24" s="33">
        <f>VLOOKUP(K1,'[22]RK FORN OUT 25'!$A$1:$M$118,8,FALSE)</f>
        <v>130157.56</v>
      </c>
      <c r="L24" s="36">
        <f>VLOOKUP(K1,'[22]RK FORN OUT 25'!$A$1:$M$118,12,FALSE)</f>
        <v>39.74</v>
      </c>
      <c r="M24" s="36">
        <f>VLOOKUP(K1,'[22]RK FORN OUT 25'!$A$1:$M$118,13,FALSE)</f>
        <v>6.62</v>
      </c>
      <c r="N24" s="33">
        <f>VLOOKUP(N1,'[22]RK FORN OUT 25'!$A$1:$M$118,8,FALSE)</f>
        <v>159905.28159999999</v>
      </c>
      <c r="O24" s="36">
        <f>VLOOKUP(N1,'[22]RK FORN OUT 25'!$A$1:$M$118,12,FALSE)</f>
        <v>41.48</v>
      </c>
      <c r="P24" s="36">
        <f>VLOOKUP(N1,'[22]RK FORN OUT 25'!$A$1:$M$118,13,FALSE)</f>
        <v>8.24</v>
      </c>
      <c r="Q24" s="33">
        <f>VLOOKUP(Q1,'[22]RK FORN OUT 25'!$A$1:$M$118,8,FALSE)</f>
        <v>123528.5122</v>
      </c>
      <c r="R24" s="36">
        <f>VLOOKUP(Q1,'[22]RK FORN OUT 25'!$A$1:$M$118,12,FALSE)</f>
        <v>35.5</v>
      </c>
      <c r="S24" s="36">
        <f>VLOOKUP(Q1,'[22]RK FORN OUT 25'!$A$1:$M$118,13,FALSE)</f>
        <v>6.49</v>
      </c>
      <c r="T24" s="33">
        <f>VLOOKUP(T1,'[22]RK FORN OUT 25'!$A$1:$M$118,8,FALSE)</f>
        <v>63423.27</v>
      </c>
      <c r="U24" s="36">
        <f>VLOOKUP(T1,'[22]RK FORN OUT 25'!$A$1:$M$118,12,FALSE)</f>
        <v>38.56</v>
      </c>
      <c r="V24" s="36">
        <f>VLOOKUP(T1,'[22]RK FORN OUT 25'!$A$1:$M$118,13,FALSE)</f>
        <v>3.22</v>
      </c>
      <c r="W24" s="33">
        <f>VLOOKUP(W1,'[22]RK FORN OUT 25'!$A$1:$M$118,8,FALSE)</f>
        <v>105736.2454</v>
      </c>
      <c r="X24" s="36">
        <f>VLOOKUP(W1,'[22]RK FORN OUT 25'!$A$1:$M$118,12,FALSE)</f>
        <v>37.64</v>
      </c>
      <c r="Y24" s="36">
        <f>VLOOKUP(W1,'[22]RK FORN OUT 25'!$A$1:$M$118,13,FALSE)</f>
        <v>5.42</v>
      </c>
      <c r="Z24" s="33">
        <f>VLOOKUP(Z1,'[22]RK FORN OUT 25'!$A$1:$M$118,8,FALSE)</f>
        <v>45187.881800000003</v>
      </c>
      <c r="AA24" s="36">
        <f>VLOOKUP(Z1,'[22]RK FORN OUT 25'!$A$1:$M$118,12,FALSE)</f>
        <v>41.92</v>
      </c>
      <c r="AB24" s="36">
        <f>VLOOKUP(Z1,'[22]RK FORN OUT 25'!$A$1:$M$118,13,FALSE)</f>
        <v>2.27</v>
      </c>
      <c r="AC24" s="33">
        <f>VLOOKUP(AC1,'[22]RK FORN OUT 25'!$A$1:$M$118,8,FALSE)</f>
        <v>105736.2454</v>
      </c>
      <c r="AD24" s="36">
        <f>VLOOKUP(AC1,'[22]RK FORN OUT 25'!$A$1:$M$118,12,FALSE)</f>
        <v>37.64</v>
      </c>
      <c r="AE24" s="36">
        <f>VLOOKUP(AC1,'[22]RK FORN OUT 25'!$A$1:$M$118,13,FALSE)</f>
        <v>5.42</v>
      </c>
      <c r="AF24" s="33">
        <f>VLOOKUP(AF1,'[22]RK FORN OUT 25'!$A$1:$M$118,8,FALSE)</f>
        <v>67328.210000000006</v>
      </c>
      <c r="AG24" s="36">
        <f>VLOOKUP(AF1,'[22]RK FORN OUT 25'!$A$1:$M$118,12,FALSE)</f>
        <v>31.03</v>
      </c>
      <c r="AH24" s="36">
        <f>VLOOKUP(AF1,'[22]RK FORN OUT 25'!$A$1:$M$118,13,FALSE)</f>
        <v>3.51</v>
      </c>
      <c r="AI24" s="33">
        <f>VLOOKUP(AI1,'[22]RK FORN OUT 25'!$A$1:$M$118,8,FALSE)</f>
        <v>3220.2588000000001</v>
      </c>
      <c r="AJ24" s="36">
        <f>VLOOKUP(AI1,'[22]RK FORN OUT 25'!$A$1:$M$118,12,FALSE)</f>
        <v>38.04</v>
      </c>
      <c r="AK24" s="36">
        <f>VLOOKUP(AI1,'[22]RK FORN OUT 25'!$A$1:$M$118,13,FALSE)</f>
        <v>0.17</v>
      </c>
      <c r="AL24" s="33">
        <f>VLOOKUP(AL1,'[22]RK FORN OUT 25'!$A$1:$M$118,8,FALSE)</f>
        <v>30675.08</v>
      </c>
      <c r="AM24" s="36">
        <f>VLOOKUP(AL1,'[22]RK FORN OUT 25'!$A$1:$M$118,12,FALSE)</f>
        <v>46.07</v>
      </c>
      <c r="AN24" s="36">
        <f>VLOOKUP(AL1,'[22]RK FORN OUT 25'!$A$1:$M$118,13,FALSE)</f>
        <v>1.54</v>
      </c>
      <c r="AO24" s="33">
        <f>VLOOKUP(AO1,'[22]RK FORN OUT 25'!$A$1:$M$118,8,FALSE)</f>
        <v>52374.58</v>
      </c>
      <c r="AP24" s="36">
        <f>VLOOKUP(AO1,'[22]RK FORN OUT 25'!$A$1:$M$118,12,FALSE)</f>
        <v>17.11</v>
      </c>
      <c r="AQ24" s="36">
        <f>VLOOKUP(AO1,'[22]RK FORN OUT 25'!$A$1:$M$118,13,FALSE)</f>
        <v>2.71</v>
      </c>
      <c r="AR24" s="33">
        <f>VLOOKUP(AR1,'[22]RK FORN OUT 25'!$A$1:$M$118,8,FALSE)</f>
        <v>31386.26</v>
      </c>
      <c r="AS24" s="36">
        <f>VLOOKUP(AR1,'[22]RK FORN OUT 25'!$A$1:$M$118,12,FALSE)</f>
        <v>30.17</v>
      </c>
      <c r="AT24" s="36">
        <f>VLOOKUP(AR1,'[22]RK FORN OUT 25'!$A$1:$M$118,13,FALSE)</f>
        <v>1.65</v>
      </c>
      <c r="AU24" s="33">
        <f>VLOOKUP(AU1,'[22]RK FORN OUT 25'!$A$1:$M$118,8,FALSE)</f>
        <v>44748.93</v>
      </c>
      <c r="AV24" s="36">
        <f>VLOOKUP(AU1,'[22]RK FORN OUT 25'!$A$1:$M$118,12,FALSE)</f>
        <v>36.24</v>
      </c>
      <c r="AW24" s="36">
        <f>VLOOKUP(AU1,'[22]RK FORN OUT 25'!$A$1:$M$118,13,FALSE)</f>
        <v>2.34</v>
      </c>
      <c r="AX24" s="33">
        <f>VLOOKUP(AX1,'[22]RK FORN OUT 25'!$A$1:$M$118,8,FALSE)</f>
        <v>35160.93</v>
      </c>
      <c r="AY24" s="36">
        <f>VLOOKUP(AX1,'[22]RK FORN OUT 25'!$A$1:$M$118,12,FALSE)</f>
        <v>26.6</v>
      </c>
      <c r="AZ24" s="36">
        <f>VLOOKUP(AX1,'[22]RK FORN OUT 25'!$A$1:$M$118,13,FALSE)</f>
        <v>1.78</v>
      </c>
      <c r="BA24" s="33">
        <f>VLOOKUP(BA1,'[22]RK FORN OUT 25'!$A$1:$M$118,8,FALSE)</f>
        <v>26862.720000000001</v>
      </c>
      <c r="BB24" s="36">
        <f>VLOOKUP(BA1,'[22]RK FORN OUT 25'!$A$1:$M$118,12,FALSE)</f>
        <v>36.49</v>
      </c>
      <c r="BC24" s="36">
        <f>VLOOKUP(BA1,'[22]RK FORN OUT 25'!$A$1:$M$118,13,FALSE)</f>
        <v>1.37</v>
      </c>
      <c r="BD24" s="33">
        <f>VLOOKUP(BD1,'[22]RK FORN OUT 25'!$A$1:$M$118,8,FALSE)</f>
        <v>18194.330000000002</v>
      </c>
      <c r="BE24" s="36">
        <f>VLOOKUP(BD1,'[22]RK FORN OUT 25'!$A$1:$M$118,12,FALSE)</f>
        <v>46.01</v>
      </c>
      <c r="BF24" s="36">
        <f>VLOOKUP(BD1,'[22]RK FORN OUT 25'!$A$1:$M$118,13,FALSE)</f>
        <v>0.92</v>
      </c>
      <c r="BG24" s="33">
        <f>VLOOKUP(BG1,'[22]RK FORN OUT 25'!$A$1:$M$118,8,FALSE)</f>
        <v>9975.5300000000007</v>
      </c>
      <c r="BH24" s="36">
        <f>VLOOKUP(BG1,'[22]RK FORN OUT 25'!$A$1:$M$118,12,FALSE)</f>
        <v>45.43</v>
      </c>
      <c r="BI24" s="36">
        <f>VLOOKUP(BG1,'[22]RK FORN OUT 25'!$A$1:$M$118,13,FALSE)</f>
        <v>0.5</v>
      </c>
      <c r="BJ24" s="33">
        <f>VLOOKUP(BJ1,'[22]RK FORN OUT 25'!$A$1:$M$118,8,FALSE)</f>
        <v>10108.460999999999</v>
      </c>
      <c r="BK24" s="36">
        <f>VLOOKUP(BJ1,'[22]RK FORN OUT 25'!$A$1:$M$118,12,FALSE)</f>
        <v>42.04</v>
      </c>
      <c r="BL24" s="36">
        <f>VLOOKUP(BJ1,'[22]RK FORN OUT 25'!$A$1:$M$118,13,FALSE)</f>
        <v>0.51</v>
      </c>
      <c r="BM24" s="33" t="e">
        <f>VLOOKUP(BM1,'[22]RK FORN OUT 25'!$A$1:$M$118,8,FALSE)</f>
        <v>#N/A</v>
      </c>
      <c r="BN24" s="36" t="e">
        <f>VLOOKUP(BM1,'[22]RK FORN OUT 25'!$A$1:$M$118,12,FALSE)</f>
        <v>#N/A</v>
      </c>
      <c r="BO24" s="36" t="e">
        <f>VLOOKUP(BM1,'[22]RK FORN OUT 25'!$A$1:$M$118,13,FALSE)</f>
        <v>#N/A</v>
      </c>
      <c r="BP24" s="33">
        <f>VLOOKUP(BP1,'[22]RK FORN OUT 25'!$A$1:$M$118,8,FALSE)</f>
        <v>17724.7</v>
      </c>
      <c r="BQ24" s="36">
        <f>VLOOKUP(BP1,'[22]RK FORN OUT 25'!$A$1:$M$118,12,FALSE)</f>
        <v>41.67</v>
      </c>
      <c r="BR24" s="36">
        <f>VLOOKUP(BP1,'[22]RK FORN OUT 25'!$A$1:$M$118,13,FALSE)</f>
        <v>0.92</v>
      </c>
      <c r="BS24" s="33">
        <f>VLOOKUP(BS1,'[22]RK FORN OUT 25'!$A$1:$M$118,8,FALSE)</f>
        <v>16703</v>
      </c>
      <c r="BT24" s="36">
        <f>VLOOKUP(BS1,'[22]RK FORN OUT 25'!$A$1:$M$118,12,FALSE)</f>
        <v>39.68</v>
      </c>
      <c r="BU24" s="36">
        <f>VLOOKUP(BS1,'[22]RK FORN OUT 25'!$A$1:$M$118,13,FALSE)</f>
        <v>0.84</v>
      </c>
      <c r="BV24" s="33">
        <f>VLOOKUP(BV1,'[22]RK FORN OUT 25'!$A$1:$M$118,8,FALSE)</f>
        <v>13460.06</v>
      </c>
      <c r="BW24" s="36">
        <f>VLOOKUP(BV1,'[22]RK FORN OUT 25'!$A$1:$M$118,12,FALSE)</f>
        <v>35.42</v>
      </c>
      <c r="BX24" s="36">
        <f>VLOOKUP(BV1,'[22]RK FORN OUT 25'!$A$1:$M$118,13,FALSE)</f>
        <v>0.67</v>
      </c>
      <c r="BY24" s="33">
        <f>VLOOKUP(BY1,'[22]RK FORN OUT 25'!$A$1:$M$118,8,FALSE)</f>
        <v>14974.69</v>
      </c>
      <c r="BZ24" s="36">
        <f>VLOOKUP(BY1,'[22]RK FORN OUT 25'!$A$1:$M$118,12,FALSE)</f>
        <v>41.45</v>
      </c>
      <c r="CA24" s="36">
        <f>VLOOKUP(BY1,'[22]RK FORN OUT 25'!$A$1:$M$118,13,FALSE)</f>
        <v>0.77</v>
      </c>
      <c r="CB24" s="33">
        <f>VLOOKUP(CB1,'[22]RK FORN OUT 25'!$A$1:$M$118,8,FALSE)</f>
        <v>13249.84</v>
      </c>
      <c r="CC24" s="36">
        <f>VLOOKUP(CB1,'[22]RK FORN OUT 25'!$A$1:$M$118,12,FALSE)</f>
        <v>44.09</v>
      </c>
      <c r="CD24" s="36">
        <f>VLOOKUP(CB1,'[22]RK FORN OUT 25'!$A$1:$M$118,13,FALSE)</f>
        <v>0.69</v>
      </c>
      <c r="CE24" s="33">
        <f>VLOOKUP(CE1,'[22]RK FORN OUT 25'!$A$1:$M$118,8,FALSE)</f>
        <v>9455.82</v>
      </c>
      <c r="CF24" s="36">
        <f>VLOOKUP(CE1,'[22]RK FORN OUT 25'!$A$1:$M$118,12,FALSE)</f>
        <v>40.04</v>
      </c>
      <c r="CG24" s="36">
        <f>VLOOKUP(CE1,'[22]RK FORN OUT 25'!$A$1:$M$118,13,FALSE)</f>
        <v>0.48</v>
      </c>
      <c r="CH24" s="33">
        <f>VLOOKUP(CH1,'[22]RK FORN OUT 25'!$A$1:$M$118,8,FALSE)</f>
        <v>13196.09</v>
      </c>
      <c r="CI24" s="36">
        <f>VLOOKUP(CH1,'[22]RK FORN OUT 25'!$A$1:$M$118,12,FALSE)</f>
        <v>38.89</v>
      </c>
      <c r="CJ24" s="36">
        <f>VLOOKUP(CH1,'[22]RK FORN OUT 25'!$A$1:$M$118,13,FALSE)</f>
        <v>0.66</v>
      </c>
      <c r="CK24" s="33">
        <f>VLOOKUP(CK1,'[22]RK FORN OUT 25'!$A$1:$M$118,8,FALSE)</f>
        <v>15485.59</v>
      </c>
      <c r="CL24" s="36">
        <f>VLOOKUP(CK1,'[22]RK FORN OUT 25'!$A$1:$M$118,12,FALSE)</f>
        <v>38.72</v>
      </c>
      <c r="CM24" s="36">
        <f>VLOOKUP(CK1,'[22]RK FORN OUT 25'!$A$1:$M$118,13,FALSE)</f>
        <v>0.79</v>
      </c>
      <c r="CN24" s="33">
        <f>VLOOKUP(CN1,'[22]RK FORN OUT 25'!$A$1:$M$118,8,FALSE)</f>
        <v>8908.49</v>
      </c>
      <c r="CO24" s="36">
        <f>VLOOKUP(CN1,'[22]RK FORN OUT 25'!$A$1:$M$118,12,FALSE)</f>
        <v>40.47</v>
      </c>
      <c r="CP24" s="36">
        <f>VLOOKUP(CN1,'[22]RK FORN OUT 25'!$A$1:$M$118,13,FALSE)</f>
        <v>0.47</v>
      </c>
      <c r="CQ24" s="33">
        <f>VLOOKUP(CQ1,'[22]RK FORN OUT 25'!$A$1:$M$118,8,FALSE)</f>
        <v>9734.74</v>
      </c>
      <c r="CR24" s="36">
        <f>VLOOKUP(CQ1,'[22]RK FORN OUT 25'!$A$1:$M$118,12,FALSE)</f>
        <v>43.07</v>
      </c>
      <c r="CS24" s="36">
        <f>VLOOKUP(CQ1,'[22]RK FORN OUT 25'!$A$1:$M$118,13,FALSE)</f>
        <v>0.51</v>
      </c>
      <c r="CT24" s="33">
        <f>VLOOKUP(CT1,'[22]RK FORN OUT 25'!$A$1:$M$118,8,FALSE)</f>
        <v>6917.8</v>
      </c>
      <c r="CU24" s="36">
        <f>VLOOKUP(CT1,'[22]RK FORN OUT 25'!$A$1:$M$118,12,FALSE)</f>
        <v>31.24</v>
      </c>
      <c r="CV24" s="36">
        <f>VLOOKUP(CT1,'[22]RK FORN OUT 25'!$A$1:$M$118,13,FALSE)</f>
        <v>0.38</v>
      </c>
      <c r="CW24" s="33">
        <f>VLOOKUP(CW1,'[22]RK FORN OUT 25'!$A$1:$M$118,8,FALSE)</f>
        <v>9530.2000000000007</v>
      </c>
      <c r="CX24" s="36">
        <f>VLOOKUP(CW1,'[22]RK FORN OUT 25'!$A$1:$M$118,12,FALSE)</f>
        <v>43.57</v>
      </c>
      <c r="CY24" s="36">
        <f>VLOOKUP(CW1,'[22]RK FORN OUT 25'!$A$1:$M$118,13,FALSE)</f>
        <v>0.48</v>
      </c>
      <c r="CZ24" s="33">
        <f>VLOOKUP(CZ1,'[22]RK FORN OUT 25'!$A$1:$M$118,8,FALSE)</f>
        <v>8742.44</v>
      </c>
      <c r="DA24" s="36">
        <f>VLOOKUP(CZ1,'[22]RK FORN OUT 25'!$A$1:$M$118,12,FALSE)</f>
        <v>38.81</v>
      </c>
      <c r="DB24" s="36">
        <f>VLOOKUP(CZ1,'[22]RK FORN OUT 25'!$A$1:$M$118,13,FALSE)</f>
        <v>0.45</v>
      </c>
      <c r="DC24" s="33">
        <f>VLOOKUP(DC1,'[22]RK FORN OUT 25'!$A$1:$M$118,8,FALSE)</f>
        <v>6441.12</v>
      </c>
      <c r="DD24" s="36">
        <f>VLOOKUP(DC1,'[22]RK FORN OUT 25'!$A$1:$M$118,12,FALSE)</f>
        <v>23.01</v>
      </c>
      <c r="DE24" s="36">
        <f>VLOOKUP(DC1,'[22]RK FORN OUT 25'!$A$1:$M$118,13,FALSE)</f>
        <v>0.34</v>
      </c>
      <c r="DF24" s="33">
        <f>VLOOKUP(DF1,'[22]RK FORN OUT 25'!$A$1:$M$118,8,FALSE)</f>
        <v>3984.33</v>
      </c>
      <c r="DG24" s="36">
        <f>VLOOKUP(DF1,'[22]RK FORN OUT 25'!$A$1:$M$118,12,FALSE)</f>
        <v>37.979999999999997</v>
      </c>
      <c r="DH24" s="36">
        <f>VLOOKUP(DF1,'[22]RK FORN OUT 25'!$A$1:$M$118,13,FALSE)</f>
        <v>0.21</v>
      </c>
      <c r="DI24" s="33">
        <f>VLOOKUP(DI1,'[22]RK FORN OUT 25'!$A$1:$M$118,8,FALSE)</f>
        <v>5413.64</v>
      </c>
      <c r="DJ24" s="36">
        <f>VLOOKUP(DI1,'[22]RK FORN OUT 25'!$A$1:$M$118,12,FALSE)</f>
        <v>43.61</v>
      </c>
      <c r="DK24" s="36">
        <f>VLOOKUP(DI1,'[22]RK FORN OUT 25'!$A$1:$M$118,13,FALSE)</f>
        <v>0.28000000000000003</v>
      </c>
      <c r="DL24" s="33">
        <f>VLOOKUP(DL1,'[22]RK FORN OUT 25'!$A$1:$M$118,8,FALSE)</f>
        <v>4171.76</v>
      </c>
      <c r="DM24" s="36">
        <f>VLOOKUP(DL1,'[22]RK FORN OUT 25'!$A$1:$M$118,12,FALSE)</f>
        <v>34.200000000000003</v>
      </c>
      <c r="DN24" s="36">
        <f>VLOOKUP(DL1,'[22]RK FORN OUT 25'!$A$1:$M$118,13,FALSE)</f>
        <v>0.21</v>
      </c>
      <c r="DO24" s="33">
        <f>VLOOKUP(DO1,'[22]RK FORN OUT 25'!$A$1:$M$118,8,FALSE)</f>
        <v>8197.11</v>
      </c>
      <c r="DP24" s="36">
        <f>VLOOKUP(DO1,'[22]RK FORN OUT 25'!$A$1:$M$118,12,FALSE)</f>
        <v>23.91</v>
      </c>
      <c r="DQ24" s="36">
        <f>VLOOKUP(DO1,'[22]RK FORN OUT 25'!$A$1:$M$118,13,FALSE)</f>
        <v>0.42</v>
      </c>
      <c r="DR24" s="33">
        <f>VLOOKUP(DR1,'[22]RK FORN OUT 25'!$A$1:$M$118,8,FALSE)</f>
        <v>860.72</v>
      </c>
      <c r="DS24" s="36">
        <f>VLOOKUP(DR1,'[22]RK FORN OUT 25'!$A$1:$M$118,12,FALSE)</f>
        <v>37.479999999999997</v>
      </c>
      <c r="DT24" s="36">
        <f>VLOOKUP(DR1,'[22]RK FORN OUT 25'!$A$1:$M$118,13,FALSE)</f>
        <v>0.04</v>
      </c>
      <c r="DU24" s="33" t="e">
        <f>VLOOKUP(DU1,'[22]RK FORN OUT 25'!$A$1:$M$118,8,FALSE)</f>
        <v>#N/A</v>
      </c>
      <c r="DV24" s="36" t="e">
        <f>VLOOKUP(DU1,'[22]RK FORN OUT 25'!$A$1:$M$118,12,FALSE)</f>
        <v>#N/A</v>
      </c>
      <c r="DW24" s="36" t="e">
        <f>VLOOKUP(DU1,'[22]RK FORN OUT 25'!$A$1:$M$118,13,FALSE)</f>
        <v>#N/A</v>
      </c>
      <c r="DX24" s="33">
        <f>VLOOKUP(DX1,'[22]RK FORN OUT 25'!$A$1:$M$118,8,FALSE)</f>
        <v>250.5</v>
      </c>
      <c r="DY24" s="36">
        <f>VLOOKUP(DX1,'[22]RK FORN OUT 25'!$A$1:$M$118,12,FALSE)</f>
        <v>38.61</v>
      </c>
      <c r="DZ24" s="36">
        <f>VLOOKUP(DX1,'[22]RK FORN OUT 25'!$A$1:$M$118,13,FALSE)</f>
        <v>0.01</v>
      </c>
      <c r="EA24" s="33">
        <f>VLOOKUP(EA1,'[22]RK FORN OUT 25'!$A$1:$M$118,8,FALSE)</f>
        <v>587.98400000000004</v>
      </c>
      <c r="EB24" s="36">
        <f>VLOOKUP(EA1,'[22]RK FORN OUT 25'!$A$1:$M$118,12,FALSE)</f>
        <v>43.73</v>
      </c>
      <c r="EC24" s="36">
        <f>VLOOKUP(EA1,'[22]RK FORN OUT 25'!$A$1:$M$118,13,FALSE)</f>
        <v>0.03</v>
      </c>
    </row>
    <row r="25" spans="1:133" x14ac:dyDescent="0.2">
      <c r="A25" s="32">
        <v>45962</v>
      </c>
      <c r="B25" s="33">
        <f>VLOOKUP(B1,'[23]RK FORN NOV 25'!$A$1:$M$118,8,FALSE)</f>
        <v>310377.57329999999</v>
      </c>
      <c r="C25" s="36">
        <f>VLOOKUP(B1,'[23]RK FORN NOV 25'!$A$1:$M$118,12,FALSE)</f>
        <v>34.42</v>
      </c>
      <c r="D25" s="36">
        <f>VLOOKUP(B1,'[23]RK FORN NOV 25'!$A$1:$M$118,13,FALSE)</f>
        <v>12.87</v>
      </c>
      <c r="E25" s="33">
        <f>VLOOKUP(E1,'[23]RK FORN NOV 25'!$A$1:$M$118,8,FALSE)</f>
        <v>272702.17749999999</v>
      </c>
      <c r="F25" s="36">
        <f>VLOOKUP(E1,'[23]RK FORN NOV 25'!$A$1:$M$118,12,FALSE)</f>
        <v>39.07</v>
      </c>
      <c r="G25" s="36">
        <f>VLOOKUP(E1,'[23]RK FORN NOV 25'!$A$1:$M$118,13,FALSE)</f>
        <v>11.03</v>
      </c>
      <c r="H25" s="33">
        <f>VLOOKUP(H1,'[23]RK FORN NOV 25'!$A$1:$M$118,8,FALSE)</f>
        <v>328121.79430000001</v>
      </c>
      <c r="I25" s="36">
        <f>VLOOKUP(H1,'[23]RK FORN NOV 25'!$A$1:$M$118,12,FALSE)</f>
        <v>35.83</v>
      </c>
      <c r="J25" s="36">
        <f>VLOOKUP(H1,'[23]RK FORN NOV 25'!$A$1:$M$118,13,FALSE)</f>
        <v>13.46</v>
      </c>
      <c r="K25" s="33">
        <f>VLOOKUP(K1,'[23]RK FORN NOV 25'!$A$1:$M$118,8,FALSE)</f>
        <v>216359</v>
      </c>
      <c r="L25" s="36">
        <f>VLOOKUP(K1,'[23]RK FORN NOV 25'!$A$1:$M$118,12,FALSE)</f>
        <v>41.32</v>
      </c>
      <c r="M25" s="36">
        <f>VLOOKUP(K1,'[23]RK FORN NOV 25'!$A$1:$M$118,13,FALSE)</f>
        <v>8.82</v>
      </c>
      <c r="N25" s="33">
        <f>VLOOKUP(N1,'[23]RK FORN NOV 25'!$A$1:$M$118,8,FALSE)</f>
        <v>196428.5025</v>
      </c>
      <c r="O25" s="36">
        <f>VLOOKUP(N1,'[23]RK FORN NOV 25'!$A$1:$M$118,12,FALSE)</f>
        <v>40.61</v>
      </c>
      <c r="P25" s="36">
        <f>VLOOKUP(N1,'[23]RK FORN NOV 25'!$A$1:$M$118,13,FALSE)</f>
        <v>8.09</v>
      </c>
      <c r="Q25" s="33">
        <f>VLOOKUP(Q1,'[23]RK FORN NOV 25'!$A$1:$M$118,8,FALSE)</f>
        <v>69732.757500000007</v>
      </c>
      <c r="R25" s="36">
        <f>VLOOKUP(Q1,'[23]RK FORN NOV 25'!$A$1:$M$118,12,FALSE)</f>
        <v>38.51</v>
      </c>
      <c r="S25" s="36">
        <f>VLOOKUP(Q1,'[23]RK FORN NOV 25'!$A$1:$M$118,13,FALSE)</f>
        <v>2.88</v>
      </c>
      <c r="T25" s="33">
        <f>VLOOKUP(T1,'[23]RK FORN NOV 25'!$A$1:$M$118,8,FALSE)</f>
        <v>89368.87</v>
      </c>
      <c r="U25" s="36">
        <f>VLOOKUP(T1,'[23]RK FORN NOV 25'!$A$1:$M$118,12,FALSE)</f>
        <v>37.49</v>
      </c>
      <c r="V25" s="36">
        <f>VLOOKUP(T1,'[23]RK FORN NOV 25'!$A$1:$M$118,13,FALSE)</f>
        <v>3.67</v>
      </c>
      <c r="W25" s="33">
        <f>VLOOKUP(W1,'[23]RK FORN NOV 25'!$A$1:$M$118,8,FALSE)</f>
        <v>62856.281600000002</v>
      </c>
      <c r="X25" s="36">
        <f>VLOOKUP(W1,'[23]RK FORN NOV 25'!$A$1:$M$118,12,FALSE)</f>
        <v>37.46</v>
      </c>
      <c r="Y25" s="36">
        <f>VLOOKUP(W1,'[23]RK FORN NOV 25'!$A$1:$M$118,13,FALSE)</f>
        <v>2.73</v>
      </c>
      <c r="Z25" s="33">
        <f>VLOOKUP(Z1,'[23]RK FORN NOV 25'!$A$1:$M$118,8,FALSE)</f>
        <v>86582.254199999996</v>
      </c>
      <c r="AA25" s="36">
        <f>VLOOKUP(Z1,'[23]RK FORN NOV 25'!$A$1:$M$118,12,FALSE)</f>
        <v>40.57</v>
      </c>
      <c r="AB25" s="36">
        <f>VLOOKUP(Z1,'[23]RK FORN NOV 25'!$A$1:$M$118,13,FALSE)</f>
        <v>3.76</v>
      </c>
      <c r="AC25" s="33">
        <f>VLOOKUP(AC1,'[23]RK FORN NOV 25'!$A$1:$M$118,8,FALSE)</f>
        <v>62856.281600000002</v>
      </c>
      <c r="AD25" s="36">
        <f>VLOOKUP(AC1,'[23]RK FORN NOV 25'!$A$1:$M$118,12,FALSE)</f>
        <v>37.46</v>
      </c>
      <c r="AE25" s="36">
        <f>VLOOKUP(AC1,'[23]RK FORN NOV 25'!$A$1:$M$118,13,FALSE)</f>
        <v>2.73</v>
      </c>
      <c r="AF25" s="33">
        <f>VLOOKUP(AF1,'[23]RK FORN NOV 25'!$A$1:$M$118,8,FALSE)</f>
        <v>49050.96</v>
      </c>
      <c r="AG25" s="36">
        <f>VLOOKUP(AF1,'[23]RK FORN NOV 25'!$A$1:$M$118,12,FALSE)</f>
        <v>31.22</v>
      </c>
      <c r="AH25" s="36">
        <f>VLOOKUP(AF1,'[23]RK FORN NOV 25'!$A$1:$M$118,13,FALSE)</f>
        <v>2.06</v>
      </c>
      <c r="AI25" s="33">
        <f>VLOOKUP(AI1,'[23]RK FORN NOV 25'!$A$1:$M$118,8,FALSE)</f>
        <v>107024.6669</v>
      </c>
      <c r="AJ25" s="36">
        <f>VLOOKUP(AI1,'[23]RK FORN NOV 25'!$A$1:$M$118,12,FALSE)</f>
        <v>32.56</v>
      </c>
      <c r="AK25" s="36">
        <f>VLOOKUP(AI1,'[23]RK FORN NOV 25'!$A$1:$M$118,13,FALSE)</f>
        <v>4.28</v>
      </c>
      <c r="AL25" s="33">
        <f>VLOOKUP(AL1,'[23]RK FORN NOV 25'!$A$1:$M$118,8,FALSE)</f>
        <v>53689.01</v>
      </c>
      <c r="AM25" s="36">
        <f>VLOOKUP(AL1,'[23]RK FORN NOV 25'!$A$1:$M$118,12,FALSE)</f>
        <v>42.64</v>
      </c>
      <c r="AN25" s="36">
        <f>VLOOKUP(AL1,'[23]RK FORN NOV 25'!$A$1:$M$118,13,FALSE)</f>
        <v>2.15</v>
      </c>
      <c r="AO25" s="33">
        <f>VLOOKUP(AO1,'[23]RK FORN NOV 25'!$A$1:$M$118,8,FALSE)</f>
        <v>30851.27</v>
      </c>
      <c r="AP25" s="36">
        <f>VLOOKUP(AO1,'[23]RK FORN NOV 25'!$A$1:$M$118,12,FALSE)</f>
        <v>20.61</v>
      </c>
      <c r="AQ25" s="36">
        <f>VLOOKUP(AO1,'[23]RK FORN NOV 25'!$A$1:$M$118,13,FALSE)</f>
        <v>1.23</v>
      </c>
      <c r="AR25" s="33">
        <f>VLOOKUP(AR1,'[23]RK FORN NOV 25'!$A$1:$M$118,8,FALSE)</f>
        <v>41556.870000000003</v>
      </c>
      <c r="AS25" s="36">
        <f>VLOOKUP(AR1,'[23]RK FORN NOV 25'!$A$1:$M$118,12,FALSE)</f>
        <v>28.97</v>
      </c>
      <c r="AT25" s="36">
        <f>VLOOKUP(AR1,'[23]RK FORN NOV 25'!$A$1:$M$118,13,FALSE)</f>
        <v>1.73</v>
      </c>
      <c r="AU25" s="33">
        <f>VLOOKUP(AU1,'[23]RK FORN NOV 25'!$A$1:$M$118,8,FALSE)</f>
        <v>39815.85</v>
      </c>
      <c r="AV25" s="36">
        <f>VLOOKUP(AU1,'[23]RK FORN NOV 25'!$A$1:$M$118,12,FALSE)</f>
        <v>38.57</v>
      </c>
      <c r="AW25" s="36">
        <f>VLOOKUP(AU1,'[23]RK FORN NOV 25'!$A$1:$M$118,13,FALSE)</f>
        <v>1.66</v>
      </c>
      <c r="AX25" s="33">
        <f>VLOOKUP(AX1,'[23]RK FORN NOV 25'!$A$1:$M$118,8,FALSE)</f>
        <v>32482.19</v>
      </c>
      <c r="AY25" s="36">
        <f>VLOOKUP(AX1,'[23]RK FORN NOV 25'!$A$1:$M$118,12,FALSE)</f>
        <v>27.76</v>
      </c>
      <c r="AZ25" s="36">
        <f>VLOOKUP(AX1,'[23]RK FORN NOV 25'!$A$1:$M$118,13,FALSE)</f>
        <v>1.29</v>
      </c>
      <c r="BA25" s="33">
        <f>VLOOKUP(BA1,'[23]RK FORN NOV 25'!$A$1:$M$118,8,FALSE)</f>
        <v>16696.41</v>
      </c>
      <c r="BB25" s="36">
        <f>VLOOKUP(BA1,'[23]RK FORN NOV 25'!$A$1:$M$118,12,FALSE)</f>
        <v>36.42</v>
      </c>
      <c r="BC25" s="36">
        <f>VLOOKUP(BA1,'[23]RK FORN NOV 25'!$A$1:$M$118,13,FALSE)</f>
        <v>0.69</v>
      </c>
      <c r="BD25" s="33">
        <f>VLOOKUP(BD1,'[23]RK FORN NOV 25'!$A$1:$M$118,8,FALSE)</f>
        <v>20182.52</v>
      </c>
      <c r="BE25" s="36">
        <f>VLOOKUP(BD1,'[23]RK FORN NOV 25'!$A$1:$M$118,12,FALSE)</f>
        <v>46.01</v>
      </c>
      <c r="BF25" s="36">
        <f>VLOOKUP(BD1,'[23]RK FORN NOV 25'!$A$1:$M$118,13,FALSE)</f>
        <v>0.81</v>
      </c>
      <c r="BG25" s="33">
        <f>VLOOKUP(BG1,'[23]RK FORN NOV 25'!$A$1:$M$118,8,FALSE)</f>
        <v>18224</v>
      </c>
      <c r="BH25" s="36">
        <f>VLOOKUP(BG1,'[23]RK FORN NOV 25'!$A$1:$M$118,12,FALSE)</f>
        <v>43.32</v>
      </c>
      <c r="BI25" s="36">
        <f>VLOOKUP(BG1,'[23]RK FORN NOV 25'!$A$1:$M$118,13,FALSE)</f>
        <v>0.74</v>
      </c>
      <c r="BJ25" s="33">
        <f>VLOOKUP(BJ1,'[23]RK FORN NOV 25'!$A$1:$M$118,8,FALSE)</f>
        <v>25555.035</v>
      </c>
      <c r="BK25" s="36">
        <f>VLOOKUP(BJ1,'[23]RK FORN NOV 25'!$A$1:$M$118,12,FALSE)</f>
        <v>47.11</v>
      </c>
      <c r="BL25" s="36">
        <f>VLOOKUP(BJ1,'[23]RK FORN NOV 25'!$A$1:$M$118,13,FALSE)</f>
        <v>1.1100000000000001</v>
      </c>
      <c r="BM25" s="33" t="e">
        <f>VLOOKUP(BM1,'[23]RK FORN NOV 25'!$A$1:$M$118,8,FALSE)</f>
        <v>#N/A</v>
      </c>
      <c r="BN25" s="36" t="e">
        <f>VLOOKUP(BM1,'[23]RK FORN NOV 25'!$A$1:$M$118,12,FALSE)</f>
        <v>#N/A</v>
      </c>
      <c r="BO25" s="36" t="e">
        <f>VLOOKUP(BM1,'[23]RK FORN NOV 25'!$A$1:$M$118,13,FALSE)</f>
        <v>#N/A</v>
      </c>
      <c r="BP25" s="33">
        <f>VLOOKUP(BP1,'[23]RK FORN NOV 25'!$A$1:$M$118,8,FALSE)</f>
        <v>12874.32</v>
      </c>
      <c r="BQ25" s="36">
        <f>VLOOKUP(BP1,'[23]RK FORN NOV 25'!$A$1:$M$118,12,FALSE)</f>
        <v>42.05</v>
      </c>
      <c r="BR25" s="36">
        <f>VLOOKUP(BP1,'[23]RK FORN NOV 25'!$A$1:$M$118,13,FALSE)</f>
        <v>0.55000000000000004</v>
      </c>
      <c r="BS25" s="33">
        <f>VLOOKUP(BS1,'[23]RK FORN NOV 25'!$A$1:$M$118,8,FALSE)</f>
        <v>14654.87</v>
      </c>
      <c r="BT25" s="36">
        <f>VLOOKUP(BS1,'[23]RK FORN NOV 25'!$A$1:$M$118,12,FALSE)</f>
        <v>39.54</v>
      </c>
      <c r="BU25" s="36">
        <f>VLOOKUP(BS1,'[23]RK FORN NOV 25'!$A$1:$M$118,13,FALSE)</f>
        <v>0.61</v>
      </c>
      <c r="BV25" s="33">
        <f>VLOOKUP(BV1,'[23]RK FORN NOV 25'!$A$1:$M$118,8,FALSE)</f>
        <v>12582.16</v>
      </c>
      <c r="BW25" s="36">
        <f>VLOOKUP(BV1,'[23]RK FORN NOV 25'!$A$1:$M$118,12,FALSE)</f>
        <v>35.64</v>
      </c>
      <c r="BX25" s="36">
        <f>VLOOKUP(BV1,'[23]RK FORN NOV 25'!$A$1:$M$118,13,FALSE)</f>
        <v>0.5</v>
      </c>
      <c r="BY25" s="33">
        <f>VLOOKUP(BY1,'[23]RK FORN NOV 25'!$A$1:$M$118,8,FALSE)</f>
        <v>13240.51</v>
      </c>
      <c r="BZ25" s="36">
        <f>VLOOKUP(BY1,'[23]RK FORN NOV 25'!$A$1:$M$118,12,FALSE)</f>
        <v>40.98</v>
      </c>
      <c r="CA25" s="36">
        <f>VLOOKUP(BY1,'[23]RK FORN NOV 25'!$A$1:$M$118,13,FALSE)</f>
        <v>0.54</v>
      </c>
      <c r="CB25" s="33">
        <f>VLOOKUP(CB1,'[23]RK FORN NOV 25'!$A$1:$M$118,8,FALSE)</f>
        <v>10917.33</v>
      </c>
      <c r="CC25" s="36">
        <f>VLOOKUP(CB1,'[23]RK FORN NOV 25'!$A$1:$M$118,12,FALSE)</f>
        <v>43.41</v>
      </c>
      <c r="CD25" s="36">
        <f>VLOOKUP(CB1,'[23]RK FORN NOV 25'!$A$1:$M$118,13,FALSE)</f>
        <v>0.44</v>
      </c>
      <c r="CE25" s="33">
        <f>VLOOKUP(CE1,'[23]RK FORN NOV 25'!$A$1:$M$118,8,FALSE)</f>
        <v>15827.36</v>
      </c>
      <c r="CF25" s="36">
        <f>VLOOKUP(CE1,'[23]RK FORN NOV 25'!$A$1:$M$118,12,FALSE)</f>
        <v>29.83</v>
      </c>
      <c r="CG25" s="36">
        <f>VLOOKUP(CE1,'[23]RK FORN NOV 25'!$A$1:$M$118,13,FALSE)</f>
        <v>0.63</v>
      </c>
      <c r="CH25" s="33">
        <f>VLOOKUP(CH1,'[23]RK FORN NOV 25'!$A$1:$M$118,8,FALSE)</f>
        <v>14862.81</v>
      </c>
      <c r="CI25" s="36">
        <f>VLOOKUP(CH1,'[23]RK FORN NOV 25'!$A$1:$M$118,12,FALSE)</f>
        <v>39.090000000000003</v>
      </c>
      <c r="CJ25" s="36">
        <f>VLOOKUP(CH1,'[23]RK FORN NOV 25'!$A$1:$M$118,13,FALSE)</f>
        <v>0.61</v>
      </c>
      <c r="CK25" s="33">
        <f>VLOOKUP(CK1,'[23]RK FORN NOV 25'!$A$1:$M$118,8,FALSE)</f>
        <v>12681.04</v>
      </c>
      <c r="CL25" s="36">
        <f>VLOOKUP(CK1,'[23]RK FORN NOV 25'!$A$1:$M$118,12,FALSE)</f>
        <v>38.76</v>
      </c>
      <c r="CM25" s="36">
        <f>VLOOKUP(CK1,'[23]RK FORN NOV 25'!$A$1:$M$118,13,FALSE)</f>
        <v>0.52</v>
      </c>
      <c r="CN25" s="33">
        <f>VLOOKUP(CN1,'[23]RK FORN NOV 25'!$A$1:$M$118,8,FALSE)</f>
        <v>9941.33</v>
      </c>
      <c r="CO25" s="36">
        <f>VLOOKUP(CN1,'[23]RK FORN NOV 25'!$A$1:$M$118,12,FALSE)</f>
        <v>40.81</v>
      </c>
      <c r="CP25" s="36">
        <f>VLOOKUP(CN1,'[23]RK FORN NOV 25'!$A$1:$M$118,13,FALSE)</f>
        <v>0.41</v>
      </c>
      <c r="CQ25" s="33">
        <f>VLOOKUP(CQ1,'[23]RK FORN NOV 25'!$A$1:$M$118,8,FALSE)</f>
        <v>10316.629999999999</v>
      </c>
      <c r="CR25" s="36">
        <f>VLOOKUP(CQ1,'[23]RK FORN NOV 25'!$A$1:$M$118,12,FALSE)</f>
        <v>43.88</v>
      </c>
      <c r="CS25" s="36">
        <f>VLOOKUP(CQ1,'[23]RK FORN NOV 25'!$A$1:$M$118,13,FALSE)</f>
        <v>0.42</v>
      </c>
      <c r="CT25" s="33">
        <f>VLOOKUP(CT1,'[23]RK FORN NOV 25'!$A$1:$M$118,8,FALSE)</f>
        <v>6738.36</v>
      </c>
      <c r="CU25" s="36">
        <f>VLOOKUP(CT1,'[23]RK FORN NOV 25'!$A$1:$M$118,12,FALSE)</f>
        <v>29.06</v>
      </c>
      <c r="CV25" s="36">
        <f>VLOOKUP(CT1,'[23]RK FORN NOV 25'!$A$1:$M$118,13,FALSE)</f>
        <v>0.31</v>
      </c>
      <c r="CW25" s="33">
        <f>VLOOKUP(CW1,'[23]RK FORN NOV 25'!$A$1:$M$118,8,FALSE)</f>
        <v>8358.33</v>
      </c>
      <c r="CX25" s="36">
        <f>VLOOKUP(CW1,'[23]RK FORN NOV 25'!$A$1:$M$118,12,FALSE)</f>
        <v>43.63</v>
      </c>
      <c r="CY25" s="36">
        <f>VLOOKUP(CW1,'[23]RK FORN NOV 25'!$A$1:$M$118,13,FALSE)</f>
        <v>0.34</v>
      </c>
      <c r="CZ25" s="33">
        <f>VLOOKUP(CZ1,'[23]RK FORN NOV 25'!$A$1:$M$118,8,FALSE)</f>
        <v>8225.27</v>
      </c>
      <c r="DA25" s="36">
        <f>VLOOKUP(CZ1,'[23]RK FORN NOV 25'!$A$1:$M$118,12,FALSE)</f>
        <v>38.33</v>
      </c>
      <c r="DB25" s="36">
        <f>VLOOKUP(CZ1,'[23]RK FORN NOV 25'!$A$1:$M$118,13,FALSE)</f>
        <v>0.34</v>
      </c>
      <c r="DC25" s="33">
        <f>VLOOKUP(DC1,'[23]RK FORN NOV 25'!$A$1:$M$118,8,FALSE)</f>
        <v>15438.28</v>
      </c>
      <c r="DD25" s="36">
        <f>VLOOKUP(DC1,'[23]RK FORN NOV 25'!$A$1:$M$118,12,FALSE)</f>
        <v>21.68</v>
      </c>
      <c r="DE25" s="36">
        <f>VLOOKUP(DC1,'[23]RK FORN NOV 25'!$A$1:$M$118,13,FALSE)</f>
        <v>0.62</v>
      </c>
      <c r="DF25" s="33">
        <f>VLOOKUP(DF1,'[23]RK FORN NOV 25'!$A$1:$M$118,8,FALSE)</f>
        <v>4268</v>
      </c>
      <c r="DG25" s="36">
        <f>VLOOKUP(DF1,'[23]RK FORN NOV 25'!$A$1:$M$118,12,FALSE)</f>
        <v>39.56</v>
      </c>
      <c r="DH25" s="36">
        <f>VLOOKUP(DF1,'[23]RK FORN NOV 25'!$A$1:$M$118,13,FALSE)</f>
        <v>0.19</v>
      </c>
      <c r="DI25" s="33">
        <f>VLOOKUP(DI1,'[23]RK FORN NOV 25'!$A$1:$M$118,8,FALSE)</f>
        <v>4279.28</v>
      </c>
      <c r="DJ25" s="36">
        <f>VLOOKUP(DI1,'[23]RK FORN NOV 25'!$A$1:$M$118,12,FALSE)</f>
        <v>41.61</v>
      </c>
      <c r="DK25" s="36">
        <f>VLOOKUP(DI1,'[23]RK FORN NOV 25'!$A$1:$M$118,13,FALSE)</f>
        <v>0.18</v>
      </c>
      <c r="DL25" s="33">
        <f>VLOOKUP(DL1,'[23]RK FORN NOV 25'!$A$1:$M$118,8,FALSE)</f>
        <v>4486.6499999999996</v>
      </c>
      <c r="DM25" s="36">
        <f>VLOOKUP(DL1,'[23]RK FORN NOV 25'!$A$1:$M$118,12,FALSE)</f>
        <v>41.07</v>
      </c>
      <c r="DN25" s="36">
        <f>VLOOKUP(DL1,'[23]RK FORN NOV 25'!$A$1:$M$118,13,FALSE)</f>
        <v>0.18</v>
      </c>
      <c r="DO25" s="33" t="e">
        <f>VLOOKUP(DO1,'[23]RK FORN NOV 25'!$A$1:$M$118,8,FALSE)</f>
        <v>#N/A</v>
      </c>
      <c r="DP25" s="36" t="e">
        <f>VLOOKUP(DO1,'[23]RK FORN NOV 25'!$A$1:$M$118,12,FALSE)</f>
        <v>#N/A</v>
      </c>
      <c r="DQ25" s="36" t="e">
        <f>VLOOKUP(DO1,'[23]RK FORN NOV 25'!$A$1:$M$118,13,FALSE)</f>
        <v>#N/A</v>
      </c>
      <c r="DR25" s="33">
        <f>VLOOKUP(DR1,'[23]RK FORN NOV 25'!$A$1:$M$118,8,FALSE)</f>
        <v>474.73</v>
      </c>
      <c r="DS25" s="36">
        <f>VLOOKUP(DR1,'[23]RK FORN NOV 25'!$A$1:$M$118,12,FALSE)</f>
        <v>45.51</v>
      </c>
      <c r="DT25" s="36">
        <f>VLOOKUP(DR1,'[23]RK FORN NOV 25'!$A$1:$M$118,13,FALSE)</f>
        <v>0.02</v>
      </c>
      <c r="DU25" s="33">
        <f>VLOOKUP(DU1,'[23]RK FORN NOV 25'!$A$1:$M$118,8,FALSE)</f>
        <v>1256.3</v>
      </c>
      <c r="DV25" s="36">
        <f>VLOOKUP(DU1,'[23]RK FORN NOV 25'!$A$1:$M$118,12,FALSE)</f>
        <v>33.11</v>
      </c>
      <c r="DW25" s="36">
        <f>VLOOKUP(DU1,'[23]RK FORN NOV 25'!$A$1:$M$118,13,FALSE)</f>
        <v>0.05</v>
      </c>
      <c r="DX25" s="33">
        <f>VLOOKUP(DX1,'[23]RK FORN NOV 25'!$A$1:$M$118,8,FALSE)</f>
        <v>97.8</v>
      </c>
      <c r="DY25" s="36">
        <f>VLOOKUP(DX1,'[23]RK FORN NOV 25'!$A$1:$M$118,12,FALSE)</f>
        <v>39.450000000000003</v>
      </c>
      <c r="DZ25" s="36">
        <f>VLOOKUP(DX1,'[23]RK FORN NOV 25'!$A$1:$M$118,13,FALSE)</f>
        <v>0</v>
      </c>
      <c r="EA25" s="33" t="e">
        <f>VLOOKUP(EA1,'[23]RK FORN NOV 25'!$A$1:$M$118,8,FALSE)</f>
        <v>#N/A</v>
      </c>
      <c r="EB25" s="36" t="e">
        <f>VLOOKUP(EA1,'[23]RK FORN NOV 25'!$A$1:$M$118,12,FALSE)</f>
        <v>#N/A</v>
      </c>
      <c r="EC25" s="36" t="e">
        <f>VLOOKUP(EA1,'[23]RK FORN NOV 25'!$A$1:$M$118,13,FALSE)</f>
        <v>#N/A</v>
      </c>
    </row>
    <row r="26" spans="1:133" x14ac:dyDescent="0.2">
      <c r="A26" s="32">
        <v>45992</v>
      </c>
      <c r="B26" s="33">
        <f>VLOOKUP(B1,'[24]RK FORN DEZ 25'!$A$1:$M$120,8,FALSE)</f>
        <v>410329.24690000003</v>
      </c>
      <c r="C26" s="36">
        <f>VLOOKUP(B1,'[24]RK FORN DEZ 25'!$A$1:$M$120,12,FALSE)</f>
        <v>31.3</v>
      </c>
      <c r="D26" s="36">
        <f>VLOOKUP(B1,'[24]RK FORN DEZ 25'!$A$1:$M$120,13,FALSE)</f>
        <v>18.34</v>
      </c>
      <c r="E26" s="33">
        <f>VLOOKUP(E1,'[24]RK FORN DEZ 25'!$A$1:$M$120,8,FALSE)</f>
        <v>273230.26</v>
      </c>
      <c r="F26" s="36">
        <f>VLOOKUP(E1,'[24]RK FORN DEZ 25'!$A$1:$M$120,12,FALSE)</f>
        <v>38.49</v>
      </c>
      <c r="G26" s="36">
        <f>VLOOKUP(E1,'[24]RK FORN DEZ 25'!$A$1:$M$120,13,FALSE)</f>
        <v>11.72</v>
      </c>
      <c r="H26" s="33">
        <f>VLOOKUP(H1,'[24]RK FORN DEZ 25'!$A$1:$M$120,8,FALSE)</f>
        <v>249486.80100000001</v>
      </c>
      <c r="I26" s="36">
        <f>VLOOKUP(H1,'[24]RK FORN DEZ 25'!$A$1:$M$120,12,FALSE)</f>
        <v>33.36</v>
      </c>
      <c r="J26" s="36">
        <f>VLOOKUP(H1,'[24]RK FORN DEZ 25'!$A$1:$M$120,13,FALSE)</f>
        <v>11.05</v>
      </c>
      <c r="K26" s="33">
        <f>VLOOKUP(K1,'[24]RK FORN DEZ 25'!$A$1:$M$120,8,FALSE)</f>
        <v>249781.28</v>
      </c>
      <c r="L26" s="36">
        <f>VLOOKUP(K1,'[24]RK FORN DEZ 25'!$A$1:$M$120,12,FALSE)</f>
        <v>41.52</v>
      </c>
      <c r="M26" s="36">
        <f>VLOOKUP(K1,'[24]RK FORN DEZ 25'!$A$1:$M$120,13,FALSE)</f>
        <v>10.67</v>
      </c>
      <c r="N26" s="33">
        <f>VLOOKUP(N1,'[24]RK FORN DEZ 25'!$A$1:$M$120,8,FALSE)</f>
        <v>179572.3204</v>
      </c>
      <c r="O26" s="36">
        <f>VLOOKUP(N1,'[24]RK FORN DEZ 25'!$A$1:$M$120,12,FALSE)</f>
        <v>40.22</v>
      </c>
      <c r="P26" s="36">
        <f>VLOOKUP(N1,'[24]RK FORN DEZ 25'!$A$1:$M$120,13,FALSE)</f>
        <v>7.89</v>
      </c>
      <c r="Q26" s="33">
        <f>VLOOKUP(Q1,'[24]RK FORN DEZ 25'!$A$1:$M$120,8,FALSE)</f>
        <v>42871.9836</v>
      </c>
      <c r="R26" s="36">
        <f>VLOOKUP(Q1,'[24]RK FORN DEZ 25'!$A$1:$M$120,12,FALSE)</f>
        <v>40.840000000000003</v>
      </c>
      <c r="S26" s="36">
        <f>VLOOKUP(Q1,'[24]RK FORN DEZ 25'!$A$1:$M$120,13,FALSE)</f>
        <v>1.97</v>
      </c>
      <c r="T26" s="33">
        <f>VLOOKUP(T1,'[24]RK FORN DEZ 25'!$A$1:$M$120,8,FALSE)</f>
        <v>87522.74</v>
      </c>
      <c r="U26" s="36">
        <f>VLOOKUP(T1,'[24]RK FORN DEZ 25'!$A$1:$M$120,12,FALSE)</f>
        <v>38.61</v>
      </c>
      <c r="V26" s="36">
        <f>VLOOKUP(T1,'[24]RK FORN DEZ 25'!$A$1:$M$120,13,FALSE)</f>
        <v>3.74</v>
      </c>
      <c r="W26" s="33">
        <f>VLOOKUP(W1,'[24]RK FORN DEZ 25'!$A$1:$M$120,8,FALSE)</f>
        <v>30929.273399999998</v>
      </c>
      <c r="X26" s="36">
        <f>VLOOKUP(W1,'[24]RK FORN DEZ 25'!$A$1:$M$120,12,FALSE)</f>
        <v>37.380000000000003</v>
      </c>
      <c r="Y26" s="36">
        <f>VLOOKUP(W1,'[24]RK FORN DEZ 25'!$A$1:$M$120,13,FALSE)</f>
        <v>1.41</v>
      </c>
      <c r="Z26" s="33">
        <f>VLOOKUP(Z1,'[24]RK FORN DEZ 25'!$A$1:$M$120,8,FALSE)</f>
        <v>37810.4764</v>
      </c>
      <c r="AA26" s="36">
        <f>VLOOKUP(Z1,'[24]RK FORN DEZ 25'!$A$1:$M$120,12,FALSE)</f>
        <v>40.33</v>
      </c>
      <c r="AB26" s="36">
        <f>VLOOKUP(Z1,'[24]RK FORN DEZ 25'!$A$1:$M$120,13,FALSE)</f>
        <v>1.92</v>
      </c>
      <c r="AC26" s="33">
        <f>VLOOKUP(AC1,'[24]RK FORN DEZ 25'!$A$1:$M$120,8,FALSE)</f>
        <v>30929.273399999998</v>
      </c>
      <c r="AD26" s="36">
        <f>VLOOKUP(AC1,'[24]RK FORN DEZ 25'!$A$1:$M$120,12,FALSE)</f>
        <v>37.380000000000003</v>
      </c>
      <c r="AE26" s="36">
        <f>VLOOKUP(AC1,'[24]RK FORN DEZ 25'!$A$1:$M$120,13,FALSE)</f>
        <v>1.41</v>
      </c>
      <c r="AF26" s="33">
        <f>VLOOKUP(AF1,'[24]RK FORN DEZ 25'!$A$1:$M$120,8,FALSE)</f>
        <v>42970.32</v>
      </c>
      <c r="AG26" s="36">
        <f>VLOOKUP(AF1,'[24]RK FORN DEZ 25'!$A$1:$M$120,12,FALSE)</f>
        <v>32.74</v>
      </c>
      <c r="AH26" s="36">
        <f>VLOOKUP(AF1,'[24]RK FORN DEZ 25'!$A$1:$M$120,13,FALSE)</f>
        <v>1.88</v>
      </c>
      <c r="AI26" s="33">
        <f>VLOOKUP(AI1,'[24]RK FORN DEZ 25'!$A$1:$M$120,8,FALSE)</f>
        <v>30903.417099999999</v>
      </c>
      <c r="AJ26" s="36">
        <f>VLOOKUP(AI1,'[24]RK FORN DEZ 25'!$A$1:$M$120,12,FALSE)</f>
        <v>34.119999999999997</v>
      </c>
      <c r="AK26" s="36">
        <f>VLOOKUP(AI1,'[24]RK FORN DEZ 25'!$A$1:$M$120,13,FALSE)</f>
        <v>1.52</v>
      </c>
      <c r="AL26" s="33">
        <f>VLOOKUP(AL1,'[24]RK FORN DEZ 25'!$A$1:$M$120,8,FALSE)</f>
        <v>60626.34</v>
      </c>
      <c r="AM26" s="36">
        <f>VLOOKUP(AL1,'[24]RK FORN DEZ 25'!$A$1:$M$120,12,FALSE)</f>
        <v>44.45</v>
      </c>
      <c r="AN26" s="36">
        <f>VLOOKUP(AL1,'[24]RK FORN DEZ 25'!$A$1:$M$120,13,FALSE)</f>
        <v>2.58</v>
      </c>
      <c r="AO26" s="33">
        <f>VLOOKUP(AO1,'[24]RK FORN DEZ 25'!$A$1:$M$120,8,FALSE)</f>
        <v>46682.9</v>
      </c>
      <c r="AP26" s="36">
        <f>VLOOKUP(AO1,'[24]RK FORN DEZ 25'!$A$1:$M$120,12,FALSE)</f>
        <v>19.09</v>
      </c>
      <c r="AQ26" s="36">
        <f>VLOOKUP(AO1,'[24]RK FORN DEZ 25'!$A$1:$M$120,13,FALSE)</f>
        <v>2.14</v>
      </c>
      <c r="AR26" s="33">
        <f>VLOOKUP(AR1,'[24]RK FORN DEZ 25'!$A$1:$M$120,8,FALSE)</f>
        <v>45420.94</v>
      </c>
      <c r="AS26" s="36">
        <f>VLOOKUP(AR1,'[24]RK FORN DEZ 25'!$A$1:$M$120,12,FALSE)</f>
        <v>26.87</v>
      </c>
      <c r="AT26" s="36">
        <f>VLOOKUP(AR1,'[24]RK FORN DEZ 25'!$A$1:$M$120,13,FALSE)</f>
        <v>1.98</v>
      </c>
      <c r="AU26" s="33">
        <f>VLOOKUP(AU1,'[24]RK FORN DEZ 25'!$A$1:$M$120,8,FALSE)</f>
        <v>25732.52</v>
      </c>
      <c r="AV26" s="36">
        <f>VLOOKUP(AU1,'[24]RK FORN DEZ 25'!$A$1:$M$120,12,FALSE)</f>
        <v>37.229999999999997</v>
      </c>
      <c r="AW26" s="36">
        <f>VLOOKUP(AU1,'[24]RK FORN DEZ 25'!$A$1:$M$120,13,FALSE)</f>
        <v>1.1200000000000001</v>
      </c>
      <c r="AX26" s="33">
        <f>VLOOKUP(AX1,'[24]RK FORN DEZ 25'!$A$1:$M$120,8,FALSE)</f>
        <v>24546.48</v>
      </c>
      <c r="AY26" s="36">
        <f>VLOOKUP(AX1,'[24]RK FORN DEZ 25'!$A$1:$M$120,12,FALSE)</f>
        <v>29.19</v>
      </c>
      <c r="AZ26" s="36">
        <f>VLOOKUP(AX1,'[24]RK FORN DEZ 25'!$A$1:$M$120,13,FALSE)</f>
        <v>1.05</v>
      </c>
      <c r="BA26" s="33">
        <f>VLOOKUP(BA1,'[24]RK FORN DEZ 25'!$A$1:$M$120,8,FALSE)</f>
        <v>17048.86</v>
      </c>
      <c r="BB26" s="36">
        <f>VLOOKUP(BA1,'[24]RK FORN DEZ 25'!$A$1:$M$120,12,FALSE)</f>
        <v>37.049999999999997</v>
      </c>
      <c r="BC26" s="36">
        <f>VLOOKUP(BA1,'[24]RK FORN DEZ 25'!$A$1:$M$120,13,FALSE)</f>
        <v>0.74</v>
      </c>
      <c r="BD26" s="33">
        <f>VLOOKUP(BD1,'[24]RK FORN DEZ 25'!$A$1:$M$120,8,FALSE)</f>
        <v>20194.400000000001</v>
      </c>
      <c r="BE26" s="36">
        <f>VLOOKUP(BD1,'[24]RK FORN DEZ 25'!$A$1:$M$120,12,FALSE)</f>
        <v>46.13</v>
      </c>
      <c r="BF26" s="36">
        <f>VLOOKUP(BD1,'[24]RK FORN DEZ 25'!$A$1:$M$120,13,FALSE)</f>
        <v>0.86</v>
      </c>
      <c r="BG26" s="33">
        <f>VLOOKUP(BG1,'[24]RK FORN DEZ 25'!$A$1:$M$120,8,FALSE)</f>
        <v>27120.22</v>
      </c>
      <c r="BH26" s="36">
        <f>VLOOKUP(BG1,'[24]RK FORN DEZ 25'!$A$1:$M$120,12,FALSE)</f>
        <v>46.38</v>
      </c>
      <c r="BI26" s="36">
        <f>VLOOKUP(BG1,'[24]RK FORN DEZ 25'!$A$1:$M$120,13,FALSE)</f>
        <v>1.1499999999999999</v>
      </c>
      <c r="BJ26" s="33">
        <f>VLOOKUP(BJ1,'[24]RK FORN DEZ 25'!$A$1:$M$120,8,FALSE)</f>
        <v>10675.115</v>
      </c>
      <c r="BK26" s="36">
        <f>VLOOKUP(BJ1,'[24]RK FORN DEZ 25'!$A$1:$M$120,12,FALSE)</f>
        <v>38.56</v>
      </c>
      <c r="BL26" s="36">
        <f>VLOOKUP(BJ1,'[24]RK FORN DEZ 25'!$A$1:$M$120,13,FALSE)</f>
        <v>0.45</v>
      </c>
      <c r="BM26" s="33" t="e">
        <f>VLOOKUP(BM1,'[24]RK FORN DEZ 25'!$A$1:$M$120,8,FALSE)</f>
        <v>#N/A</v>
      </c>
      <c r="BN26" s="36" t="e">
        <f>VLOOKUP(BM1,'[24]RK FORN DEZ 25'!$A$1:$M$120,12,FALSE)</f>
        <v>#N/A</v>
      </c>
      <c r="BO26" s="36" t="e">
        <f>VLOOKUP(BM1,'[24]RK FORN DEZ 25'!$A$1:$M$120,13,FALSE)</f>
        <v>#N/A</v>
      </c>
      <c r="BP26" s="33">
        <f>VLOOKUP(BP1,'[24]RK FORN DEZ 25'!$A$1:$M$120,8,FALSE)</f>
        <v>12798.86</v>
      </c>
      <c r="BQ26" s="36">
        <f>VLOOKUP(BP1,'[24]RK FORN DEZ 25'!$A$1:$M$120,12,FALSE)</f>
        <v>41.83</v>
      </c>
      <c r="BR26" s="36">
        <f>VLOOKUP(BP1,'[24]RK FORN DEZ 25'!$A$1:$M$120,13,FALSE)</f>
        <v>0.56999999999999995</v>
      </c>
      <c r="BS26" s="33">
        <f>VLOOKUP(BS1,'[24]RK FORN DEZ 25'!$A$1:$M$120,8,FALSE)</f>
        <v>11954.12</v>
      </c>
      <c r="BT26" s="36">
        <f>VLOOKUP(BS1,'[24]RK FORN DEZ 25'!$A$1:$M$120,12,FALSE)</f>
        <v>39.729999999999997</v>
      </c>
      <c r="BU26" s="36">
        <f>VLOOKUP(BS1,'[24]RK FORN DEZ 25'!$A$1:$M$120,13,FALSE)</f>
        <v>0.54</v>
      </c>
      <c r="BV26" s="33">
        <f>VLOOKUP(BV1,'[24]RK FORN DEZ 25'!$A$1:$M$120,8,FALSE)</f>
        <v>17173.580000000002</v>
      </c>
      <c r="BW26" s="36">
        <f>VLOOKUP(BV1,'[24]RK FORN DEZ 25'!$A$1:$M$120,12,FALSE)</f>
        <v>34.840000000000003</v>
      </c>
      <c r="BX26" s="36">
        <f>VLOOKUP(BV1,'[24]RK FORN DEZ 25'!$A$1:$M$120,13,FALSE)</f>
        <v>0.73</v>
      </c>
      <c r="BY26" s="33">
        <f>VLOOKUP(BY1,'[24]RK FORN DEZ 25'!$A$1:$M$120,8,FALSE)</f>
        <v>13586.65</v>
      </c>
      <c r="BZ26" s="36">
        <f>VLOOKUP(BY1,'[24]RK FORN DEZ 25'!$A$1:$M$120,12,FALSE)</f>
        <v>40.44</v>
      </c>
      <c r="CA26" s="36">
        <f>VLOOKUP(BY1,'[24]RK FORN DEZ 25'!$A$1:$M$120,13,FALSE)</f>
        <v>0.6</v>
      </c>
      <c r="CB26" s="33">
        <f>VLOOKUP(CB1,'[24]RK FORN DEZ 25'!$A$1:$M$120,8,FALSE)</f>
        <v>17179.75</v>
      </c>
      <c r="CC26" s="36">
        <f>VLOOKUP(CB1,'[24]RK FORN DEZ 25'!$A$1:$M$120,12,FALSE)</f>
        <v>45.24</v>
      </c>
      <c r="CD26" s="36">
        <f>VLOOKUP(CB1,'[24]RK FORN DEZ 25'!$A$1:$M$120,13,FALSE)</f>
        <v>0.74</v>
      </c>
      <c r="CE26" s="33">
        <f>VLOOKUP(CE1,'[24]RK FORN DEZ 25'!$A$1:$M$120,8,FALSE)</f>
        <v>16344.16</v>
      </c>
      <c r="CF26" s="36">
        <f>VLOOKUP(CE1,'[24]RK FORN DEZ 25'!$A$1:$M$120,12,FALSE)</f>
        <v>27.41</v>
      </c>
      <c r="CG26" s="36">
        <f>VLOOKUP(CE1,'[24]RK FORN DEZ 25'!$A$1:$M$120,13,FALSE)</f>
        <v>0.7</v>
      </c>
      <c r="CH26" s="33">
        <f>VLOOKUP(CH1,'[24]RK FORN DEZ 25'!$A$1:$M$120,8,FALSE)</f>
        <v>13054.99</v>
      </c>
      <c r="CI26" s="36">
        <f>VLOOKUP(CH1,'[24]RK FORN DEZ 25'!$A$1:$M$120,12,FALSE)</f>
        <v>39.1</v>
      </c>
      <c r="CJ26" s="36">
        <f>VLOOKUP(CH1,'[24]RK FORN DEZ 25'!$A$1:$M$120,13,FALSE)</f>
        <v>0.56000000000000005</v>
      </c>
      <c r="CK26" s="33">
        <f>VLOOKUP(CK1,'[24]RK FORN DEZ 25'!$A$1:$M$120,8,FALSE)</f>
        <v>8975.9699999999993</v>
      </c>
      <c r="CL26" s="36">
        <f>VLOOKUP(CK1,'[24]RK FORN DEZ 25'!$A$1:$M$120,12,FALSE)</f>
        <v>37.58</v>
      </c>
      <c r="CM26" s="36">
        <f>VLOOKUP(CK1,'[24]RK FORN DEZ 25'!$A$1:$M$120,13,FALSE)</f>
        <v>0.43</v>
      </c>
      <c r="CN26" s="33">
        <f>VLOOKUP(CN1,'[24]RK FORN DEZ 25'!$A$1:$M$120,8,FALSE)</f>
        <v>11608.26</v>
      </c>
      <c r="CO26" s="36">
        <f>VLOOKUP(CN1,'[24]RK FORN DEZ 25'!$A$1:$M$120,12,FALSE)</f>
        <v>39.17</v>
      </c>
      <c r="CP26" s="36">
        <f>VLOOKUP(CN1,'[24]RK FORN DEZ 25'!$A$1:$M$120,13,FALSE)</f>
        <v>0.52</v>
      </c>
      <c r="CQ26" s="33">
        <f>VLOOKUP(CQ1,'[24]RK FORN DEZ 25'!$A$1:$M$120,8,FALSE)</f>
        <v>10474.540000000001</v>
      </c>
      <c r="CR26" s="36">
        <f>VLOOKUP(CQ1,'[24]RK FORN DEZ 25'!$A$1:$M$120,12,FALSE)</f>
        <v>44.93</v>
      </c>
      <c r="CS26" s="36">
        <f>VLOOKUP(CQ1,'[24]RK FORN DEZ 25'!$A$1:$M$120,13,FALSE)</f>
        <v>0.45</v>
      </c>
      <c r="CT26" s="33">
        <f>VLOOKUP(CT1,'[24]RK FORN DEZ 25'!$A$1:$M$120,8,FALSE)</f>
        <v>14827.2</v>
      </c>
      <c r="CU26" s="36">
        <f>VLOOKUP(CT1,'[24]RK FORN DEZ 25'!$A$1:$M$120,12,FALSE)</f>
        <v>29.75</v>
      </c>
      <c r="CV26" s="36">
        <f>VLOOKUP(CT1,'[24]RK FORN DEZ 25'!$A$1:$M$120,13,FALSE)</f>
        <v>0.63</v>
      </c>
      <c r="CW26" s="33">
        <f>VLOOKUP(CW1,'[24]RK FORN DEZ 25'!$A$1:$M$120,8,FALSE)</f>
        <v>10485.92</v>
      </c>
      <c r="CX26" s="36">
        <f>VLOOKUP(CW1,'[24]RK FORN DEZ 25'!$A$1:$M$120,12,FALSE)</f>
        <v>44.87</v>
      </c>
      <c r="CY26" s="36">
        <f>VLOOKUP(CW1,'[24]RK FORN DEZ 25'!$A$1:$M$120,13,FALSE)</f>
        <v>0.45</v>
      </c>
      <c r="CZ26" s="33">
        <f>VLOOKUP(CZ1,'[24]RK FORN DEZ 25'!$A$1:$M$120,8,FALSE)</f>
        <v>10216.030000000001</v>
      </c>
      <c r="DA26" s="36">
        <f>VLOOKUP(CZ1,'[24]RK FORN DEZ 25'!$A$1:$M$120,12,FALSE)</f>
        <v>38.85</v>
      </c>
      <c r="DB26" s="36">
        <f>VLOOKUP(CZ1,'[24]RK FORN DEZ 25'!$A$1:$M$120,13,FALSE)</f>
        <v>0.44</v>
      </c>
      <c r="DC26" s="33">
        <f>VLOOKUP(DC1,'[24]RK FORN DEZ 25'!$A$1:$M$120,8,FALSE)</f>
        <v>4764.12</v>
      </c>
      <c r="DD26" s="36">
        <f>VLOOKUP(DC1,'[24]RK FORN DEZ 25'!$A$1:$M$120,12,FALSE)</f>
        <v>22.82</v>
      </c>
      <c r="DE26" s="36">
        <f>VLOOKUP(DC1,'[24]RK FORN DEZ 25'!$A$1:$M$120,13,FALSE)</f>
        <v>0.22</v>
      </c>
      <c r="DF26" s="33">
        <f>VLOOKUP(DF1,'[24]RK FORN DEZ 25'!$A$1:$M$120,8,FALSE)</f>
        <v>7135.75</v>
      </c>
      <c r="DG26" s="36">
        <f>VLOOKUP(DF1,'[24]RK FORN DEZ 25'!$A$1:$M$120,12,FALSE)</f>
        <v>38.880000000000003</v>
      </c>
      <c r="DH26" s="36">
        <f>VLOOKUP(DF1,'[24]RK FORN DEZ 25'!$A$1:$M$120,13,FALSE)</f>
        <v>0.31</v>
      </c>
      <c r="DI26" s="33">
        <f>VLOOKUP(DI1,'[24]RK FORN DEZ 25'!$A$1:$M$120,8,FALSE)</f>
        <v>5242.8599999999997</v>
      </c>
      <c r="DJ26" s="36">
        <f>VLOOKUP(DI1,'[24]RK FORN DEZ 25'!$A$1:$M$120,12,FALSE)</f>
        <v>41.03</v>
      </c>
      <c r="DK26" s="36">
        <f>VLOOKUP(DI1,'[24]RK FORN DEZ 25'!$A$1:$M$120,13,FALSE)</f>
        <v>0.26</v>
      </c>
      <c r="DL26" s="33">
        <f>VLOOKUP(DL1,'[24]RK FORN DEZ 25'!$A$1:$M$120,8,FALSE)</f>
        <v>5394.73</v>
      </c>
      <c r="DM26" s="36">
        <f>VLOOKUP(DL1,'[24]RK FORN DEZ 25'!$A$1:$M$120,12,FALSE)</f>
        <v>37.65</v>
      </c>
      <c r="DN26" s="36">
        <f>VLOOKUP(DL1,'[24]RK FORN DEZ 25'!$A$1:$M$120,13,FALSE)</f>
        <v>0.23</v>
      </c>
      <c r="DO26" s="33" t="e">
        <f>VLOOKUP(DO1,'[24]RK FORN DEZ 25'!$A$1:$M$120,8,FALSE)</f>
        <v>#N/A</v>
      </c>
      <c r="DP26" s="36" t="e">
        <f>VLOOKUP(DO1,'[24]RK FORN DEZ 25'!$A$1:$M$120,12,FALSE)</f>
        <v>#N/A</v>
      </c>
      <c r="DQ26" s="36" t="e">
        <f>VLOOKUP(DO1,'[24]RK FORN DEZ 25'!$A$1:$M$120,13,FALSE)</f>
        <v>#N/A</v>
      </c>
      <c r="DR26" s="33">
        <f>VLOOKUP(DR1,'[24]RK FORN DEZ 25'!$A$1:$M$120,8,FALSE)</f>
        <v>1844.52</v>
      </c>
      <c r="DS26" s="36">
        <f>VLOOKUP(DR1,'[24]RK FORN DEZ 25'!$A$1:$M$120,12,FALSE)</f>
        <v>42.82</v>
      </c>
      <c r="DT26" s="36">
        <f>VLOOKUP(DR1,'[24]RK FORN DEZ 25'!$A$1:$M$120,13,FALSE)</f>
        <v>0.08</v>
      </c>
      <c r="DU26" s="33">
        <f>VLOOKUP(DU1,'[24]RK FORN DEZ 25'!$A$1:$M$120,8,FALSE)</f>
        <v>1479.86</v>
      </c>
      <c r="DV26" s="36">
        <f>VLOOKUP(DU1,'[24]RK FORN DEZ 25'!$A$1:$M$120,12,FALSE)</f>
        <v>31.55</v>
      </c>
      <c r="DW26" s="36">
        <f>VLOOKUP(DU1,'[24]RK FORN DEZ 25'!$A$1:$M$120,13,FALSE)</f>
        <v>0.06</v>
      </c>
      <c r="DX26" s="33">
        <f>VLOOKUP(DX1,'[24]RK FORN DEZ 25'!$A$1:$M$120,8,FALSE)</f>
        <v>264.5</v>
      </c>
      <c r="DY26" s="36">
        <f>VLOOKUP(DX1,'[24]RK FORN DEZ 25'!$A$1:$M$120,12,FALSE)</f>
        <v>39.89</v>
      </c>
      <c r="DZ26" s="36">
        <f>VLOOKUP(DX1,'[24]RK FORN DEZ 25'!$A$1:$M$120,13,FALSE)</f>
        <v>0.01</v>
      </c>
      <c r="EA26" s="33" t="e">
        <f>VLOOKUP(EA1,'[24]RK FORN DEZ 25'!$A$1:$M$120,8,FALSE)</f>
        <v>#N/A</v>
      </c>
      <c r="EB26" s="36" t="e">
        <f>VLOOKUP(EA1,'[24]RK FORN DEZ 25'!$A$1:$M$120,12,FALSE)</f>
        <v>#N/A</v>
      </c>
      <c r="EC26" s="36" t="e">
        <f>VLOOKUP(EA1,'[24]RK FORN DEZ 25'!$A$1:$M$120,13,FALSE)</f>
        <v>#N/A</v>
      </c>
    </row>
    <row r="27" spans="1:133" x14ac:dyDescent="0.2">
      <c r="A27" s="32">
        <v>46023</v>
      </c>
      <c r="B27" s="33">
        <f>VLOOKUP(B1,'[25]RK FORN JAN 26'!$A$1:$M$120,8,FALSE)</f>
        <v>497176.30739999999</v>
      </c>
      <c r="C27" s="36">
        <f>VLOOKUP(B1,'[25]RK FORN JAN 26'!$A$1:$M$120,12,FALSE)</f>
        <v>31.33</v>
      </c>
      <c r="D27" s="36">
        <f>VLOOKUP(B1,'[25]RK FORN JAN 26'!$A$1:$M$120,13,FALSE)</f>
        <v>24.19</v>
      </c>
      <c r="E27" s="33">
        <f>VLOOKUP(E1,'[25]RK FORN JAN 26'!$A$1:$M$120,8,FALSE)</f>
        <v>128523.3716</v>
      </c>
      <c r="F27" s="36">
        <f>VLOOKUP(E1,'[25]RK FORN JAN 26'!$A$1:$M$120,12,FALSE)</f>
        <v>42.17</v>
      </c>
      <c r="G27" s="36">
        <f>VLOOKUP(E1,'[25]RK FORN JAN 26'!$A$1:$M$120,13,FALSE)</f>
        <v>6.15</v>
      </c>
      <c r="H27" s="33">
        <f>VLOOKUP(H1,'[25]RK FORN JAN 26'!$A$1:$M$120,8,FALSE)</f>
        <v>221285.62530000001</v>
      </c>
      <c r="I27" s="36">
        <f>VLOOKUP(H1,'[25]RK FORN JAN 26'!$A$1:$M$120,12,FALSE)</f>
        <v>35.57</v>
      </c>
      <c r="J27" s="36">
        <f>VLOOKUP(H1,'[25]RK FORN JAN 26'!$A$1:$M$120,13,FALSE)</f>
        <v>10.78</v>
      </c>
      <c r="K27" s="33">
        <f>VLOOKUP(K1,'[25]RK FORN JAN 26'!$A$1:$M$120,8,FALSE)</f>
        <v>126472.36</v>
      </c>
      <c r="L27" s="36">
        <f>VLOOKUP(K1,'[25]RK FORN JAN 26'!$A$1:$M$120,12,FALSE)</f>
        <v>40.9</v>
      </c>
      <c r="M27" s="36">
        <f>VLOOKUP(K1,'[25]RK FORN JAN 26'!$A$1:$M$120,13,FALSE)</f>
        <v>6.02</v>
      </c>
      <c r="N27" s="33">
        <f>VLOOKUP(N1,'[25]RK FORN JAN 26'!$A$1:$M$120,8,FALSE)</f>
        <v>188627.7066</v>
      </c>
      <c r="O27" s="36">
        <f>VLOOKUP(N1,'[25]RK FORN JAN 26'!$A$1:$M$120,12,FALSE)</f>
        <v>41</v>
      </c>
      <c r="P27" s="36">
        <f>VLOOKUP(N1,'[25]RK FORN JAN 26'!$A$1:$M$120,13,FALSE)</f>
        <v>8.9600000000000009</v>
      </c>
      <c r="Q27" s="33">
        <f>VLOOKUP(Q1,'[25]RK FORN JAN 26'!$A$1:$M$120,8,FALSE)</f>
        <v>50253.5141</v>
      </c>
      <c r="R27" s="36">
        <f>VLOOKUP(Q1,'[25]RK FORN JAN 26'!$A$1:$M$120,12,FALSE)</f>
        <v>39.25</v>
      </c>
      <c r="S27" s="36">
        <f>VLOOKUP(Q1,'[25]RK FORN JAN 26'!$A$1:$M$120,13,FALSE)</f>
        <v>2.41</v>
      </c>
      <c r="T27" s="33">
        <f>VLOOKUP(T1,'[25]RK FORN JAN 26'!$A$1:$M$120,8,FALSE)</f>
        <v>65460.21</v>
      </c>
      <c r="U27" s="36">
        <f>VLOOKUP(T1,'[25]RK FORN JAN 26'!$A$1:$M$120,12,FALSE)</f>
        <v>39.03</v>
      </c>
      <c r="V27" s="36">
        <f>VLOOKUP(T1,'[25]RK FORN JAN 26'!$A$1:$M$120,13,FALSE)</f>
        <v>3.23</v>
      </c>
      <c r="W27" s="33">
        <f>VLOOKUP(W1,'[25]RK FORN JAN 26'!$A$1:$M$120,8,FALSE)</f>
        <v>19820.161700000001</v>
      </c>
      <c r="X27" s="36">
        <f>VLOOKUP(W1,'[25]RK FORN JAN 26'!$A$1:$M$120,12,FALSE)</f>
        <v>36.049999999999997</v>
      </c>
      <c r="Y27" s="36">
        <f>VLOOKUP(W1,'[25]RK FORN JAN 26'!$A$1:$M$120,13,FALSE)</f>
        <v>0.93</v>
      </c>
      <c r="Z27" s="33">
        <f>VLOOKUP(Z1,'[25]RK FORN JAN 26'!$A$1:$M$120,8,FALSE)</f>
        <v>43939.106</v>
      </c>
      <c r="AA27" s="36">
        <f>VLOOKUP(Z1,'[25]RK FORN JAN 26'!$A$1:$M$120,12,FALSE)</f>
        <v>47.48</v>
      </c>
      <c r="AB27" s="36">
        <f>VLOOKUP(Z1,'[25]RK FORN JAN 26'!$A$1:$M$120,13,FALSE)</f>
        <v>2.17</v>
      </c>
      <c r="AC27" s="33">
        <f>VLOOKUP(AC1,'[25]RK FORN JAN 26'!$A$1:$M$120,8,FALSE)</f>
        <v>19820.161700000001</v>
      </c>
      <c r="AD27" s="36">
        <f>VLOOKUP(AC1,'[25]RK FORN JAN 26'!$A$1:$M$120,12,FALSE)</f>
        <v>36.049999999999997</v>
      </c>
      <c r="AE27" s="36">
        <f>VLOOKUP(AC1,'[25]RK FORN JAN 26'!$A$1:$M$120,13,FALSE)</f>
        <v>0.93</v>
      </c>
      <c r="AF27" s="33">
        <f>VLOOKUP(AF1,'[25]RK FORN JAN 26'!$A$1:$M$120,8,FALSE)</f>
        <v>53951.95</v>
      </c>
      <c r="AG27" s="36">
        <f>VLOOKUP(AF1,'[25]RK FORN JAN 26'!$A$1:$M$120,12,FALSE)</f>
        <v>29.79</v>
      </c>
      <c r="AH27" s="36">
        <f>VLOOKUP(AF1,'[25]RK FORN JAN 26'!$A$1:$M$120,13,FALSE)</f>
        <v>2.62</v>
      </c>
      <c r="AI27" s="33">
        <f>VLOOKUP(AI1,'[25]RK FORN JAN 26'!$A$1:$M$120,8,FALSE)</f>
        <v>39236.776400000002</v>
      </c>
      <c r="AJ27" s="36">
        <f>VLOOKUP(AI1,'[25]RK FORN JAN 26'!$A$1:$M$120,12,FALSE)</f>
        <v>35.270000000000003</v>
      </c>
      <c r="AK27" s="36">
        <f>VLOOKUP(AI1,'[25]RK FORN JAN 26'!$A$1:$M$120,13,FALSE)</f>
        <v>1.9</v>
      </c>
      <c r="AL27" s="33">
        <f>VLOOKUP(AL1,'[25]RK FORN JAN 26'!$A$1:$M$120,8,FALSE)</f>
        <v>31639.74</v>
      </c>
      <c r="AM27" s="36">
        <f>VLOOKUP(AL1,'[25]RK FORN JAN 26'!$A$1:$M$120,12,FALSE)</f>
        <v>45.91</v>
      </c>
      <c r="AN27" s="36">
        <f>VLOOKUP(AL1,'[25]RK FORN JAN 26'!$A$1:$M$120,13,FALSE)</f>
        <v>1.5</v>
      </c>
      <c r="AO27" s="33">
        <f>VLOOKUP(AO1,'[25]RK FORN JAN 26'!$A$1:$M$120,8,FALSE)</f>
        <v>5900.94</v>
      </c>
      <c r="AP27" s="36">
        <f>VLOOKUP(AO1,'[25]RK FORN JAN 26'!$A$1:$M$120,12,FALSE)</f>
        <v>24</v>
      </c>
      <c r="AQ27" s="36">
        <f>VLOOKUP(AO1,'[25]RK FORN JAN 26'!$A$1:$M$120,13,FALSE)</f>
        <v>0.3</v>
      </c>
      <c r="AR27" s="33">
        <f>VLOOKUP(AR1,'[25]RK FORN JAN 26'!$A$1:$M$120,8,FALSE)</f>
        <v>63681.91</v>
      </c>
      <c r="AS27" s="36">
        <f>VLOOKUP(AR1,'[25]RK FORN JAN 26'!$A$1:$M$120,12,FALSE)</f>
        <v>26.15</v>
      </c>
      <c r="AT27" s="36">
        <f>VLOOKUP(AR1,'[25]RK FORN JAN 26'!$A$1:$M$120,13,FALSE)</f>
        <v>3.07</v>
      </c>
      <c r="AU27" s="33">
        <f>VLOOKUP(AU1,'[25]RK FORN JAN 26'!$A$1:$M$120,8,FALSE)</f>
        <v>37910.43</v>
      </c>
      <c r="AV27" s="36">
        <f>VLOOKUP(AU1,'[25]RK FORN JAN 26'!$A$1:$M$120,12,FALSE)</f>
        <v>38.119999999999997</v>
      </c>
      <c r="AW27" s="36">
        <f>VLOOKUP(AU1,'[25]RK FORN JAN 26'!$A$1:$M$120,13,FALSE)</f>
        <v>1.9</v>
      </c>
      <c r="AX27" s="33">
        <f>VLOOKUP(AX1,'[25]RK FORN JAN 26'!$A$1:$M$120,8,FALSE)</f>
        <v>34788.44</v>
      </c>
      <c r="AY27" s="36">
        <f>VLOOKUP(AX1,'[25]RK FORN JAN 26'!$A$1:$M$120,12,FALSE)</f>
        <v>29.53</v>
      </c>
      <c r="AZ27" s="36">
        <f>VLOOKUP(AX1,'[25]RK FORN JAN 26'!$A$1:$M$120,13,FALSE)</f>
        <v>1.64</v>
      </c>
      <c r="BA27" s="33">
        <f>VLOOKUP(BA1,'[25]RK FORN JAN 26'!$A$1:$M$120,8,FALSE)</f>
        <v>18871.689999999999</v>
      </c>
      <c r="BB27" s="36">
        <f>VLOOKUP(BA1,'[25]RK FORN JAN 26'!$A$1:$M$120,12,FALSE)</f>
        <v>36.47</v>
      </c>
      <c r="BC27" s="36">
        <f>VLOOKUP(BA1,'[25]RK FORN JAN 26'!$A$1:$M$120,13,FALSE)</f>
        <v>0.89</v>
      </c>
      <c r="BD27" s="33">
        <f>VLOOKUP(BD1,'[25]RK FORN JAN 26'!$A$1:$M$120,8,FALSE)</f>
        <v>16586.68</v>
      </c>
      <c r="BE27" s="36">
        <f>VLOOKUP(BD1,'[25]RK FORN JAN 26'!$A$1:$M$120,12,FALSE)</f>
        <v>45.94</v>
      </c>
      <c r="BF27" s="36">
        <f>VLOOKUP(BD1,'[25]RK FORN JAN 26'!$A$1:$M$120,13,FALSE)</f>
        <v>0.78</v>
      </c>
      <c r="BG27" s="33">
        <f>VLOOKUP(BG1,'[25]RK FORN JAN 26'!$A$1:$M$120,8,FALSE)</f>
        <v>16295.24</v>
      </c>
      <c r="BH27" s="36">
        <f>VLOOKUP(BG1,'[25]RK FORN JAN 26'!$A$1:$M$120,12,FALSE)</f>
        <v>45.68</v>
      </c>
      <c r="BI27" s="36">
        <f>VLOOKUP(BG1,'[25]RK FORN JAN 26'!$A$1:$M$120,13,FALSE)</f>
        <v>0.77</v>
      </c>
      <c r="BJ27" s="33">
        <f>VLOOKUP(BJ1,'[25]RK FORN JAN 26'!$A$1:$M$120,8,FALSE)</f>
        <v>16241.775</v>
      </c>
      <c r="BK27" s="36">
        <f>VLOOKUP(BJ1,'[25]RK FORN JAN 26'!$A$1:$M$120,12,FALSE)</f>
        <v>44.84</v>
      </c>
      <c r="BL27" s="36">
        <f>VLOOKUP(BJ1,'[25]RK FORN JAN 26'!$A$1:$M$120,13,FALSE)</f>
        <v>0.76</v>
      </c>
      <c r="BM27" s="33" t="e">
        <f>VLOOKUP(BM1,'[25]RK FORN JAN 26'!$A$1:$M$120,8,FALSE)</f>
        <v>#N/A</v>
      </c>
      <c r="BN27" s="36" t="e">
        <f>VLOOKUP(BM1,'[25]RK FORN JAN 26'!$A$1:$M$120,12,FALSE)</f>
        <v>#N/A</v>
      </c>
      <c r="BO27" s="36" t="e">
        <f>VLOOKUP(BM1,'[25]RK FORN JAN 26'!$A$1:$M$120,13,FALSE)</f>
        <v>#N/A</v>
      </c>
      <c r="BP27" s="33">
        <f>VLOOKUP(BP1,'[25]RK FORN JAN 26'!$A$1:$M$120,8,FALSE)</f>
        <v>13943.01</v>
      </c>
      <c r="BQ27" s="36">
        <f>VLOOKUP(BP1,'[25]RK FORN JAN 26'!$A$1:$M$120,12,FALSE)</f>
        <v>41</v>
      </c>
      <c r="BR27" s="36">
        <f>VLOOKUP(BP1,'[25]RK FORN JAN 26'!$A$1:$M$120,13,FALSE)</f>
        <v>0.72</v>
      </c>
      <c r="BS27" s="33">
        <f>VLOOKUP(BS1,'[25]RK FORN JAN 26'!$A$1:$M$120,8,FALSE)</f>
        <v>4079.49</v>
      </c>
      <c r="BT27" s="36">
        <f>VLOOKUP(BS1,'[25]RK FORN JAN 26'!$A$1:$M$120,12,FALSE)</f>
        <v>39.770000000000003</v>
      </c>
      <c r="BU27" s="36">
        <f>VLOOKUP(BS1,'[25]RK FORN JAN 26'!$A$1:$M$120,13,FALSE)</f>
        <v>0.2</v>
      </c>
      <c r="BV27" s="33">
        <f>VLOOKUP(BV1,'[25]RK FORN JAN 26'!$A$1:$M$120,8,FALSE)</f>
        <v>13671.7</v>
      </c>
      <c r="BW27" s="36">
        <f>VLOOKUP(BV1,'[25]RK FORN JAN 26'!$A$1:$M$120,12,FALSE)</f>
        <v>36.43</v>
      </c>
      <c r="BX27" s="36">
        <f>VLOOKUP(BV1,'[25]RK FORN JAN 26'!$A$1:$M$120,13,FALSE)</f>
        <v>0.64</v>
      </c>
      <c r="BY27" s="33">
        <f>VLOOKUP(BY1,'[25]RK FORN JAN 26'!$A$1:$M$120,8,FALSE)</f>
        <v>10143.34</v>
      </c>
      <c r="BZ27" s="36">
        <f>VLOOKUP(BY1,'[25]RK FORN JAN 26'!$A$1:$M$120,12,FALSE)</f>
        <v>41.58</v>
      </c>
      <c r="CA27" s="36">
        <f>VLOOKUP(BY1,'[25]RK FORN JAN 26'!$A$1:$M$120,13,FALSE)</f>
        <v>0.49</v>
      </c>
      <c r="CB27" s="33">
        <f>VLOOKUP(CB1,'[25]RK FORN JAN 26'!$A$1:$M$120,8,FALSE)</f>
        <v>24848.7</v>
      </c>
      <c r="CC27" s="36">
        <f>VLOOKUP(CB1,'[25]RK FORN JAN 26'!$A$1:$M$120,12,FALSE)</f>
        <v>43.05</v>
      </c>
      <c r="CD27" s="36">
        <f>VLOOKUP(CB1,'[25]RK FORN JAN 26'!$A$1:$M$120,13,FALSE)</f>
        <v>1.17</v>
      </c>
      <c r="CE27" s="33">
        <f>VLOOKUP(CE1,'[25]RK FORN JAN 26'!$A$1:$M$120,8,FALSE)</f>
        <v>13506.3</v>
      </c>
      <c r="CF27" s="36">
        <f>VLOOKUP(CE1,'[25]RK FORN JAN 26'!$A$1:$M$120,12,FALSE)</f>
        <v>38.6</v>
      </c>
      <c r="CG27" s="36">
        <f>VLOOKUP(CE1,'[25]RK FORN JAN 26'!$A$1:$M$120,13,FALSE)</f>
        <v>0.65</v>
      </c>
      <c r="CH27" s="33">
        <f>VLOOKUP(CH1,'[25]RK FORN JAN 26'!$A$1:$M$120,8,FALSE)</f>
        <v>17446.04</v>
      </c>
      <c r="CI27" s="36">
        <f>VLOOKUP(CH1,'[25]RK FORN JAN 26'!$A$1:$M$120,12,FALSE)</f>
        <v>41.09</v>
      </c>
      <c r="CJ27" s="36">
        <f>VLOOKUP(CH1,'[25]RK FORN JAN 26'!$A$1:$M$120,13,FALSE)</f>
        <v>0.82</v>
      </c>
      <c r="CK27" s="33">
        <f>VLOOKUP(CK1,'[25]RK FORN JAN 26'!$A$1:$M$120,8,FALSE)</f>
        <v>11027.87</v>
      </c>
      <c r="CL27" s="36">
        <f>VLOOKUP(CK1,'[25]RK FORN JAN 26'!$A$1:$M$120,12,FALSE)</f>
        <v>40.119999999999997</v>
      </c>
      <c r="CM27" s="36">
        <f>VLOOKUP(CK1,'[25]RK FORN JAN 26'!$A$1:$M$120,13,FALSE)</f>
        <v>0.52</v>
      </c>
      <c r="CN27" s="33">
        <f>VLOOKUP(CN1,'[25]RK FORN JAN 26'!$A$1:$M$120,8,FALSE)</f>
        <v>10506.27</v>
      </c>
      <c r="CO27" s="36">
        <f>VLOOKUP(CN1,'[25]RK FORN JAN 26'!$A$1:$M$120,12,FALSE)</f>
        <v>40.159999999999997</v>
      </c>
      <c r="CP27" s="36">
        <f>VLOOKUP(CN1,'[25]RK FORN JAN 26'!$A$1:$M$120,13,FALSE)</f>
        <v>0.5</v>
      </c>
      <c r="CQ27" s="33">
        <f>VLOOKUP(CQ1,'[25]RK FORN JAN 26'!$A$1:$M$120,8,FALSE)</f>
        <v>8743.91</v>
      </c>
      <c r="CR27" s="36">
        <f>VLOOKUP(CQ1,'[25]RK FORN JAN 26'!$A$1:$M$120,12,FALSE)</f>
        <v>41.66</v>
      </c>
      <c r="CS27" s="36">
        <f>VLOOKUP(CQ1,'[25]RK FORN JAN 26'!$A$1:$M$120,13,FALSE)</f>
        <v>0.41</v>
      </c>
      <c r="CT27" s="33">
        <f>VLOOKUP(CT1,'[25]RK FORN JAN 26'!$A$1:$M$120,8,FALSE)</f>
        <v>16458.05</v>
      </c>
      <c r="CU27" s="36">
        <f>VLOOKUP(CT1,'[25]RK FORN JAN 26'!$A$1:$M$120,12,FALSE)</f>
        <v>30.25</v>
      </c>
      <c r="CV27" s="36">
        <f>VLOOKUP(CT1,'[25]RK FORN JAN 26'!$A$1:$M$120,13,FALSE)</f>
        <v>0.77</v>
      </c>
      <c r="CW27" s="33">
        <f>VLOOKUP(CW1,'[25]RK FORN JAN 26'!$A$1:$M$120,8,FALSE)</f>
        <v>10098.030000000001</v>
      </c>
      <c r="CX27" s="36">
        <f>VLOOKUP(CW1,'[25]RK FORN JAN 26'!$A$1:$M$120,12,FALSE)</f>
        <v>44.63</v>
      </c>
      <c r="CY27" s="36">
        <f>VLOOKUP(CW1,'[25]RK FORN JAN 26'!$A$1:$M$120,13,FALSE)</f>
        <v>0.5</v>
      </c>
      <c r="CZ27" s="33">
        <f>VLOOKUP(CZ1,'[25]RK FORN JAN 26'!$A$1:$M$120,8,FALSE)</f>
        <v>9900.6299999999992</v>
      </c>
      <c r="DA27" s="36">
        <f>VLOOKUP(CZ1,'[25]RK FORN JAN 26'!$A$1:$M$120,12,FALSE)</f>
        <v>38.130000000000003</v>
      </c>
      <c r="DB27" s="36">
        <f>VLOOKUP(CZ1,'[25]RK FORN JAN 26'!$A$1:$M$120,13,FALSE)</f>
        <v>0.48</v>
      </c>
      <c r="DC27" s="33">
        <f>VLOOKUP(DC1,'[25]RK FORN JAN 26'!$A$1:$M$120,8,FALSE)</f>
        <v>7974.02</v>
      </c>
      <c r="DD27" s="36">
        <f>VLOOKUP(DC1,'[25]RK FORN JAN 26'!$A$1:$M$120,12,FALSE)</f>
        <v>25.33</v>
      </c>
      <c r="DE27" s="36">
        <f>VLOOKUP(DC1,'[25]RK FORN JAN 26'!$A$1:$M$120,13,FALSE)</f>
        <v>0.37</v>
      </c>
      <c r="DF27" s="33">
        <f>VLOOKUP(DF1,'[25]RK FORN JAN 26'!$A$1:$M$120,8,FALSE)</f>
        <v>54302.42</v>
      </c>
      <c r="DG27" s="36">
        <f>VLOOKUP(DF1,'[25]RK FORN JAN 26'!$A$1:$M$120,12,FALSE)</f>
        <v>14.42</v>
      </c>
      <c r="DH27" s="36">
        <f>VLOOKUP(DF1,'[25]RK FORN JAN 26'!$A$1:$M$120,13,FALSE)</f>
        <v>2.56</v>
      </c>
      <c r="DI27" s="33">
        <f>VLOOKUP(DI1,'[25]RK FORN JAN 26'!$A$1:$M$120,8,FALSE)</f>
        <v>6726.64</v>
      </c>
      <c r="DJ27" s="36">
        <f>VLOOKUP(DI1,'[25]RK FORN JAN 26'!$A$1:$M$120,12,FALSE)</f>
        <v>44.39</v>
      </c>
      <c r="DK27" s="36">
        <f>VLOOKUP(DI1,'[25]RK FORN JAN 26'!$A$1:$M$120,13,FALSE)</f>
        <v>0.35</v>
      </c>
      <c r="DL27" s="33">
        <f>VLOOKUP(DL1,'[25]RK FORN JAN 26'!$A$1:$M$120,8,FALSE)</f>
        <v>4247.53</v>
      </c>
      <c r="DM27" s="36">
        <f>VLOOKUP(DL1,'[25]RK FORN JAN 26'!$A$1:$M$120,12,FALSE)</f>
        <v>42.8</v>
      </c>
      <c r="DN27" s="36">
        <f>VLOOKUP(DL1,'[25]RK FORN JAN 26'!$A$1:$M$120,13,FALSE)</f>
        <v>0.2</v>
      </c>
      <c r="DO27" s="33" t="e">
        <f>VLOOKUP(DO1,'[25]RK FORN JAN 26'!$A$1:$M$120,8,FALSE)</f>
        <v>#N/A</v>
      </c>
      <c r="DP27" s="36" t="e">
        <f>VLOOKUP(DO1,'[25]RK FORN JAN 26'!$A$1:$M$120,12,FALSE)</f>
        <v>#N/A</v>
      </c>
      <c r="DQ27" s="36" t="e">
        <f>VLOOKUP(DO1,'[25]RK FORN JAN 26'!$A$1:$M$120,13,FALSE)</f>
        <v>#N/A</v>
      </c>
      <c r="DR27" s="33">
        <f>VLOOKUP(DR1,'[25]RK FORN JAN 26'!$A$1:$M$120,8,FALSE)</f>
        <v>4215.97</v>
      </c>
      <c r="DS27" s="36">
        <f>VLOOKUP(DR1,'[25]RK FORN JAN 26'!$A$1:$M$120,12,FALSE)</f>
        <v>35.74</v>
      </c>
      <c r="DT27" s="36">
        <f>VLOOKUP(DR1,'[25]RK FORN JAN 26'!$A$1:$M$120,13,FALSE)</f>
        <v>0.2</v>
      </c>
      <c r="DU27" s="33">
        <f>VLOOKUP(DU1,'[25]RK FORN JAN 26'!$A$1:$M$120,8,FALSE)</f>
        <v>3582.5</v>
      </c>
      <c r="DV27" s="36">
        <f>VLOOKUP(DU1,'[25]RK FORN JAN 26'!$A$1:$M$120,12,FALSE)</f>
        <v>32.479999999999997</v>
      </c>
      <c r="DW27" s="36">
        <f>VLOOKUP(DU1,'[25]RK FORN JAN 26'!$A$1:$M$120,13,FALSE)</f>
        <v>0.17</v>
      </c>
      <c r="DX27" s="33">
        <f>VLOOKUP(DX1,'[25]RK FORN JAN 26'!$A$1:$M$120,8,FALSE)</f>
        <v>234.92</v>
      </c>
      <c r="DY27" s="36">
        <f>VLOOKUP(DX1,'[25]RK FORN JAN 26'!$A$1:$M$120,12,FALSE)</f>
        <v>36.81</v>
      </c>
      <c r="DZ27" s="36">
        <f>VLOOKUP(DX1,'[25]RK FORN JAN 26'!$A$1:$M$120,13,FALSE)</f>
        <v>0.01</v>
      </c>
      <c r="EA27" s="33">
        <f>VLOOKUP(EA1,'[25]RK FORN JAN 26'!$A$1:$M$120,8,FALSE)</f>
        <v>198.4768</v>
      </c>
      <c r="EB27" s="36">
        <f>VLOOKUP(EA1,'[25]RK FORN JAN 26'!$A$1:$M$120,12,FALSE)</f>
        <v>26.1</v>
      </c>
      <c r="EC27" s="36">
        <f>VLOOKUP(EA1,'[25]RK FORN JAN 26'!$A$1:$M$120,13,FALSE)</f>
        <v>0.02</v>
      </c>
    </row>
    <row r="28" spans="1:133" x14ac:dyDescent="0.2">
      <c r="A28" s="32">
        <v>46054</v>
      </c>
      <c r="B28" s="33">
        <f>VLOOKUP(B1,'[26]RK FORN FEV 26'!$A$1:$M$115,8,FALSE)</f>
        <v>413070.10680000001</v>
      </c>
      <c r="C28" s="36">
        <f>VLOOKUP(B1,'[26]RK FORN FEV 26'!$A$1:$M$115,12,FALSE)</f>
        <v>31.09</v>
      </c>
      <c r="D28" s="36">
        <f>VLOOKUP(B1,'[26]RK FORN FEV 26'!$A$1:$M$115,13,FALSE)</f>
        <v>25.29</v>
      </c>
      <c r="E28" s="33">
        <f>VLOOKUP(E1,'[26]RK FORN FEV 26'!$A$1:$M$115,8,FALSE)</f>
        <v>91112.112999999998</v>
      </c>
      <c r="F28" s="36">
        <f>VLOOKUP(E1,'[26]RK FORN FEV 26'!$A$1:$M$115,12,FALSE)</f>
        <v>40.75</v>
      </c>
      <c r="G28" s="36">
        <f>VLOOKUP(E1,'[26]RK FORN FEV 26'!$A$1:$M$115,13,FALSE)</f>
        <v>5.4</v>
      </c>
      <c r="H28" s="33">
        <f>VLOOKUP(H1,'[26]RK FORN FEV 26'!$A$1:$M$115,8,FALSE)</f>
        <v>86579.426300000006</v>
      </c>
      <c r="I28" s="36">
        <f>VLOOKUP(H1,'[26]RK FORN FEV 26'!$A$1:$M$115,12,FALSE)</f>
        <v>35.65</v>
      </c>
      <c r="J28" s="36">
        <f>VLOOKUP(H1,'[26]RK FORN FEV 26'!$A$1:$M$115,13,FALSE)</f>
        <v>5.19</v>
      </c>
      <c r="K28" s="33">
        <f>VLOOKUP(K1,'[26]RK FORN FEV 26'!$A$1:$M$115,8,FALSE)</f>
        <v>79760.41</v>
      </c>
      <c r="L28" s="36">
        <f>VLOOKUP(K1,'[26]RK FORN FEV 26'!$A$1:$M$115,12,FALSE)</f>
        <v>39.19</v>
      </c>
      <c r="M28" s="36">
        <f>VLOOKUP(K1,'[26]RK FORN FEV 26'!$A$1:$M$115,13,FALSE)</f>
        <v>4.7</v>
      </c>
      <c r="N28" s="33">
        <f>VLOOKUP(N1,'[26]RK FORN FEV 26'!$A$1:$M$115,8,FALSE)</f>
        <v>161624.3596</v>
      </c>
      <c r="O28" s="36">
        <f>VLOOKUP(N1,'[26]RK FORN FEV 26'!$A$1:$M$115,12,FALSE)</f>
        <v>40.78</v>
      </c>
      <c r="P28" s="36">
        <f>VLOOKUP(N1,'[26]RK FORN FEV 26'!$A$1:$M$115,13,FALSE)</f>
        <v>9.98</v>
      </c>
      <c r="Q28" s="33">
        <f>VLOOKUP(Q1,'[26]RK FORN FEV 26'!$A$1:$M$115,8,FALSE)</f>
        <v>22846.108700000001</v>
      </c>
      <c r="R28" s="36">
        <f>VLOOKUP(Q1,'[26]RK FORN FEV 26'!$A$1:$M$115,12,FALSE)</f>
        <v>38.4</v>
      </c>
      <c r="S28" s="36">
        <f>VLOOKUP(Q1,'[26]RK FORN FEV 26'!$A$1:$M$115,13,FALSE)</f>
        <v>1.36</v>
      </c>
      <c r="T28" s="33">
        <f>VLOOKUP(T1,'[26]RK FORN FEV 26'!$A$1:$M$115,8,FALSE)</f>
        <v>56388.08</v>
      </c>
      <c r="U28" s="36">
        <f>VLOOKUP(T1,'[26]RK FORN FEV 26'!$A$1:$M$115,12,FALSE)</f>
        <v>40.07</v>
      </c>
      <c r="V28" s="36">
        <f>VLOOKUP(T1,'[26]RK FORN FEV 26'!$A$1:$M$115,13,FALSE)</f>
        <v>3.36</v>
      </c>
      <c r="W28" s="33">
        <f>VLOOKUP(W1,'[26]RK FORN FEV 26'!$A$1:$M$115,8,FALSE)</f>
        <v>23536.892199999998</v>
      </c>
      <c r="X28" s="36">
        <f>VLOOKUP(W1,'[26]RK FORN FEV 26'!$A$1:$M$115,12,FALSE)</f>
        <v>36.92</v>
      </c>
      <c r="Y28" s="36">
        <f>VLOOKUP(W1,'[26]RK FORN FEV 26'!$A$1:$M$115,13,FALSE)</f>
        <v>1.4</v>
      </c>
      <c r="Z28" s="33">
        <f>VLOOKUP(Z1,'[26]RK FORN FEV 26'!$A$1:$M$115,8,FALSE)</f>
        <v>64165.132100000003</v>
      </c>
      <c r="AA28" s="36">
        <f>VLOOKUP(Z1,'[26]RK FORN FEV 26'!$A$1:$M$115,12,FALSE)</f>
        <v>43.01</v>
      </c>
      <c r="AB28" s="36">
        <f>VLOOKUP(Z1,'[26]RK FORN FEV 26'!$A$1:$M$115,13,FALSE)</f>
        <v>4.17</v>
      </c>
      <c r="AC28" s="33">
        <f>VLOOKUP(AC1,'[26]RK FORN FEV 26'!$A$1:$M$115,8,FALSE)</f>
        <v>23536.892199999998</v>
      </c>
      <c r="AD28" s="36">
        <f>VLOOKUP(AC1,'[26]RK FORN FEV 26'!$A$1:$M$115,12,FALSE)</f>
        <v>36.92</v>
      </c>
      <c r="AE28" s="36">
        <f>VLOOKUP(AC1,'[26]RK FORN FEV 26'!$A$1:$M$115,13,FALSE)</f>
        <v>1.4</v>
      </c>
      <c r="AF28" s="33">
        <f>VLOOKUP(AF1,'[26]RK FORN FEV 26'!$A$1:$M$115,8,FALSE)</f>
        <v>52616.76</v>
      </c>
      <c r="AG28" s="36">
        <f>VLOOKUP(AF1,'[26]RK FORN FEV 26'!$A$1:$M$115,12,FALSE)</f>
        <v>29.16</v>
      </c>
      <c r="AH28" s="36">
        <f>VLOOKUP(AF1,'[26]RK FORN FEV 26'!$A$1:$M$115,13,FALSE)</f>
        <v>3.18</v>
      </c>
      <c r="AI28" s="33">
        <f>VLOOKUP(AI1,'[26]RK FORN FEV 26'!$A$1:$M$115,8,FALSE)</f>
        <v>29720.868399999999</v>
      </c>
      <c r="AJ28" s="36">
        <f>VLOOKUP(AI1,'[26]RK FORN FEV 26'!$A$1:$M$115,12,FALSE)</f>
        <v>35.17</v>
      </c>
      <c r="AK28" s="36">
        <f>VLOOKUP(AI1,'[26]RK FORN FEV 26'!$A$1:$M$115,13,FALSE)</f>
        <v>1.78</v>
      </c>
      <c r="AL28" s="33">
        <f>VLOOKUP(AL1,'[26]RK FORN FEV 26'!$A$1:$M$115,8,FALSE)</f>
        <v>17620.22</v>
      </c>
      <c r="AM28" s="36">
        <f>VLOOKUP(AL1,'[26]RK FORN FEV 26'!$A$1:$M$115,12,FALSE)</f>
        <v>46.67</v>
      </c>
      <c r="AN28" s="36">
        <f>VLOOKUP(AL1,'[26]RK FORN FEV 26'!$A$1:$M$115,13,FALSE)</f>
        <v>1.03</v>
      </c>
      <c r="AO28" s="33">
        <f>VLOOKUP(AO1,'[26]RK FORN FEV 26'!$A$1:$M$115,8,FALSE)</f>
        <v>83025.710000000006</v>
      </c>
      <c r="AP28" s="36">
        <f>VLOOKUP(AO1,'[26]RK FORN FEV 26'!$A$1:$M$115,12,FALSE)</f>
        <v>23.88</v>
      </c>
      <c r="AQ28" s="36">
        <f>VLOOKUP(AO1,'[26]RK FORN FEV 26'!$A$1:$M$115,13,FALSE)</f>
        <v>4.8600000000000003</v>
      </c>
      <c r="AR28" s="33">
        <f>VLOOKUP(AR1,'[26]RK FORN FEV 26'!$A$1:$M$115,8,FALSE)</f>
        <v>45642.82</v>
      </c>
      <c r="AS28" s="36">
        <f>VLOOKUP(AR1,'[26]RK FORN FEV 26'!$A$1:$M$115,12,FALSE)</f>
        <v>29.64</v>
      </c>
      <c r="AT28" s="36">
        <f>VLOOKUP(AR1,'[26]RK FORN FEV 26'!$A$1:$M$115,13,FALSE)</f>
        <v>2.69</v>
      </c>
      <c r="AU28" s="33">
        <f>VLOOKUP(AU1,'[26]RK FORN FEV 26'!$A$1:$M$115,8,FALSE)</f>
        <v>51975.12</v>
      </c>
      <c r="AV28" s="36">
        <f>VLOOKUP(AU1,'[26]RK FORN FEV 26'!$A$1:$M$115,12,FALSE)</f>
        <v>37.950000000000003</v>
      </c>
      <c r="AW28" s="36">
        <f>VLOOKUP(AU1,'[26]RK FORN FEV 26'!$A$1:$M$115,13,FALSE)</f>
        <v>3.12</v>
      </c>
      <c r="AX28" s="33">
        <f>VLOOKUP(AX1,'[26]RK FORN FEV 26'!$A$1:$M$115,8,FALSE)</f>
        <v>33259.07</v>
      </c>
      <c r="AY28" s="36">
        <f>VLOOKUP(AX1,'[26]RK FORN FEV 26'!$A$1:$M$115,12,FALSE)</f>
        <v>29.69</v>
      </c>
      <c r="AZ28" s="36">
        <f>VLOOKUP(AX1,'[26]RK FORN FEV 26'!$A$1:$M$115,13,FALSE)</f>
        <v>1.95</v>
      </c>
      <c r="BA28" s="33">
        <f>VLOOKUP(BA1,'[26]RK FORN FEV 26'!$A$1:$M$115,8,FALSE)</f>
        <v>19036.080000000002</v>
      </c>
      <c r="BB28" s="36">
        <f>VLOOKUP(BA1,'[26]RK FORN FEV 26'!$A$1:$M$115,12,FALSE)</f>
        <v>36.61</v>
      </c>
      <c r="BC28" s="36">
        <f>VLOOKUP(BA1,'[26]RK FORN FEV 26'!$A$1:$M$115,13,FALSE)</f>
        <v>1.1299999999999999</v>
      </c>
      <c r="BD28" s="33">
        <f>VLOOKUP(BD1,'[26]RK FORN FEV 26'!$A$1:$M$115,8,FALSE)</f>
        <v>14041.84</v>
      </c>
      <c r="BE28" s="36">
        <f>VLOOKUP(BD1,'[26]RK FORN FEV 26'!$A$1:$M$115,12,FALSE)</f>
        <v>45.5</v>
      </c>
      <c r="BF28" s="36">
        <f>VLOOKUP(BD1,'[26]RK FORN FEV 26'!$A$1:$M$115,13,FALSE)</f>
        <v>0.83</v>
      </c>
      <c r="BG28" s="33">
        <f>VLOOKUP(BG1,'[26]RK FORN FEV 26'!$A$1:$M$115,8,FALSE)</f>
        <v>16146.87</v>
      </c>
      <c r="BH28" s="36">
        <f>VLOOKUP(BG1,'[26]RK FORN FEV 26'!$A$1:$M$115,12,FALSE)</f>
        <v>48.99</v>
      </c>
      <c r="BI28" s="36">
        <f>VLOOKUP(BG1,'[26]RK FORN FEV 26'!$A$1:$M$115,13,FALSE)</f>
        <v>0.95</v>
      </c>
      <c r="BJ28" s="33">
        <f>VLOOKUP(BJ1,'[26]RK FORN FEV 26'!$A$1:$M$115,8,FALSE)</f>
        <v>8417.5025000000005</v>
      </c>
      <c r="BK28" s="36">
        <f>VLOOKUP(BJ1,'[26]RK FORN FEV 26'!$A$1:$M$115,12,FALSE)</f>
        <v>36.57</v>
      </c>
      <c r="BL28" s="36">
        <f>VLOOKUP(BJ1,'[26]RK FORN FEV 26'!$A$1:$M$115,13,FALSE)</f>
        <v>0.49</v>
      </c>
      <c r="BM28" s="33" t="e">
        <f>VLOOKUP(BM1,'[26]RK FORN FEV 26'!$A$1:$M$115,8,FALSE)</f>
        <v>#N/A</v>
      </c>
      <c r="BN28" s="36" t="e">
        <f>VLOOKUP(BM1,'[26]RK FORN FEV 26'!$A$1:$M$115,12,FALSE)</f>
        <v>#N/A</v>
      </c>
      <c r="BO28" s="36" t="e">
        <f>VLOOKUP(BM1,'[26]RK FORN FEV 26'!$A$1:$M$115,13,FALSE)</f>
        <v>#N/A</v>
      </c>
      <c r="BP28" s="33">
        <f>VLOOKUP(BP1,'[26]RK FORN FEV 26'!$A$1:$M$115,8,FALSE)</f>
        <v>15521.58</v>
      </c>
      <c r="BQ28" s="36">
        <f>VLOOKUP(BP1,'[26]RK FORN FEV 26'!$A$1:$M$115,12,FALSE)</f>
        <v>43.86</v>
      </c>
      <c r="BR28" s="36">
        <f>VLOOKUP(BP1,'[26]RK FORN FEV 26'!$A$1:$M$115,13,FALSE)</f>
        <v>0.95</v>
      </c>
      <c r="BS28" s="33">
        <f>VLOOKUP(BS1,'[26]RK FORN FEV 26'!$A$1:$M$115,8,FALSE)</f>
        <v>7511.92</v>
      </c>
      <c r="BT28" s="36">
        <f>VLOOKUP(BS1,'[26]RK FORN FEV 26'!$A$1:$M$115,12,FALSE)</f>
        <v>40.24</v>
      </c>
      <c r="BU28" s="36">
        <f>VLOOKUP(BS1,'[26]RK FORN FEV 26'!$A$1:$M$115,13,FALSE)</f>
        <v>0.44</v>
      </c>
      <c r="BV28" s="33">
        <f>VLOOKUP(BV1,'[26]RK FORN FEV 26'!$A$1:$M$115,8,FALSE)</f>
        <v>10603.01</v>
      </c>
      <c r="BW28" s="36">
        <f>VLOOKUP(BV1,'[26]RK FORN FEV 26'!$A$1:$M$115,12,FALSE)</f>
        <v>34.89</v>
      </c>
      <c r="BX28" s="36">
        <f>VLOOKUP(BV1,'[26]RK FORN FEV 26'!$A$1:$M$115,13,FALSE)</f>
        <v>0.64</v>
      </c>
      <c r="BY28" s="33">
        <f>VLOOKUP(BY1,'[26]RK FORN FEV 26'!$A$1:$M$115,8,FALSE)</f>
        <v>8802.06</v>
      </c>
      <c r="BZ28" s="36">
        <f>VLOOKUP(BY1,'[26]RK FORN FEV 26'!$A$1:$M$115,12,FALSE)</f>
        <v>41.71</v>
      </c>
      <c r="CA28" s="36">
        <f>VLOOKUP(BY1,'[26]RK FORN FEV 26'!$A$1:$M$115,13,FALSE)</f>
        <v>0.53</v>
      </c>
      <c r="CB28" s="33">
        <f>VLOOKUP(CB1,'[26]RK FORN FEV 26'!$A$1:$M$115,8,FALSE)</f>
        <v>10913.32</v>
      </c>
      <c r="CC28" s="36">
        <f>VLOOKUP(CB1,'[26]RK FORN FEV 26'!$A$1:$M$115,12,FALSE)</f>
        <v>46.37</v>
      </c>
      <c r="CD28" s="36">
        <f>VLOOKUP(CB1,'[26]RK FORN FEV 26'!$A$1:$M$115,13,FALSE)</f>
        <v>0.66</v>
      </c>
      <c r="CE28" s="33">
        <f>VLOOKUP(CE1,'[26]RK FORN FEV 26'!$A$1:$M$115,8,FALSE)</f>
        <v>9485.65</v>
      </c>
      <c r="CF28" s="36">
        <f>VLOOKUP(CE1,'[26]RK FORN FEV 26'!$A$1:$M$115,12,FALSE)</f>
        <v>41.83</v>
      </c>
      <c r="CG28" s="36">
        <f>VLOOKUP(CE1,'[26]RK FORN FEV 26'!$A$1:$M$115,13,FALSE)</f>
        <v>0.56000000000000005</v>
      </c>
      <c r="CH28" s="33">
        <f>VLOOKUP(CH1,'[26]RK FORN FEV 26'!$A$1:$M$115,8,FALSE)</f>
        <v>15099.2</v>
      </c>
      <c r="CI28" s="36">
        <f>VLOOKUP(CH1,'[26]RK FORN FEV 26'!$A$1:$M$115,12,FALSE)</f>
        <v>41.76</v>
      </c>
      <c r="CJ28" s="36">
        <f>VLOOKUP(CH1,'[26]RK FORN FEV 26'!$A$1:$M$115,13,FALSE)</f>
        <v>0.89</v>
      </c>
      <c r="CK28" s="33">
        <f>VLOOKUP(CK1,'[26]RK FORN FEV 26'!$A$1:$M$115,8,FALSE)</f>
        <v>11601.8</v>
      </c>
      <c r="CL28" s="36">
        <f>VLOOKUP(CK1,'[26]RK FORN FEV 26'!$A$1:$M$115,12,FALSE)</f>
        <v>39.18</v>
      </c>
      <c r="CM28" s="36">
        <f>VLOOKUP(CK1,'[26]RK FORN FEV 26'!$A$1:$M$115,13,FALSE)</f>
        <v>0.69</v>
      </c>
      <c r="CN28" s="33">
        <f>VLOOKUP(CN1,'[26]RK FORN FEV 26'!$A$1:$M$115,8,FALSE)</f>
        <v>9664.17</v>
      </c>
      <c r="CO28" s="36">
        <f>VLOOKUP(CN1,'[26]RK FORN FEV 26'!$A$1:$M$115,12,FALSE)</f>
        <v>40.18</v>
      </c>
      <c r="CP28" s="36">
        <f>VLOOKUP(CN1,'[26]RK FORN FEV 26'!$A$1:$M$115,13,FALSE)</f>
        <v>0.56999999999999995</v>
      </c>
      <c r="CQ28" s="33">
        <f>VLOOKUP(CQ1,'[26]RK FORN FEV 26'!$A$1:$M$115,8,FALSE)</f>
        <v>9367.52</v>
      </c>
      <c r="CR28" s="36">
        <f>VLOOKUP(CQ1,'[26]RK FORN FEV 26'!$A$1:$M$115,12,FALSE)</f>
        <v>42.13</v>
      </c>
      <c r="CS28" s="36">
        <f>VLOOKUP(CQ1,'[26]RK FORN FEV 26'!$A$1:$M$115,13,FALSE)</f>
        <v>0.55000000000000004</v>
      </c>
      <c r="CT28" s="33">
        <f>VLOOKUP(CT1,'[26]RK FORN FEV 26'!$A$1:$M$115,8,FALSE)</f>
        <v>21534</v>
      </c>
      <c r="CU28" s="36">
        <f>VLOOKUP(CT1,'[26]RK FORN FEV 26'!$A$1:$M$115,12,FALSE)</f>
        <v>29.98</v>
      </c>
      <c r="CV28" s="36">
        <f>VLOOKUP(CT1,'[26]RK FORN FEV 26'!$A$1:$M$115,13,FALSE)</f>
        <v>1.3</v>
      </c>
      <c r="CW28" s="33">
        <f>VLOOKUP(CW1,'[26]RK FORN FEV 26'!$A$1:$M$115,8,FALSE)</f>
        <v>8648.73</v>
      </c>
      <c r="CX28" s="36">
        <f>VLOOKUP(CW1,'[26]RK FORN FEV 26'!$A$1:$M$115,12,FALSE)</f>
        <v>46.25</v>
      </c>
      <c r="CY28" s="36">
        <f>VLOOKUP(CW1,'[26]RK FORN FEV 26'!$A$1:$M$115,13,FALSE)</f>
        <v>0.52</v>
      </c>
      <c r="CZ28" s="33">
        <f>VLOOKUP(CZ1,'[26]RK FORN FEV 26'!$A$1:$M$115,8,FALSE)</f>
        <v>7717.01</v>
      </c>
      <c r="DA28" s="36">
        <f>VLOOKUP(CZ1,'[26]RK FORN FEV 26'!$A$1:$M$115,12,FALSE)</f>
        <v>40.090000000000003</v>
      </c>
      <c r="DB28" s="36">
        <f>VLOOKUP(CZ1,'[26]RK FORN FEV 26'!$A$1:$M$115,13,FALSE)</f>
        <v>0.45</v>
      </c>
      <c r="DC28" s="33">
        <f>VLOOKUP(DC1,'[26]RK FORN FEV 26'!$A$1:$M$115,8,FALSE)</f>
        <v>6598.75</v>
      </c>
      <c r="DD28" s="36">
        <f>VLOOKUP(DC1,'[26]RK FORN FEV 26'!$A$1:$M$115,12,FALSE)</f>
        <v>28.14</v>
      </c>
      <c r="DE28" s="36">
        <f>VLOOKUP(DC1,'[26]RK FORN FEV 26'!$A$1:$M$115,13,FALSE)</f>
        <v>0.39</v>
      </c>
      <c r="DF28" s="33">
        <f>VLOOKUP(DF1,'[26]RK FORN FEV 26'!$A$1:$M$115,8,FALSE)</f>
        <v>4248.12</v>
      </c>
      <c r="DG28" s="36">
        <f>VLOOKUP(DF1,'[26]RK FORN FEV 26'!$A$1:$M$115,12,FALSE)</f>
        <v>39.25</v>
      </c>
      <c r="DH28" s="36">
        <f>VLOOKUP(DF1,'[26]RK FORN FEV 26'!$A$1:$M$115,13,FALSE)</f>
        <v>0.27</v>
      </c>
      <c r="DI28" s="33">
        <f>VLOOKUP(DI1,'[26]RK FORN FEV 26'!$A$1:$M$115,8,FALSE)</f>
        <v>4015.93</v>
      </c>
      <c r="DJ28" s="36">
        <f>VLOOKUP(DI1,'[26]RK FORN FEV 26'!$A$1:$M$115,12,FALSE)</f>
        <v>43.8</v>
      </c>
      <c r="DK28" s="36">
        <f>VLOOKUP(DI1,'[26]RK FORN FEV 26'!$A$1:$M$115,13,FALSE)</f>
        <v>0.23</v>
      </c>
      <c r="DL28" s="33">
        <f>VLOOKUP(DL1,'[26]RK FORN FEV 26'!$A$1:$M$115,8,FALSE)</f>
        <v>1557.87</v>
      </c>
      <c r="DM28" s="36">
        <f>VLOOKUP(DL1,'[26]RK FORN FEV 26'!$A$1:$M$115,12,FALSE)</f>
        <v>41.53</v>
      </c>
      <c r="DN28" s="36">
        <f>VLOOKUP(DL1,'[26]RK FORN FEV 26'!$A$1:$M$115,13,FALSE)</f>
        <v>0.09</v>
      </c>
      <c r="DO28" s="33" t="e">
        <f>VLOOKUP(DO1,'[26]RK FORN FEV 26'!$A$1:$M$115,8,FALSE)</f>
        <v>#N/A</v>
      </c>
      <c r="DP28" s="36" t="e">
        <f>VLOOKUP(DO1,'[26]RK FORN FEV 26'!$A$1:$M$115,12,FALSE)</f>
        <v>#N/A</v>
      </c>
      <c r="DQ28" s="36" t="e">
        <f>VLOOKUP(DO1,'[26]RK FORN FEV 26'!$A$1:$M$115,13,FALSE)</f>
        <v>#N/A</v>
      </c>
      <c r="DR28" s="33">
        <f>VLOOKUP(DR1,'[26]RK FORN FEV 26'!$A$1:$M$115,8,FALSE)</f>
        <v>4905.83</v>
      </c>
      <c r="DS28" s="36">
        <f>VLOOKUP(DR1,'[26]RK FORN FEV 26'!$A$1:$M$115,12,FALSE)</f>
        <v>35.869999999999997</v>
      </c>
      <c r="DT28" s="36">
        <f>VLOOKUP(DR1,'[26]RK FORN FEV 26'!$A$1:$M$115,13,FALSE)</f>
        <v>0.28999999999999998</v>
      </c>
      <c r="DU28" s="33">
        <f>VLOOKUP(DU1,'[26]RK FORN FEV 26'!$A$1:$M$115,8,FALSE)</f>
        <v>1209.3</v>
      </c>
      <c r="DV28" s="36">
        <f>VLOOKUP(DU1,'[26]RK FORN FEV 26'!$A$1:$M$115,12,FALSE)</f>
        <v>32.869999999999997</v>
      </c>
      <c r="DW28" s="36">
        <f>VLOOKUP(DU1,'[26]RK FORN FEV 26'!$A$1:$M$115,13,FALSE)</f>
        <v>7.0000000000000007E-2</v>
      </c>
      <c r="DX28" s="33">
        <f>VLOOKUP(DX1,'[26]RK FORN FEV 26'!$A$1:$M$115,8,FALSE)</f>
        <v>85.8</v>
      </c>
      <c r="DY28" s="36">
        <f>VLOOKUP(DX1,'[26]RK FORN FEV 26'!$A$1:$M$115,12,FALSE)</f>
        <v>35.99</v>
      </c>
      <c r="DZ28" s="36">
        <f>VLOOKUP(DX1,'[26]RK FORN FEV 26'!$A$1:$M$115,13,FALSE)</f>
        <v>0</v>
      </c>
      <c r="EA28" s="33" t="e">
        <f>VLOOKUP(EA1,'[26]RK FORN FEV 26'!$A$1:$M$115,8,FALSE)</f>
        <v>#N/A</v>
      </c>
      <c r="EB28" s="36" t="e">
        <f>VLOOKUP(EA1,'[26]RK FORN FEV 26'!$A$1:$M$115,12,FALSE)</f>
        <v>#N/A</v>
      </c>
      <c r="EC28" s="36" t="e">
        <f>VLOOKUP(EA1,'[26]RK FORN FEV 26'!$A$1:$M$115,13,FALSE)</f>
        <v>#N/A</v>
      </c>
    </row>
    <row r="29" spans="1:133" x14ac:dyDescent="0.2">
      <c r="AR29" s="26"/>
      <c r="BS29" s="26"/>
      <c r="BV29" s="26"/>
    </row>
    <row r="30" spans="1:133" x14ac:dyDescent="0.2">
      <c r="BV30" s="26"/>
    </row>
    <row r="32" spans="1:133" ht="9.75" customHeight="1" x14ac:dyDescent="0.2"/>
  </sheetData>
  <mergeCells count="44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X1:DZ1"/>
    <mergeCell ref="EA1:EC1"/>
    <mergeCell ref="DF1:DH1"/>
    <mergeCell ref="DI1:DK1"/>
    <mergeCell ref="DL1:DN1"/>
    <mergeCell ref="DO1:DQ1"/>
    <mergeCell ref="DR1:DT1"/>
    <mergeCell ref="DU1:DW1"/>
  </mergeCells>
  <pageMargins left="0.78740157499999996" right="0.78740157499999996" top="0.984251969" bottom="0.984251969" header="0.4921259845" footer="0.4921259845"/>
  <ignoredErrors>
    <ignoredError sqref="DD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C8C7-4B5D-438A-B3C6-C2FCEDCD4E6F}">
  <dimension ref="A1:AH20"/>
  <sheetViews>
    <sheetView showGridLines="0" tabSelected="1" workbookViewId="0">
      <selection activeCell="W16" sqref="W16"/>
    </sheetView>
  </sheetViews>
  <sheetFormatPr defaultColWidth="16.28515625" defaultRowHeight="12.75" x14ac:dyDescent="0.2"/>
  <cols>
    <col min="1" max="1" width="5.85546875" style="23" bestFit="1" customWidth="1"/>
    <col min="2" max="16384" width="16.28515625" style="23"/>
  </cols>
  <sheetData>
    <row r="1" spans="1:34" ht="42.6" customHeight="1" x14ac:dyDescent="0.2">
      <c r="A1" s="25"/>
      <c r="B1" s="39" t="s">
        <v>64</v>
      </c>
      <c r="C1" s="38" t="s">
        <v>65</v>
      </c>
      <c r="D1" s="38" t="s">
        <v>66</v>
      </c>
      <c r="E1" s="38" t="s">
        <v>67</v>
      </c>
      <c r="F1" s="38" t="s">
        <v>68</v>
      </c>
      <c r="G1" s="38" t="s">
        <v>69</v>
      </c>
      <c r="H1" s="38" t="s">
        <v>70</v>
      </c>
      <c r="I1" s="38" t="s">
        <v>71</v>
      </c>
      <c r="J1" s="38" t="s">
        <v>72</v>
      </c>
      <c r="K1" s="38" t="s">
        <v>73</v>
      </c>
      <c r="L1" s="38" t="s">
        <v>74</v>
      </c>
      <c r="M1" s="38" t="s">
        <v>75</v>
      </c>
      <c r="N1" s="38" t="s">
        <v>76</v>
      </c>
      <c r="O1" s="38" t="s">
        <v>77</v>
      </c>
      <c r="P1" s="38" t="s">
        <v>78</v>
      </c>
      <c r="Q1" s="38" t="s">
        <v>79</v>
      </c>
      <c r="R1" s="38" t="s">
        <v>80</v>
      </c>
      <c r="S1" s="38" t="s">
        <v>81</v>
      </c>
      <c r="T1" s="38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8" t="s">
        <v>94</v>
      </c>
      <c r="AG1" s="40" t="s">
        <v>95</v>
      </c>
      <c r="AH1" s="37" t="s">
        <v>96</v>
      </c>
    </row>
    <row r="2" spans="1:34" x14ac:dyDescent="0.2">
      <c r="A2" s="24"/>
      <c r="B2" s="37" t="s">
        <v>1</v>
      </c>
      <c r="C2" s="37" t="s">
        <v>1</v>
      </c>
      <c r="D2" s="37" t="s">
        <v>1</v>
      </c>
      <c r="E2" s="37" t="s">
        <v>1</v>
      </c>
      <c r="F2" s="37" t="s">
        <v>1</v>
      </c>
      <c r="G2" s="37" t="s">
        <v>1</v>
      </c>
      <c r="H2" s="37" t="s">
        <v>1</v>
      </c>
      <c r="I2" s="37" t="s">
        <v>1</v>
      </c>
      <c r="J2" s="37" t="s">
        <v>1</v>
      </c>
      <c r="K2" s="37" t="s">
        <v>1</v>
      </c>
      <c r="L2" s="37" t="s">
        <v>1</v>
      </c>
      <c r="M2" s="37" t="s">
        <v>1</v>
      </c>
      <c r="N2" s="37" t="s">
        <v>1</v>
      </c>
      <c r="O2" s="37" t="s">
        <v>1</v>
      </c>
      <c r="P2" s="37" t="s">
        <v>1</v>
      </c>
      <c r="Q2" s="37" t="s">
        <v>1</v>
      </c>
      <c r="R2" s="37" t="s">
        <v>1</v>
      </c>
      <c r="S2" s="37" t="s">
        <v>1</v>
      </c>
      <c r="T2" s="37" t="s">
        <v>1</v>
      </c>
      <c r="U2" s="37" t="s">
        <v>1</v>
      </c>
      <c r="V2" s="37" t="s">
        <v>1</v>
      </c>
      <c r="W2" s="37" t="s">
        <v>1</v>
      </c>
      <c r="X2" s="37" t="s">
        <v>1</v>
      </c>
      <c r="Y2" s="37" t="s">
        <v>1</v>
      </c>
      <c r="Z2" s="37" t="s">
        <v>1</v>
      </c>
      <c r="AA2" s="37" t="s">
        <v>1</v>
      </c>
      <c r="AB2" s="37" t="s">
        <v>1</v>
      </c>
      <c r="AC2" s="37" t="s">
        <v>1</v>
      </c>
      <c r="AD2" s="37" t="s">
        <v>1</v>
      </c>
      <c r="AE2" s="37" t="s">
        <v>1</v>
      </c>
      <c r="AF2" s="37" t="s">
        <v>1</v>
      </c>
      <c r="AG2" s="37" t="s">
        <v>1</v>
      </c>
      <c r="AH2" s="37" t="s">
        <v>1</v>
      </c>
    </row>
    <row r="3" spans="1:34" x14ac:dyDescent="0.2">
      <c r="A3" s="32">
        <v>45658</v>
      </c>
      <c r="B3" s="50">
        <v>7743.72</v>
      </c>
      <c r="C3" s="50">
        <v>14338.12</v>
      </c>
      <c r="D3" s="50">
        <v>130621.29000000001</v>
      </c>
      <c r="E3" s="50">
        <v>9472.7999999999993</v>
      </c>
      <c r="F3" s="50">
        <v>126571.45000000001</v>
      </c>
      <c r="G3" s="50">
        <v>49807.990000000005</v>
      </c>
      <c r="H3" s="50">
        <v>17280.219999999998</v>
      </c>
      <c r="I3" s="50">
        <v>7501.68</v>
      </c>
      <c r="J3" s="50">
        <v>439925.47</v>
      </c>
      <c r="K3" s="50">
        <v>15231.32</v>
      </c>
      <c r="L3" s="50">
        <v>15801.97</v>
      </c>
      <c r="M3" s="50">
        <v>8311.98</v>
      </c>
      <c r="N3" s="50">
        <v>175736.37</v>
      </c>
      <c r="O3" s="50">
        <v>25650.77</v>
      </c>
      <c r="P3" s="50">
        <v>70415.539999999994</v>
      </c>
      <c r="Q3" s="50">
        <v>87465.78</v>
      </c>
      <c r="R3" s="50">
        <v>27094.06</v>
      </c>
      <c r="S3" s="50">
        <v>19035.54</v>
      </c>
      <c r="T3" s="50">
        <v>30004.06</v>
      </c>
      <c r="U3" s="50">
        <v>28927.74</v>
      </c>
      <c r="V3" s="50">
        <v>13502.11</v>
      </c>
      <c r="W3" s="50">
        <v>6229.5899999999992</v>
      </c>
      <c r="X3" s="50">
        <v>14253.75</v>
      </c>
      <c r="Y3" s="50">
        <v>11115.67</v>
      </c>
      <c r="Z3" s="50">
        <v>8333.9499999999989</v>
      </c>
      <c r="AA3" s="50">
        <v>5665.92</v>
      </c>
      <c r="AB3" s="50">
        <v>3367.95</v>
      </c>
      <c r="AC3" s="50">
        <v>6219.83</v>
      </c>
      <c r="AD3" s="50">
        <v>2430.21</v>
      </c>
      <c r="AE3" s="50">
        <v>3160.91</v>
      </c>
      <c r="AF3" s="50">
        <v>11008.710000000001</v>
      </c>
      <c r="AG3" s="50">
        <v>2166.15</v>
      </c>
      <c r="AH3" s="50">
        <v>1408.3</v>
      </c>
    </row>
    <row r="4" spans="1:34" x14ac:dyDescent="0.2">
      <c r="A4" s="32">
        <v>45689</v>
      </c>
      <c r="B4" s="50">
        <v>8344.3700000000008</v>
      </c>
      <c r="C4" s="50">
        <v>15909.6</v>
      </c>
      <c r="D4" s="50">
        <v>136894.69999999998</v>
      </c>
      <c r="E4" s="50">
        <v>6114.7</v>
      </c>
      <c r="F4" s="50">
        <v>119441.53</v>
      </c>
      <c r="G4" s="50">
        <v>40285.729999999996</v>
      </c>
      <c r="H4" s="50">
        <v>23753.609999999997</v>
      </c>
      <c r="I4" s="50">
        <v>9836.7099999999991</v>
      </c>
      <c r="J4" s="50">
        <v>411674.13</v>
      </c>
      <c r="K4" s="50">
        <v>13126.96</v>
      </c>
      <c r="L4" s="50">
        <v>15447.759999999998</v>
      </c>
      <c r="M4" s="50">
        <v>7072.3899999999994</v>
      </c>
      <c r="N4" s="50">
        <v>126799.24</v>
      </c>
      <c r="O4" s="50">
        <v>20565.91</v>
      </c>
      <c r="P4" s="50">
        <v>72327.579999999987</v>
      </c>
      <c r="Q4" s="50">
        <v>124739.67</v>
      </c>
      <c r="R4" s="50">
        <v>24903.38</v>
      </c>
      <c r="S4" s="50">
        <v>21264.2</v>
      </c>
      <c r="T4" s="50">
        <v>16087.51</v>
      </c>
      <c r="U4" s="50">
        <v>24695.57</v>
      </c>
      <c r="V4" s="50">
        <v>16369.070000000002</v>
      </c>
      <c r="W4" s="50">
        <v>8773.32</v>
      </c>
      <c r="X4" s="50">
        <v>9659.67</v>
      </c>
      <c r="Y4" s="50">
        <v>11757.03</v>
      </c>
      <c r="Z4" s="50">
        <v>8227.08</v>
      </c>
      <c r="AA4" s="50">
        <v>6390.6100000000006</v>
      </c>
      <c r="AB4" s="50">
        <v>2626.8399999999997</v>
      </c>
      <c r="AC4" s="50">
        <v>10341.9</v>
      </c>
      <c r="AD4" s="50">
        <v>2294.3000000000002</v>
      </c>
      <c r="AE4" s="50">
        <v>2345.3000000000002</v>
      </c>
      <c r="AF4" s="50">
        <v>13548.22</v>
      </c>
      <c r="AG4" s="50">
        <v>2023.63</v>
      </c>
      <c r="AH4" s="50">
        <v>1055.8599999999999</v>
      </c>
    </row>
    <row r="5" spans="1:34" x14ac:dyDescent="0.2">
      <c r="A5" s="32">
        <v>45717</v>
      </c>
      <c r="B5" s="50">
        <v>7385.5</v>
      </c>
      <c r="C5" s="50">
        <v>15626.85</v>
      </c>
      <c r="D5" s="50">
        <v>119024.44</v>
      </c>
      <c r="E5" s="50">
        <v>8717</v>
      </c>
      <c r="F5" s="50">
        <v>74936.78</v>
      </c>
      <c r="G5" s="50">
        <v>29182.879999999997</v>
      </c>
      <c r="H5" s="50">
        <v>25785.300000000003</v>
      </c>
      <c r="I5" s="50">
        <v>6744.65</v>
      </c>
      <c r="J5" s="50">
        <v>427578.68</v>
      </c>
      <c r="K5" s="50">
        <v>10778.2</v>
      </c>
      <c r="L5" s="50">
        <v>13324.199999999999</v>
      </c>
      <c r="M5" s="50">
        <v>7226.99</v>
      </c>
      <c r="N5" s="50">
        <v>151001.06999999998</v>
      </c>
      <c r="O5" s="50">
        <v>19529.66</v>
      </c>
      <c r="P5" s="50">
        <v>79505.37</v>
      </c>
      <c r="Q5" s="50">
        <v>91550.349999999991</v>
      </c>
      <c r="R5" s="50">
        <v>20652.730000000003</v>
      </c>
      <c r="S5" s="50">
        <v>22799.69</v>
      </c>
      <c r="T5" s="50">
        <v>16507.669999999998</v>
      </c>
      <c r="U5" s="50">
        <v>26636.34</v>
      </c>
      <c r="V5" s="50">
        <v>14693.18</v>
      </c>
      <c r="W5" s="50">
        <v>7594.13</v>
      </c>
      <c r="X5" s="50">
        <v>13102.66</v>
      </c>
      <c r="Y5" s="50">
        <v>11564.35</v>
      </c>
      <c r="Z5" s="50">
        <v>7046.97</v>
      </c>
      <c r="AA5" s="50">
        <v>3944.72</v>
      </c>
      <c r="AB5" s="50">
        <v>3181.14</v>
      </c>
      <c r="AC5" s="50">
        <v>7628.11</v>
      </c>
      <c r="AD5" s="50">
        <v>2471.54</v>
      </c>
      <c r="AE5" s="50">
        <v>1729.46</v>
      </c>
      <c r="AF5" s="50">
        <v>9328.02</v>
      </c>
      <c r="AG5" s="50">
        <v>2258.61</v>
      </c>
      <c r="AH5" s="50">
        <v>975.55</v>
      </c>
    </row>
    <row r="6" spans="1:34" x14ac:dyDescent="0.2">
      <c r="A6" s="32">
        <v>45748</v>
      </c>
      <c r="B6" s="50">
        <v>7149.1100000000006</v>
      </c>
      <c r="C6" s="50">
        <v>13407.140000000001</v>
      </c>
      <c r="D6" s="50">
        <v>118936.34999999999</v>
      </c>
      <c r="E6" s="50">
        <v>8543.98</v>
      </c>
      <c r="F6" s="50">
        <v>84452.13</v>
      </c>
      <c r="G6" s="50">
        <v>45061.49</v>
      </c>
      <c r="H6" s="50">
        <v>20037.38</v>
      </c>
      <c r="I6" s="50">
        <v>4890.3900000000003</v>
      </c>
      <c r="J6" s="50">
        <v>372738.82</v>
      </c>
      <c r="K6" s="50">
        <v>7285.7800000000007</v>
      </c>
      <c r="L6" s="50">
        <v>14965.119999999999</v>
      </c>
      <c r="M6" s="50">
        <v>10815.029999999999</v>
      </c>
      <c r="N6" s="50">
        <v>138467.6</v>
      </c>
      <c r="O6" s="50">
        <v>20801.489999999998</v>
      </c>
      <c r="P6" s="50">
        <v>60571.560000000005</v>
      </c>
      <c r="Q6" s="50">
        <v>58611.81</v>
      </c>
      <c r="R6" s="50">
        <v>19009.849999999999</v>
      </c>
      <c r="S6" s="50">
        <v>19354.12</v>
      </c>
      <c r="T6" s="50">
        <v>15728.08</v>
      </c>
      <c r="U6" s="50">
        <v>24977.100000000002</v>
      </c>
      <c r="V6" s="50">
        <v>11263.24</v>
      </c>
      <c r="W6" s="50">
        <v>9867.23</v>
      </c>
      <c r="X6" s="50">
        <v>10514.95</v>
      </c>
      <c r="Y6" s="50">
        <v>10158.75</v>
      </c>
      <c r="Z6" s="50">
        <v>7220.1399999999994</v>
      </c>
      <c r="AA6" s="50">
        <v>3767.41</v>
      </c>
      <c r="AB6" s="50">
        <v>2426.58</v>
      </c>
      <c r="AC6" s="50">
        <v>7404.86</v>
      </c>
      <c r="AD6" s="50">
        <v>1239.69</v>
      </c>
      <c r="AE6" s="50">
        <v>2618.08</v>
      </c>
      <c r="AF6" s="50">
        <v>9586.2999999999993</v>
      </c>
      <c r="AG6" s="50">
        <v>4672.92</v>
      </c>
      <c r="AH6" s="50">
        <v>942.42000000000007</v>
      </c>
    </row>
    <row r="7" spans="1:34" x14ac:dyDescent="0.2">
      <c r="A7" s="32">
        <v>45778</v>
      </c>
      <c r="B7" s="50">
        <v>7236.44</v>
      </c>
      <c r="C7" s="50">
        <v>19399.599999999999</v>
      </c>
      <c r="D7" s="50">
        <v>131487.39000000001</v>
      </c>
      <c r="E7" s="50">
        <v>5101.67</v>
      </c>
      <c r="F7" s="50">
        <v>74166.559999999998</v>
      </c>
      <c r="G7" s="50">
        <v>55726.14</v>
      </c>
      <c r="H7" s="50">
        <v>22801.55</v>
      </c>
      <c r="I7" s="50">
        <v>6785.41</v>
      </c>
      <c r="J7" s="50">
        <v>437037.44</v>
      </c>
      <c r="K7" s="50">
        <v>18803.899999999998</v>
      </c>
      <c r="L7" s="50">
        <v>15372.78</v>
      </c>
      <c r="M7" s="50">
        <v>21811.99</v>
      </c>
      <c r="N7" s="50">
        <v>132680.22</v>
      </c>
      <c r="O7" s="50">
        <v>26604.240000000002</v>
      </c>
      <c r="P7" s="50">
        <v>70454.559999999998</v>
      </c>
      <c r="Q7" s="50">
        <v>105345.47</v>
      </c>
      <c r="R7" s="50">
        <v>25958.38</v>
      </c>
      <c r="S7" s="50">
        <v>31414.199999999997</v>
      </c>
      <c r="T7" s="50">
        <v>16203.28</v>
      </c>
      <c r="U7" s="50">
        <v>26720.210000000003</v>
      </c>
      <c r="V7" s="50">
        <v>14872.73</v>
      </c>
      <c r="W7" s="50">
        <v>5042.8900000000003</v>
      </c>
      <c r="X7" s="50">
        <v>10168.91</v>
      </c>
      <c r="Y7" s="50">
        <v>7985.76</v>
      </c>
      <c r="Z7" s="50">
        <v>8351.619999999999</v>
      </c>
      <c r="AA7" s="50">
        <v>5394.57</v>
      </c>
      <c r="AB7" s="50">
        <v>1754.8100000000002</v>
      </c>
      <c r="AC7" s="50">
        <v>11179.95</v>
      </c>
      <c r="AD7" s="50">
        <v>1922.56</v>
      </c>
      <c r="AE7" s="50">
        <v>2610.92</v>
      </c>
      <c r="AF7" s="50">
        <v>10984.19</v>
      </c>
      <c r="AG7" s="50">
        <v>3156.31</v>
      </c>
      <c r="AH7" s="50">
        <v>1304.6500000000001</v>
      </c>
    </row>
    <row r="8" spans="1:34" x14ac:dyDescent="0.2">
      <c r="A8" s="32">
        <v>45809</v>
      </c>
      <c r="B8" s="50">
        <v>4713.47</v>
      </c>
      <c r="C8" s="50">
        <v>11988.65</v>
      </c>
      <c r="D8" s="50">
        <v>119545.26</v>
      </c>
      <c r="E8" s="50">
        <v>4606.3900000000003</v>
      </c>
      <c r="F8" s="50">
        <v>107802.68000000001</v>
      </c>
      <c r="G8" s="50">
        <v>41104.450000000004</v>
      </c>
      <c r="H8" s="50">
        <v>16103.28</v>
      </c>
      <c r="I8" s="50">
        <v>6887.39</v>
      </c>
      <c r="J8" s="50">
        <v>382310.73000000004</v>
      </c>
      <c r="K8" s="50">
        <v>15442</v>
      </c>
      <c r="L8" s="50">
        <v>13009.88</v>
      </c>
      <c r="M8" s="50">
        <v>20051.77</v>
      </c>
      <c r="N8" s="50">
        <v>123472.75</v>
      </c>
      <c r="O8" s="50">
        <v>23303.74</v>
      </c>
      <c r="P8" s="50">
        <v>62360.899999999994</v>
      </c>
      <c r="Q8" s="50">
        <v>62155.5</v>
      </c>
      <c r="R8" s="50">
        <v>19910.7</v>
      </c>
      <c r="S8" s="50">
        <v>17904.769999999997</v>
      </c>
      <c r="T8" s="50">
        <v>18593.89</v>
      </c>
      <c r="U8" s="50">
        <v>25590.03</v>
      </c>
      <c r="V8" s="50">
        <v>10285.98</v>
      </c>
      <c r="W8" s="50">
        <v>6270.74</v>
      </c>
      <c r="X8" s="50">
        <v>8847.32</v>
      </c>
      <c r="Y8" s="50">
        <v>8392.2599999999984</v>
      </c>
      <c r="Z8" s="50">
        <v>6861.82</v>
      </c>
      <c r="AA8" s="50">
        <v>6427.67</v>
      </c>
      <c r="AB8" s="50">
        <v>1801.63</v>
      </c>
      <c r="AC8" s="50">
        <v>11714.41</v>
      </c>
      <c r="AD8" s="50">
        <v>1657.6399999999999</v>
      </c>
      <c r="AE8" s="50">
        <v>3114.78</v>
      </c>
      <c r="AF8" s="50">
        <v>9142.380000000001</v>
      </c>
      <c r="AG8" s="50">
        <v>3532.89</v>
      </c>
      <c r="AH8" s="50">
        <v>1326.49</v>
      </c>
    </row>
    <row r="9" spans="1:34" x14ac:dyDescent="0.2">
      <c r="A9" s="32">
        <v>45839</v>
      </c>
      <c r="B9" s="50">
        <v>8549.35</v>
      </c>
      <c r="C9" s="50">
        <v>18305.77</v>
      </c>
      <c r="D9" s="50">
        <v>181273.78</v>
      </c>
      <c r="E9" s="50">
        <v>7346.74</v>
      </c>
      <c r="F9" s="50">
        <v>138139.18000000002</v>
      </c>
      <c r="G9" s="50">
        <v>43867.97</v>
      </c>
      <c r="H9" s="50">
        <v>31386.85</v>
      </c>
      <c r="I9" s="50">
        <v>8073.6</v>
      </c>
      <c r="J9" s="50">
        <v>480216.57</v>
      </c>
      <c r="K9" s="50">
        <v>20440.399999999998</v>
      </c>
      <c r="L9" s="50">
        <v>17344.919999999998</v>
      </c>
      <c r="M9" s="50">
        <v>25214.2</v>
      </c>
      <c r="N9" s="50">
        <v>174650.28</v>
      </c>
      <c r="O9" s="50">
        <v>32696.33</v>
      </c>
      <c r="P9" s="50">
        <v>58627.380000000005</v>
      </c>
      <c r="Q9" s="50">
        <v>82021.299999999988</v>
      </c>
      <c r="R9" s="50">
        <v>27263.88</v>
      </c>
      <c r="S9" s="50">
        <v>22754.1</v>
      </c>
      <c r="T9" s="50">
        <v>19174.16</v>
      </c>
      <c r="U9" s="50">
        <v>28426.030000000002</v>
      </c>
      <c r="V9" s="50">
        <v>12912.89</v>
      </c>
      <c r="W9" s="50">
        <v>7617.12</v>
      </c>
      <c r="X9" s="50">
        <v>16727.64</v>
      </c>
      <c r="Y9" s="50">
        <v>10765.77</v>
      </c>
      <c r="Z9" s="50">
        <v>11252.83</v>
      </c>
      <c r="AA9" s="50">
        <v>8973.15</v>
      </c>
      <c r="AB9" s="50">
        <v>3317.64</v>
      </c>
      <c r="AC9" s="50">
        <v>37164.71</v>
      </c>
      <c r="AD9" s="50">
        <v>4770.58</v>
      </c>
      <c r="AE9" s="50">
        <v>4814.3500000000004</v>
      </c>
      <c r="AF9" s="50">
        <v>11716</v>
      </c>
      <c r="AG9" s="50">
        <v>3511.5499999999997</v>
      </c>
      <c r="AH9" s="50">
        <v>1172.52</v>
      </c>
    </row>
    <row r="10" spans="1:34" x14ac:dyDescent="0.2">
      <c r="A10" s="32">
        <v>45870</v>
      </c>
      <c r="B10" s="50">
        <v>12476.640000000001</v>
      </c>
      <c r="C10" s="50">
        <v>13701.68</v>
      </c>
      <c r="D10" s="50">
        <v>187358.5</v>
      </c>
      <c r="E10" s="50">
        <v>7435.6</v>
      </c>
      <c r="F10" s="50">
        <v>179147.93000000002</v>
      </c>
      <c r="G10" s="50">
        <v>66562.16</v>
      </c>
      <c r="H10" s="50">
        <v>30242.46</v>
      </c>
      <c r="I10" s="50">
        <v>10523.67</v>
      </c>
      <c r="J10" s="50">
        <v>561208.78999999992</v>
      </c>
      <c r="K10" s="50">
        <v>18733.89</v>
      </c>
      <c r="L10" s="50">
        <v>19610.760000000002</v>
      </c>
      <c r="M10" s="50">
        <v>27071.34</v>
      </c>
      <c r="N10" s="50">
        <v>214297.08000000002</v>
      </c>
      <c r="O10" s="50">
        <v>33814.61</v>
      </c>
      <c r="P10" s="50">
        <v>71535.92</v>
      </c>
      <c r="Q10" s="50">
        <v>103529.95000000001</v>
      </c>
      <c r="R10" s="50">
        <v>32127.29</v>
      </c>
      <c r="S10" s="50">
        <v>30200.25</v>
      </c>
      <c r="T10" s="50">
        <v>30946.170000000002</v>
      </c>
      <c r="U10" s="50">
        <v>38460.979999999996</v>
      </c>
      <c r="V10" s="50">
        <v>53922</v>
      </c>
      <c r="W10" s="50">
        <v>11707.25</v>
      </c>
      <c r="X10" s="50">
        <v>20782.45</v>
      </c>
      <c r="Y10" s="50">
        <v>13215.119999999999</v>
      </c>
      <c r="Z10" s="50">
        <v>10887.36</v>
      </c>
      <c r="AA10" s="50">
        <v>10782</v>
      </c>
      <c r="AB10" s="50">
        <v>4737.95</v>
      </c>
      <c r="AC10" s="50">
        <v>20523.690000000002</v>
      </c>
      <c r="AD10" s="50">
        <v>6627.53</v>
      </c>
      <c r="AE10" s="50">
        <v>2866.33</v>
      </c>
      <c r="AF10" s="50">
        <v>14919.07</v>
      </c>
      <c r="AG10" s="50">
        <v>4256.58</v>
      </c>
      <c r="AH10" s="50">
        <v>1940.02</v>
      </c>
    </row>
    <row r="11" spans="1:34" x14ac:dyDescent="0.2">
      <c r="A11" s="32">
        <v>45901</v>
      </c>
      <c r="B11" s="50">
        <v>11279.63</v>
      </c>
      <c r="C11" s="50">
        <v>15783.109999999999</v>
      </c>
      <c r="D11" s="50">
        <v>160277.46000000002</v>
      </c>
      <c r="E11" s="50">
        <v>5397.91</v>
      </c>
      <c r="F11" s="50">
        <v>149259.66</v>
      </c>
      <c r="G11" s="50">
        <v>51251.4</v>
      </c>
      <c r="H11" s="50">
        <v>32523.01</v>
      </c>
      <c r="I11" s="50">
        <v>8498.32</v>
      </c>
      <c r="J11" s="50">
        <v>422521.72</v>
      </c>
      <c r="K11" s="50">
        <v>19125.07</v>
      </c>
      <c r="L11" s="50">
        <v>18344.59</v>
      </c>
      <c r="M11" s="50">
        <v>25553.1</v>
      </c>
      <c r="N11" s="50">
        <v>235158.72</v>
      </c>
      <c r="O11" s="50">
        <v>29963.69</v>
      </c>
      <c r="P11" s="50">
        <v>64201.299999999996</v>
      </c>
      <c r="Q11" s="50">
        <v>64895.499999999993</v>
      </c>
      <c r="R11" s="50">
        <v>24278.54</v>
      </c>
      <c r="S11" s="50">
        <v>36531.33</v>
      </c>
      <c r="T11" s="50">
        <v>26151.47</v>
      </c>
      <c r="U11" s="50">
        <v>37437.69</v>
      </c>
      <c r="V11" s="50">
        <v>14556.24</v>
      </c>
      <c r="W11" s="50">
        <v>6300.52</v>
      </c>
      <c r="X11" s="50">
        <v>16196.740000000002</v>
      </c>
      <c r="Y11" s="50">
        <v>12427.05</v>
      </c>
      <c r="Z11" s="50">
        <v>9871.58</v>
      </c>
      <c r="AA11" s="50">
        <v>5849.2000000000007</v>
      </c>
      <c r="AB11" s="50">
        <v>3663.06</v>
      </c>
      <c r="AC11" s="50">
        <v>18321.52</v>
      </c>
      <c r="AD11" s="50">
        <v>5607.02</v>
      </c>
      <c r="AE11" s="50">
        <v>3181.39</v>
      </c>
      <c r="AF11" s="50">
        <v>11417.42</v>
      </c>
      <c r="AG11" s="50">
        <v>3352.63</v>
      </c>
      <c r="AH11" s="50">
        <v>1076.28</v>
      </c>
    </row>
    <row r="12" spans="1:34" x14ac:dyDescent="0.2">
      <c r="A12" s="32">
        <v>45931</v>
      </c>
      <c r="B12" s="50">
        <v>11806.9</v>
      </c>
      <c r="C12" s="50">
        <v>17686.64</v>
      </c>
      <c r="D12" s="50">
        <v>205147.84</v>
      </c>
      <c r="E12" s="50">
        <v>3186.22</v>
      </c>
      <c r="F12" s="50">
        <v>131091.24000000002</v>
      </c>
      <c r="G12" s="50">
        <v>67726.05</v>
      </c>
      <c r="H12" s="50">
        <v>29669.75</v>
      </c>
      <c r="I12" s="50">
        <v>8431.6</v>
      </c>
      <c r="J12" s="50">
        <v>596812.93999999994</v>
      </c>
      <c r="K12" s="50">
        <v>18828.780000000002</v>
      </c>
      <c r="L12" s="50">
        <v>20677.75</v>
      </c>
      <c r="M12" s="50">
        <v>25931.279999999999</v>
      </c>
      <c r="N12" s="50">
        <v>318337.74000000005</v>
      </c>
      <c r="O12" s="50">
        <v>27769.870000000003</v>
      </c>
      <c r="P12" s="50">
        <v>86696.57</v>
      </c>
      <c r="Q12" s="50">
        <v>82760.310000000012</v>
      </c>
      <c r="R12" s="50">
        <v>32811.730000000003</v>
      </c>
      <c r="S12" s="50">
        <v>39332.69</v>
      </c>
      <c r="T12" s="50">
        <v>31176.69</v>
      </c>
      <c r="U12" s="50">
        <v>38230.729999999996</v>
      </c>
      <c r="V12" s="50">
        <v>18964.400000000001</v>
      </c>
      <c r="W12" s="50">
        <v>7338.7</v>
      </c>
      <c r="X12" s="50">
        <v>22961.48</v>
      </c>
      <c r="Y12" s="50">
        <v>11724.56</v>
      </c>
      <c r="Z12" s="50">
        <v>11791.14</v>
      </c>
      <c r="AA12" s="50">
        <v>10021.75</v>
      </c>
      <c r="AB12" s="50">
        <v>5321.9699999999993</v>
      </c>
      <c r="AC12" s="50">
        <v>19986.03</v>
      </c>
      <c r="AD12" s="50">
        <v>4516.4000000000005</v>
      </c>
      <c r="AE12" s="50">
        <v>4948.22</v>
      </c>
      <c r="AF12" s="50">
        <v>9383.630000000001</v>
      </c>
      <c r="AG12" s="50">
        <v>3952.04</v>
      </c>
      <c r="AH12" s="50">
        <v>1396.07</v>
      </c>
    </row>
    <row r="13" spans="1:34" x14ac:dyDescent="0.2">
      <c r="A13" s="32">
        <v>45962</v>
      </c>
      <c r="B13" s="50">
        <v>14160.720000000001</v>
      </c>
      <c r="C13" s="50">
        <v>17441.86</v>
      </c>
      <c r="D13" s="50">
        <v>268249.62</v>
      </c>
      <c r="E13" s="50">
        <v>4292.4100000000008</v>
      </c>
      <c r="F13" s="50">
        <v>151286.49</v>
      </c>
      <c r="G13" s="50">
        <v>60156.73</v>
      </c>
      <c r="H13" s="50">
        <v>32241.06</v>
      </c>
      <c r="I13" s="50">
        <v>10611.26</v>
      </c>
      <c r="J13" s="50">
        <v>868292.54</v>
      </c>
      <c r="K13" s="50">
        <v>14789.43</v>
      </c>
      <c r="L13" s="50">
        <v>26517.119999999999</v>
      </c>
      <c r="M13" s="50">
        <v>23844.010000000002</v>
      </c>
      <c r="N13" s="50">
        <v>495839.74</v>
      </c>
      <c r="O13" s="50">
        <v>27938.010000000002</v>
      </c>
      <c r="P13" s="50">
        <v>74613.52</v>
      </c>
      <c r="Q13" s="50">
        <v>53914.740000000005</v>
      </c>
      <c r="R13" s="50">
        <v>34531.120000000003</v>
      </c>
      <c r="S13" s="50">
        <v>36968.839999999997</v>
      </c>
      <c r="T13" s="50">
        <v>32916.229999999996</v>
      </c>
      <c r="U13" s="50">
        <v>40497.74</v>
      </c>
      <c r="V13" s="50">
        <v>15880.640000000001</v>
      </c>
      <c r="W13" s="50">
        <v>3833.09</v>
      </c>
      <c r="X13" s="50">
        <v>38911.920000000006</v>
      </c>
      <c r="Y13" s="50">
        <v>11487.66</v>
      </c>
      <c r="Z13" s="50">
        <v>10566.42</v>
      </c>
      <c r="AA13" s="50">
        <v>13568.36</v>
      </c>
      <c r="AB13" s="50">
        <v>5878.46</v>
      </c>
      <c r="AC13" s="50">
        <v>11516.63</v>
      </c>
      <c r="AD13" s="50">
        <v>3945.87</v>
      </c>
      <c r="AE13" s="50">
        <v>5299.65</v>
      </c>
      <c r="AF13" s="50">
        <v>14668.5</v>
      </c>
      <c r="AG13" s="50">
        <v>3973.83</v>
      </c>
      <c r="AH13" s="50">
        <v>1056.5500000000002</v>
      </c>
    </row>
    <row r="14" spans="1:34" x14ac:dyDescent="0.2">
      <c r="A14" s="32">
        <v>45992</v>
      </c>
      <c r="B14" s="50">
        <v>12950.34</v>
      </c>
      <c r="C14" s="50">
        <v>13285.77</v>
      </c>
      <c r="D14" s="50">
        <v>252716.01</v>
      </c>
      <c r="E14" s="50">
        <v>4402.8900000000003</v>
      </c>
      <c r="F14" s="50">
        <v>92791.579999999987</v>
      </c>
      <c r="G14" s="50">
        <v>41945.69</v>
      </c>
      <c r="H14" s="50">
        <v>43419.19</v>
      </c>
      <c r="I14" s="50">
        <v>10773.92</v>
      </c>
      <c r="J14" s="50">
        <v>727227.87</v>
      </c>
      <c r="K14" s="50">
        <v>12573.33</v>
      </c>
      <c r="L14" s="50">
        <v>29062.440000000002</v>
      </c>
      <c r="M14" s="50">
        <v>28589.16</v>
      </c>
      <c r="N14" s="50">
        <v>528672.18000000005</v>
      </c>
      <c r="O14" s="50">
        <v>31194.52</v>
      </c>
      <c r="P14" s="50">
        <v>64815.18</v>
      </c>
      <c r="Q14" s="50">
        <v>75316.900000000009</v>
      </c>
      <c r="R14" s="50">
        <v>38368.400000000001</v>
      </c>
      <c r="S14" s="50">
        <v>29941.21</v>
      </c>
      <c r="T14" s="50">
        <v>43016.91</v>
      </c>
      <c r="U14" s="50">
        <v>42113.65</v>
      </c>
      <c r="V14" s="50">
        <v>18646.2</v>
      </c>
      <c r="W14" s="50">
        <v>2305.1</v>
      </c>
      <c r="X14" s="50">
        <v>46497.120000000003</v>
      </c>
      <c r="Y14" s="50">
        <v>12465.37</v>
      </c>
      <c r="Z14" s="50">
        <v>12448.1</v>
      </c>
      <c r="AA14" s="50">
        <v>9548.3900000000012</v>
      </c>
      <c r="AB14" s="50">
        <v>5223.34</v>
      </c>
      <c r="AC14" s="50">
        <v>13455.12</v>
      </c>
      <c r="AD14" s="50">
        <v>3981.43</v>
      </c>
      <c r="AE14" s="50">
        <v>6768.17</v>
      </c>
      <c r="AF14" s="50">
        <v>10662.61</v>
      </c>
      <c r="AG14" s="50">
        <v>4412.07</v>
      </c>
      <c r="AH14" s="50">
        <v>1019.8999999999999</v>
      </c>
    </row>
    <row r="15" spans="1:34" x14ac:dyDescent="0.2">
      <c r="A15" s="32">
        <v>46023</v>
      </c>
      <c r="B15" s="50">
        <v>13085.17</v>
      </c>
      <c r="C15" s="50">
        <v>12408.28</v>
      </c>
      <c r="D15" s="50">
        <v>238967.06</v>
      </c>
      <c r="E15" s="50">
        <v>4918.03</v>
      </c>
      <c r="F15" s="50">
        <v>93634.559999999998</v>
      </c>
      <c r="G15" s="50">
        <v>61170.81</v>
      </c>
      <c r="H15" s="50">
        <v>25971.65</v>
      </c>
      <c r="I15" s="50">
        <v>10912.060000000001</v>
      </c>
      <c r="J15" s="50">
        <v>810018.13</v>
      </c>
      <c r="K15" s="50">
        <v>15951.559999999998</v>
      </c>
      <c r="L15" s="50">
        <v>21990.29</v>
      </c>
      <c r="M15" s="50">
        <v>34526.559999999998</v>
      </c>
      <c r="N15" s="50">
        <v>259564.48</v>
      </c>
      <c r="O15" s="50">
        <v>29297.899999999998</v>
      </c>
      <c r="P15" s="50">
        <v>68179.91</v>
      </c>
      <c r="Q15" s="50">
        <v>50994.400000000001</v>
      </c>
      <c r="R15" s="50">
        <v>23869.42</v>
      </c>
      <c r="S15" s="50">
        <v>39035.97</v>
      </c>
      <c r="T15" s="50">
        <v>45037.25</v>
      </c>
      <c r="U15" s="50">
        <v>34446.689999999995</v>
      </c>
      <c r="V15" s="50">
        <v>67013.86</v>
      </c>
      <c r="W15" s="50">
        <v>3753.98</v>
      </c>
      <c r="X15" s="50">
        <v>21896.58</v>
      </c>
      <c r="Y15" s="50">
        <v>11398.619999999999</v>
      </c>
      <c r="Z15" s="50">
        <v>12461.52</v>
      </c>
      <c r="AA15" s="50">
        <v>15377.57</v>
      </c>
      <c r="AB15" s="50">
        <v>4035.2799999999997</v>
      </c>
      <c r="AC15" s="50">
        <v>11347.9</v>
      </c>
      <c r="AD15" s="50">
        <v>4498.21</v>
      </c>
      <c r="AE15" s="50">
        <v>5497.1799999999994</v>
      </c>
      <c r="AF15" s="50">
        <v>16343.93</v>
      </c>
      <c r="AG15" s="50">
        <v>4317.97</v>
      </c>
      <c r="AH15" s="50">
        <v>801.14</v>
      </c>
    </row>
    <row r="16" spans="1:34" x14ac:dyDescent="0.2">
      <c r="A16" s="32">
        <v>46054</v>
      </c>
      <c r="B16" s="50">
        <v>11918.470000000001</v>
      </c>
      <c r="C16" s="50">
        <v>30081.4</v>
      </c>
      <c r="D16" s="50">
        <v>188440.12</v>
      </c>
      <c r="E16" s="49">
        <v>2459.11</v>
      </c>
      <c r="F16" s="50">
        <v>92141.92</v>
      </c>
      <c r="G16" s="50">
        <v>59381</v>
      </c>
      <c r="H16" s="50">
        <v>23607.93</v>
      </c>
      <c r="I16" s="50">
        <v>8266.0300000000007</v>
      </c>
      <c r="J16" s="50">
        <v>562465.54</v>
      </c>
      <c r="K16" s="50">
        <v>14388.91</v>
      </c>
      <c r="L16" s="50">
        <v>18890.09</v>
      </c>
      <c r="M16" s="50">
        <v>19747.5</v>
      </c>
      <c r="N16" s="50">
        <v>175446.18</v>
      </c>
      <c r="O16" s="50">
        <v>23320.91</v>
      </c>
      <c r="P16" s="50">
        <v>82501.290000000008</v>
      </c>
      <c r="Q16" s="50">
        <v>109534.2</v>
      </c>
      <c r="R16" s="50">
        <v>19150.23</v>
      </c>
      <c r="S16" s="50">
        <v>34816.94</v>
      </c>
      <c r="T16" s="50">
        <v>44699.270000000004</v>
      </c>
      <c r="U16" s="50">
        <v>31564.51</v>
      </c>
      <c r="V16" s="50">
        <v>15053.93</v>
      </c>
      <c r="W16" s="49">
        <v>3234.01</v>
      </c>
      <c r="X16" s="50">
        <v>12975.63</v>
      </c>
      <c r="Y16" s="50">
        <v>7022.9500000000007</v>
      </c>
      <c r="Z16" s="50">
        <v>9787.2200000000012</v>
      </c>
      <c r="AA16" s="50">
        <v>12108.14</v>
      </c>
      <c r="AB16" s="50">
        <v>2952.44</v>
      </c>
      <c r="AC16" s="50">
        <v>11114.28</v>
      </c>
      <c r="AD16" s="50">
        <v>3843.18</v>
      </c>
      <c r="AE16" s="49">
        <v>1958.71</v>
      </c>
      <c r="AF16" s="49">
        <v>16374.119999999999</v>
      </c>
      <c r="AG16" s="49">
        <v>4314.2299999999996</v>
      </c>
      <c r="AH16" s="49">
        <v>813.64</v>
      </c>
    </row>
    <row r="18" spans="6:7" x14ac:dyDescent="0.2">
      <c r="F18" s="41"/>
    </row>
    <row r="19" spans="6:7" x14ac:dyDescent="0.2">
      <c r="G19" s="41"/>
    </row>
    <row r="20" spans="6:7" ht="9.75" customHeight="1" x14ac:dyDescent="0.2">
      <c r="F20" s="41"/>
    </row>
  </sheetData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E63B-654E-4114-A1D2-CEF5FBD6577B}">
  <dimension ref="A1:AF46"/>
  <sheetViews>
    <sheetView showGridLines="0" workbookViewId="0">
      <pane ySplit="2" topLeftCell="A33" activePane="bottomLeft" state="frozen"/>
      <selection pane="bottomLeft" activeCell="A44" sqref="A44"/>
    </sheetView>
  </sheetViews>
  <sheetFormatPr defaultRowHeight="15" x14ac:dyDescent="0.25"/>
  <cols>
    <col min="1" max="1" width="7.28515625" style="2" bestFit="1" customWidth="1"/>
    <col min="2" max="2" width="9.5703125" customWidth="1"/>
    <col min="3" max="3" width="10.5703125" customWidth="1"/>
    <col min="4" max="5" width="6" customWidth="1"/>
    <col min="6" max="6" width="8.42578125" style="1" customWidth="1"/>
    <col min="7" max="7" width="8" style="1" customWidth="1"/>
    <col min="8" max="8" width="9.5703125" bestFit="1" customWidth="1"/>
    <col min="9" max="9" width="10.5703125" customWidth="1"/>
    <col min="10" max="11" width="6" customWidth="1"/>
    <col min="12" max="12" width="8.42578125" style="1" customWidth="1"/>
    <col min="13" max="13" width="8" style="1" customWidth="1"/>
    <col min="14" max="14" width="8.5703125" customWidth="1"/>
    <col min="15" max="15" width="10.5703125" customWidth="1"/>
    <col min="16" max="17" width="6" customWidth="1"/>
    <col min="18" max="18" width="8.42578125" style="1" customWidth="1"/>
    <col min="19" max="19" width="8.140625" style="1" customWidth="1"/>
    <col min="20" max="20" width="8.5703125" customWidth="1"/>
    <col min="21" max="21" width="10.5703125" customWidth="1"/>
    <col min="22" max="23" width="6" customWidth="1"/>
    <col min="24" max="24" width="8.42578125" style="1" customWidth="1"/>
    <col min="25" max="25" width="8.140625" style="1" customWidth="1"/>
    <col min="26" max="26" width="10.5703125" bestFit="1" customWidth="1"/>
    <col min="27" max="28" width="8.85546875" style="19" bestFit="1" customWidth="1"/>
    <col min="29" max="29" width="12.140625" bestFit="1" customWidth="1"/>
    <col min="30" max="31" width="8.85546875" style="19" bestFit="1" customWidth="1"/>
    <col min="32" max="32" width="7.42578125" bestFit="1" customWidth="1"/>
  </cols>
  <sheetData>
    <row r="1" spans="1:32" x14ac:dyDescent="0.25">
      <c r="B1" s="45" t="s">
        <v>5</v>
      </c>
      <c r="C1" s="45"/>
      <c r="D1" s="45"/>
      <c r="E1" s="45"/>
      <c r="F1" s="45"/>
      <c r="G1" s="45"/>
      <c r="H1" s="45" t="s">
        <v>10</v>
      </c>
      <c r="I1" s="45"/>
      <c r="J1" s="45"/>
      <c r="K1" s="45"/>
      <c r="L1" s="45"/>
      <c r="M1" s="45"/>
      <c r="N1" s="45" t="s">
        <v>11</v>
      </c>
      <c r="O1" s="45"/>
      <c r="P1" s="45"/>
      <c r="Q1" s="45"/>
      <c r="R1" s="45"/>
      <c r="S1" s="45"/>
      <c r="T1" s="45" t="s">
        <v>24</v>
      </c>
      <c r="U1" s="45"/>
      <c r="V1" s="45"/>
      <c r="W1" s="45"/>
      <c r="X1" s="45"/>
      <c r="Y1" s="45"/>
      <c r="Z1" s="45" t="s">
        <v>97</v>
      </c>
      <c r="AA1" s="45"/>
      <c r="AB1" s="45"/>
      <c r="AC1" s="45"/>
      <c r="AD1" s="45"/>
      <c r="AE1" s="45"/>
      <c r="AF1" s="45"/>
    </row>
    <row r="2" spans="1:32" x14ac:dyDescent="0.25">
      <c r="B2" s="8" t="s">
        <v>2</v>
      </c>
      <c r="C2" s="8" t="s">
        <v>1</v>
      </c>
      <c r="D2" s="8" t="s">
        <v>6</v>
      </c>
      <c r="E2" s="8" t="s">
        <v>9</v>
      </c>
      <c r="F2" s="8" t="s">
        <v>7</v>
      </c>
      <c r="G2" s="8" t="s">
        <v>8</v>
      </c>
      <c r="H2" s="8" t="s">
        <v>2</v>
      </c>
      <c r="I2" s="8" t="s">
        <v>1</v>
      </c>
      <c r="J2" s="8" t="s">
        <v>6</v>
      </c>
      <c r="K2" s="8" t="s">
        <v>9</v>
      </c>
      <c r="L2" s="8" t="s">
        <v>7</v>
      </c>
      <c r="M2" s="8" t="s">
        <v>8</v>
      </c>
      <c r="N2" s="8" t="s">
        <v>2</v>
      </c>
      <c r="O2" s="8" t="s">
        <v>1</v>
      </c>
      <c r="P2" s="8" t="s">
        <v>6</v>
      </c>
      <c r="Q2" s="8" t="s">
        <v>9</v>
      </c>
      <c r="R2" s="8" t="s">
        <v>7</v>
      </c>
      <c r="S2" s="8" t="s">
        <v>8</v>
      </c>
      <c r="T2" s="8" t="s">
        <v>2</v>
      </c>
      <c r="U2" s="8" t="s">
        <v>1</v>
      </c>
      <c r="V2" s="8" t="s">
        <v>6</v>
      </c>
      <c r="W2" s="8" t="s">
        <v>9</v>
      </c>
      <c r="X2" s="8" t="s">
        <v>7</v>
      </c>
      <c r="Y2" s="8" t="s">
        <v>8</v>
      </c>
      <c r="Z2" s="8" t="s">
        <v>2</v>
      </c>
      <c r="AA2" s="8" t="s">
        <v>22</v>
      </c>
      <c r="AB2" s="8" t="s">
        <v>23</v>
      </c>
      <c r="AC2" s="8" t="s">
        <v>1</v>
      </c>
      <c r="AD2" s="8" t="s">
        <v>22</v>
      </c>
      <c r="AE2" s="8" t="s">
        <v>23</v>
      </c>
      <c r="AF2" s="8" t="s">
        <v>6</v>
      </c>
    </row>
    <row r="3" spans="1:32" x14ac:dyDescent="0.25">
      <c r="A3" s="6">
        <v>44835</v>
      </c>
      <c r="B3" s="5">
        <v>9698.58</v>
      </c>
      <c r="C3" s="5">
        <v>288010.98</v>
      </c>
      <c r="D3" s="5">
        <f>C3/B3</f>
        <v>29.696200887140179</v>
      </c>
      <c r="E3" s="5">
        <v>78.010000000000005</v>
      </c>
      <c r="F3" s="7" t="s">
        <v>0</v>
      </c>
      <c r="G3" s="7" t="s">
        <v>0</v>
      </c>
      <c r="H3" s="5">
        <v>4453.51</v>
      </c>
      <c r="I3" s="5">
        <v>151618.59</v>
      </c>
      <c r="J3" s="5">
        <f>I3/H3</f>
        <v>34.044739991602128</v>
      </c>
      <c r="K3" s="5">
        <v>52.43</v>
      </c>
      <c r="L3" s="7" t="s">
        <v>0</v>
      </c>
      <c r="M3" s="7" t="s">
        <v>0</v>
      </c>
      <c r="N3" s="5">
        <v>3141.04</v>
      </c>
      <c r="O3" s="5">
        <v>116257.99</v>
      </c>
      <c r="P3" s="5">
        <f>O3/N3</f>
        <v>37.012578636375217</v>
      </c>
      <c r="Q3" s="5">
        <v>76.2</v>
      </c>
      <c r="R3" s="7" t="s">
        <v>0</v>
      </c>
      <c r="S3" s="7" t="s">
        <v>0</v>
      </c>
      <c r="T3" s="21"/>
      <c r="U3" s="21"/>
      <c r="V3" s="21"/>
      <c r="W3" s="21"/>
      <c r="X3" s="22"/>
      <c r="Y3" s="22"/>
      <c r="Z3" s="17">
        <v>23522.91</v>
      </c>
      <c r="AA3" s="18" t="s">
        <v>0</v>
      </c>
      <c r="AB3" s="18" t="s">
        <v>0</v>
      </c>
      <c r="AC3" s="17">
        <v>829717.14</v>
      </c>
      <c r="AD3" s="18" t="s">
        <v>0</v>
      </c>
      <c r="AE3" s="18" t="s">
        <v>0</v>
      </c>
      <c r="AF3" s="17">
        <f>AC3/Z3</f>
        <v>35.27272518578696</v>
      </c>
    </row>
    <row r="4" spans="1:32" x14ac:dyDescent="0.25">
      <c r="A4" s="6">
        <v>44866</v>
      </c>
      <c r="B4" s="5">
        <v>11905.91</v>
      </c>
      <c r="C4" s="5">
        <v>354687.98</v>
      </c>
      <c r="D4" s="5">
        <f t="shared" ref="D4:D28" si="0">C4/B4</f>
        <v>29.790917283937137</v>
      </c>
      <c r="E4" s="5">
        <v>64.42</v>
      </c>
      <c r="F4" s="4" t="s">
        <v>0</v>
      </c>
      <c r="G4" s="4" t="s">
        <v>0</v>
      </c>
      <c r="H4" s="5">
        <v>4325.3900000000003</v>
      </c>
      <c r="I4" s="5">
        <v>148820.60999999999</v>
      </c>
      <c r="J4" s="5">
        <f t="shared" ref="J4:J28" si="1">I4/H4</f>
        <v>34.40628706313187</v>
      </c>
      <c r="K4" s="5">
        <v>53.32</v>
      </c>
      <c r="L4" s="4" t="s">
        <v>0</v>
      </c>
      <c r="M4" s="4" t="s">
        <v>0</v>
      </c>
      <c r="N4" s="5">
        <v>2288.39</v>
      </c>
      <c r="O4" s="5">
        <v>85652.65</v>
      </c>
      <c r="P4" s="5">
        <f t="shared" ref="P4:P30" si="2">O4/N4</f>
        <v>37.429218795747225</v>
      </c>
      <c r="Q4" s="5">
        <v>85.51</v>
      </c>
      <c r="R4" s="4" t="s">
        <v>0</v>
      </c>
      <c r="S4" s="4" t="s">
        <v>0</v>
      </c>
      <c r="T4" s="21"/>
      <c r="U4" s="21"/>
      <c r="V4" s="21"/>
      <c r="W4" s="21"/>
      <c r="X4" s="15"/>
      <c r="Y4" s="15"/>
      <c r="Z4" s="17">
        <v>23745.32</v>
      </c>
      <c r="AA4" s="18">
        <f>(Z4/Z3)-1</f>
        <v>9.4550376632822619E-3</v>
      </c>
      <c r="AB4" s="18" t="s">
        <v>0</v>
      </c>
      <c r="AC4" s="17">
        <v>801453.53</v>
      </c>
      <c r="AD4" s="18">
        <f>(AC4/AC3)-1</f>
        <v>-3.4064151067193849E-2</v>
      </c>
      <c r="AE4" s="18" t="s">
        <v>0</v>
      </c>
      <c r="AF4" s="17">
        <f t="shared" ref="AF4:AF30" si="3">AC4/Z4</f>
        <v>33.752062722254323</v>
      </c>
    </row>
    <row r="5" spans="1:32" x14ac:dyDescent="0.25">
      <c r="A5" s="6">
        <v>44896</v>
      </c>
      <c r="B5" s="5">
        <v>6889.09</v>
      </c>
      <c r="C5" s="5">
        <v>208346.85</v>
      </c>
      <c r="D5" s="5">
        <f t="shared" si="0"/>
        <v>30.243014679732738</v>
      </c>
      <c r="E5" s="5">
        <v>64.59</v>
      </c>
      <c r="F5" s="4" t="s">
        <v>0</v>
      </c>
      <c r="G5" s="4" t="s">
        <v>0</v>
      </c>
      <c r="H5" s="5">
        <v>2794.28</v>
      </c>
      <c r="I5" s="5">
        <v>97064.02</v>
      </c>
      <c r="J5" s="5">
        <f t="shared" si="1"/>
        <v>34.736683510600223</v>
      </c>
      <c r="K5" s="5">
        <v>54.14</v>
      </c>
      <c r="L5" s="4" t="s">
        <v>0</v>
      </c>
      <c r="M5" s="4" t="s">
        <v>0</v>
      </c>
      <c r="N5" s="5">
        <v>1596.56</v>
      </c>
      <c r="O5" s="5">
        <v>59847.82</v>
      </c>
      <c r="P5" s="5">
        <f t="shared" si="2"/>
        <v>37.485481284762237</v>
      </c>
      <c r="Q5" s="5">
        <v>82.41</v>
      </c>
      <c r="R5" s="4" t="s">
        <v>0</v>
      </c>
      <c r="S5" s="4" t="s">
        <v>0</v>
      </c>
      <c r="T5" s="21"/>
      <c r="U5" s="21"/>
      <c r="V5" s="21"/>
      <c r="W5" s="21"/>
      <c r="X5" s="15"/>
      <c r="Y5" s="15"/>
      <c r="Z5" s="17">
        <v>14467.25</v>
      </c>
      <c r="AA5" s="18">
        <f t="shared" ref="AA5:AA30" si="4">(Z5/Z4)-1</f>
        <v>-0.39073257382928506</v>
      </c>
      <c r="AB5" s="18" t="s">
        <v>0</v>
      </c>
      <c r="AC5" s="17">
        <v>493430.66</v>
      </c>
      <c r="AD5" s="18">
        <f t="shared" ref="AD5:AD30" si="5">(AC5/AC4)-1</f>
        <v>-0.38433029298654409</v>
      </c>
      <c r="AE5" s="18" t="s">
        <v>0</v>
      </c>
      <c r="AF5" s="17">
        <f t="shared" si="3"/>
        <v>34.106734866681641</v>
      </c>
    </row>
    <row r="6" spans="1:32" x14ac:dyDescent="0.25">
      <c r="A6" s="6">
        <v>44927</v>
      </c>
      <c r="B6" s="5">
        <v>8180.91</v>
      </c>
      <c r="C6" s="5">
        <v>241650.14</v>
      </c>
      <c r="D6" s="5">
        <f t="shared" si="0"/>
        <v>29.538295861951791</v>
      </c>
      <c r="E6" s="5">
        <v>60.17</v>
      </c>
      <c r="F6" s="4" t="s">
        <v>0</v>
      </c>
      <c r="G6" s="4" t="s">
        <v>0</v>
      </c>
      <c r="H6" s="5">
        <v>2226.15</v>
      </c>
      <c r="I6" s="5">
        <v>76751.42</v>
      </c>
      <c r="J6" s="5">
        <f t="shared" si="1"/>
        <v>34.477200548031355</v>
      </c>
      <c r="K6" s="5">
        <v>53.68</v>
      </c>
      <c r="L6" s="4" t="s">
        <v>0</v>
      </c>
      <c r="M6" s="4" t="s">
        <v>0</v>
      </c>
      <c r="N6" s="5">
        <v>1491.27</v>
      </c>
      <c r="O6" s="5">
        <v>56169.3</v>
      </c>
      <c r="P6" s="5">
        <f t="shared" si="2"/>
        <v>37.665412701925206</v>
      </c>
      <c r="Q6" s="5">
        <v>81.849999999999994</v>
      </c>
      <c r="R6" s="4" t="s">
        <v>0</v>
      </c>
      <c r="S6" s="4" t="s">
        <v>0</v>
      </c>
      <c r="T6" s="21"/>
      <c r="U6" s="21"/>
      <c r="V6" s="21"/>
      <c r="W6" s="21"/>
      <c r="X6" s="15"/>
      <c r="Y6" s="15"/>
      <c r="Z6" s="17">
        <v>13893.62</v>
      </c>
      <c r="AA6" s="18">
        <f t="shared" si="4"/>
        <v>-3.965024451779009E-2</v>
      </c>
      <c r="AB6" s="18" t="s">
        <v>0</v>
      </c>
      <c r="AC6" s="17">
        <v>455982.66</v>
      </c>
      <c r="AD6" s="18">
        <f t="shared" si="5"/>
        <v>-7.5893135623149144E-2</v>
      </c>
      <c r="AE6" s="18" t="s">
        <v>0</v>
      </c>
      <c r="AF6" s="17">
        <f t="shared" si="3"/>
        <v>32.819571861041254</v>
      </c>
    </row>
    <row r="7" spans="1:32" x14ac:dyDescent="0.25">
      <c r="A7" s="6">
        <v>44958</v>
      </c>
      <c r="B7" s="5">
        <v>7742.06</v>
      </c>
      <c r="C7" s="5">
        <v>223893.37</v>
      </c>
      <c r="D7" s="5">
        <f t="shared" si="0"/>
        <v>28.919095176219248</v>
      </c>
      <c r="E7" s="5">
        <v>55.26</v>
      </c>
      <c r="F7" s="4" t="s">
        <v>0</v>
      </c>
      <c r="G7" s="4" t="s">
        <v>0</v>
      </c>
      <c r="H7" s="5">
        <v>1817.18</v>
      </c>
      <c r="I7" s="5">
        <v>61802.95</v>
      </c>
      <c r="J7" s="5">
        <f t="shared" si="1"/>
        <v>34.010362209577472</v>
      </c>
      <c r="K7" s="5">
        <v>51.73</v>
      </c>
      <c r="L7" s="4" t="s">
        <v>0</v>
      </c>
      <c r="M7" s="4" t="s">
        <v>0</v>
      </c>
      <c r="N7" s="5">
        <v>1603.14</v>
      </c>
      <c r="O7" s="5">
        <v>57876.56</v>
      </c>
      <c r="P7" s="5">
        <f t="shared" si="2"/>
        <v>36.101999825342759</v>
      </c>
      <c r="Q7" s="5">
        <v>85.07</v>
      </c>
      <c r="R7" s="4" t="s">
        <v>0</v>
      </c>
      <c r="S7" s="4" t="s">
        <v>0</v>
      </c>
      <c r="T7" s="21"/>
      <c r="U7" s="21"/>
      <c r="V7" s="21"/>
      <c r="W7" s="21"/>
      <c r="X7" s="15"/>
      <c r="Y7" s="15"/>
      <c r="Z7" s="17">
        <v>13032.56</v>
      </c>
      <c r="AA7" s="18">
        <f t="shared" si="4"/>
        <v>-6.197520876488638E-2</v>
      </c>
      <c r="AB7" s="18" t="s">
        <v>0</v>
      </c>
      <c r="AC7" s="17">
        <v>418280.7</v>
      </c>
      <c r="AD7" s="18">
        <f t="shared" si="5"/>
        <v>-8.2682880967447248E-2</v>
      </c>
      <c r="AE7" s="18" t="s">
        <v>0</v>
      </c>
      <c r="AF7" s="17">
        <f t="shared" si="3"/>
        <v>32.095052698779057</v>
      </c>
    </row>
    <row r="8" spans="1:32" x14ac:dyDescent="0.25">
      <c r="A8" s="6">
        <v>44986</v>
      </c>
      <c r="B8" s="5">
        <v>13904.63</v>
      </c>
      <c r="C8" s="5">
        <v>366100.77</v>
      </c>
      <c r="D8" s="5">
        <f t="shared" si="0"/>
        <v>26.32941473451649</v>
      </c>
      <c r="E8" s="5">
        <v>71.33</v>
      </c>
      <c r="F8" s="4" t="s">
        <v>0</v>
      </c>
      <c r="G8" s="4" t="s">
        <v>0</v>
      </c>
      <c r="H8" s="5">
        <v>2117.9499999999998</v>
      </c>
      <c r="I8" s="5">
        <v>72909.98</v>
      </c>
      <c r="J8" s="5">
        <f t="shared" si="1"/>
        <v>34.424788120588303</v>
      </c>
      <c r="K8" s="5">
        <v>54.37</v>
      </c>
      <c r="L8" s="4" t="s">
        <v>0</v>
      </c>
      <c r="M8" s="4" t="s">
        <v>0</v>
      </c>
      <c r="N8" s="5">
        <v>1236.03</v>
      </c>
      <c r="O8" s="5">
        <v>47391.01</v>
      </c>
      <c r="P8" s="5">
        <f t="shared" si="2"/>
        <v>38.341310485991443</v>
      </c>
      <c r="Q8" s="5">
        <v>83.98</v>
      </c>
      <c r="R8" s="4" t="s">
        <v>0</v>
      </c>
      <c r="S8" s="4" t="s">
        <v>0</v>
      </c>
      <c r="T8" s="21"/>
      <c r="U8" s="21"/>
      <c r="V8" s="21"/>
      <c r="W8" s="21"/>
      <c r="X8" s="15"/>
      <c r="Y8" s="15"/>
      <c r="Z8" s="17">
        <v>19279.28</v>
      </c>
      <c r="AA8" s="18">
        <f t="shared" si="4"/>
        <v>0.47931641979779882</v>
      </c>
      <c r="AB8" s="18" t="s">
        <v>0</v>
      </c>
      <c r="AC8" s="17">
        <v>572276.14</v>
      </c>
      <c r="AD8" s="18">
        <f t="shared" si="5"/>
        <v>0.36816291069609464</v>
      </c>
      <c r="AE8" s="18" t="s">
        <v>0</v>
      </c>
      <c r="AF8" s="17">
        <f t="shared" si="3"/>
        <v>29.683480918374549</v>
      </c>
    </row>
    <row r="9" spans="1:32" x14ac:dyDescent="0.25">
      <c r="A9" s="6">
        <v>45017</v>
      </c>
      <c r="B9" s="5">
        <v>11335.22</v>
      </c>
      <c r="C9" s="5">
        <v>295736.75</v>
      </c>
      <c r="D9" s="5">
        <f t="shared" si="0"/>
        <v>26.090075887366986</v>
      </c>
      <c r="E9" s="5">
        <v>68.239999999999995</v>
      </c>
      <c r="F9" s="4" t="s">
        <v>0</v>
      </c>
      <c r="G9" s="4" t="s">
        <v>0</v>
      </c>
      <c r="H9" s="5">
        <v>2632.56</v>
      </c>
      <c r="I9" s="5">
        <v>91077.59</v>
      </c>
      <c r="J9" s="5">
        <f t="shared" si="1"/>
        <v>34.596586592518307</v>
      </c>
      <c r="K9" s="5">
        <v>47.5</v>
      </c>
      <c r="L9" s="4" t="s">
        <v>0</v>
      </c>
      <c r="M9" s="4" t="s">
        <v>0</v>
      </c>
      <c r="N9" s="5">
        <v>3423.31</v>
      </c>
      <c r="O9" s="5">
        <v>114360.8</v>
      </c>
      <c r="P9" s="5">
        <f t="shared" si="2"/>
        <v>33.406498388986101</v>
      </c>
      <c r="Q9" s="5">
        <v>62.51</v>
      </c>
      <c r="R9" s="4" t="s">
        <v>0</v>
      </c>
      <c r="S9" s="4" t="s">
        <v>0</v>
      </c>
      <c r="T9" s="21"/>
      <c r="U9" s="21"/>
      <c r="V9" s="21"/>
      <c r="W9" s="21"/>
      <c r="X9" s="15"/>
      <c r="Y9" s="15"/>
      <c r="Z9" s="17">
        <v>18846.21</v>
      </c>
      <c r="AA9" s="18">
        <f t="shared" si="4"/>
        <v>-2.2462975795776607E-2</v>
      </c>
      <c r="AB9" s="18" t="s">
        <v>0</v>
      </c>
      <c r="AC9" s="17">
        <v>559818.92000000004</v>
      </c>
      <c r="AD9" s="18">
        <f t="shared" si="5"/>
        <v>-2.1767847948369723E-2</v>
      </c>
      <c r="AE9" s="18" t="s">
        <v>0</v>
      </c>
      <c r="AF9" s="17">
        <f t="shared" si="3"/>
        <v>29.704588880204565</v>
      </c>
    </row>
    <row r="10" spans="1:32" x14ac:dyDescent="0.25">
      <c r="A10" s="6">
        <v>45047</v>
      </c>
      <c r="B10" s="5">
        <v>11521.09</v>
      </c>
      <c r="C10" s="5">
        <v>297343.98</v>
      </c>
      <c r="D10" s="5">
        <f t="shared" si="0"/>
        <v>25.808667409073273</v>
      </c>
      <c r="E10" s="5">
        <v>72.75</v>
      </c>
      <c r="F10" s="4" t="s">
        <v>0</v>
      </c>
      <c r="G10" s="4" t="s">
        <v>0</v>
      </c>
      <c r="H10" s="5">
        <v>2476.2199999999998</v>
      </c>
      <c r="I10" s="5">
        <v>96966.61</v>
      </c>
      <c r="J10" s="5">
        <f t="shared" si="1"/>
        <v>39.159125602733205</v>
      </c>
      <c r="K10" s="5">
        <v>54.69</v>
      </c>
      <c r="L10" s="4" t="s">
        <v>0</v>
      </c>
      <c r="M10" s="4" t="s">
        <v>0</v>
      </c>
      <c r="N10" s="5">
        <v>2436.1799999999998</v>
      </c>
      <c r="O10" s="5">
        <v>87450.95</v>
      </c>
      <c r="P10" s="5">
        <f t="shared" si="2"/>
        <v>35.896752292523544</v>
      </c>
      <c r="Q10" s="5">
        <v>72.59</v>
      </c>
      <c r="R10" s="4" t="s">
        <v>0</v>
      </c>
      <c r="S10" s="4" t="s">
        <v>0</v>
      </c>
      <c r="T10" s="21"/>
      <c r="U10" s="21"/>
      <c r="V10" s="21"/>
      <c r="W10" s="21"/>
      <c r="X10" s="15"/>
      <c r="Y10" s="15"/>
      <c r="Z10" s="17">
        <v>20231.560000000001</v>
      </c>
      <c r="AA10" s="18">
        <f t="shared" si="4"/>
        <v>7.3508148322660283E-2</v>
      </c>
      <c r="AB10" s="18" t="s">
        <v>0</v>
      </c>
      <c r="AC10" s="17">
        <v>615311.78</v>
      </c>
      <c r="AD10" s="18">
        <f t="shared" si="5"/>
        <v>9.9126446101535759E-2</v>
      </c>
      <c r="AE10" s="18" t="s">
        <v>0</v>
      </c>
      <c r="AF10" s="17">
        <f t="shared" si="3"/>
        <v>30.413461937685476</v>
      </c>
    </row>
    <row r="11" spans="1:32" x14ac:dyDescent="0.25">
      <c r="A11" s="6">
        <v>45078</v>
      </c>
      <c r="B11" s="5">
        <v>8507.74</v>
      </c>
      <c r="C11" s="5">
        <v>229176.13</v>
      </c>
      <c r="D11" s="5">
        <f t="shared" si="0"/>
        <v>26.93736879594346</v>
      </c>
      <c r="E11" s="5">
        <v>62.55</v>
      </c>
      <c r="F11" s="4" t="s">
        <v>0</v>
      </c>
      <c r="G11" s="4" t="s">
        <v>0</v>
      </c>
      <c r="H11" s="5">
        <v>2203.4</v>
      </c>
      <c r="I11" s="5">
        <v>77637.09</v>
      </c>
      <c r="J11" s="5">
        <f t="shared" si="1"/>
        <v>35.235132068621219</v>
      </c>
      <c r="K11" s="5">
        <v>55.02</v>
      </c>
      <c r="L11" s="4" t="s">
        <v>0</v>
      </c>
      <c r="M11" s="4" t="s">
        <v>0</v>
      </c>
      <c r="N11" s="5">
        <v>2651.36</v>
      </c>
      <c r="O11" s="5">
        <v>95203.15</v>
      </c>
      <c r="P11" s="5">
        <f t="shared" si="2"/>
        <v>35.907289089372995</v>
      </c>
      <c r="Q11" s="5">
        <v>69.22</v>
      </c>
      <c r="R11" s="4" t="s">
        <v>0</v>
      </c>
      <c r="S11" s="4" t="s">
        <v>0</v>
      </c>
      <c r="T11" s="21"/>
      <c r="U11" s="21"/>
      <c r="V11" s="21"/>
      <c r="W11" s="21"/>
      <c r="X11" s="15"/>
      <c r="Y11" s="15"/>
      <c r="Z11" s="17">
        <v>19415.64</v>
      </c>
      <c r="AA11" s="18">
        <f t="shared" si="4"/>
        <v>-4.0329070027224856E-2</v>
      </c>
      <c r="AB11" s="18" t="s">
        <v>0</v>
      </c>
      <c r="AC11" s="17">
        <v>575375.5</v>
      </c>
      <c r="AD11" s="18">
        <f t="shared" si="5"/>
        <v>-6.4904136891382191E-2</v>
      </c>
      <c r="AE11" s="18" t="s">
        <v>0</v>
      </c>
      <c r="AF11" s="17">
        <f t="shared" si="3"/>
        <v>29.634639908856983</v>
      </c>
    </row>
    <row r="12" spans="1:32" x14ac:dyDescent="0.25">
      <c r="A12" s="6">
        <v>45108</v>
      </c>
      <c r="B12" s="5">
        <v>10093.06</v>
      </c>
      <c r="C12" s="5">
        <v>267233.06</v>
      </c>
      <c r="D12" s="5">
        <f t="shared" si="0"/>
        <v>26.476911858247153</v>
      </c>
      <c r="E12" s="5">
        <v>69.92</v>
      </c>
      <c r="F12" s="4" t="s">
        <v>0</v>
      </c>
      <c r="G12" s="4" t="s">
        <v>0</v>
      </c>
      <c r="H12" s="5">
        <v>4863.1899999999996</v>
      </c>
      <c r="I12" s="5">
        <v>170992.06</v>
      </c>
      <c r="J12" s="5">
        <f t="shared" si="1"/>
        <v>35.160472858350182</v>
      </c>
      <c r="K12" s="5">
        <v>50.1</v>
      </c>
      <c r="L12" s="4" t="s">
        <v>0</v>
      </c>
      <c r="M12" s="4" t="s">
        <v>0</v>
      </c>
      <c r="N12" s="5">
        <v>3015.46</v>
      </c>
      <c r="O12" s="5">
        <v>108862.11</v>
      </c>
      <c r="P12" s="5">
        <f t="shared" si="2"/>
        <v>36.101327823947258</v>
      </c>
      <c r="Q12" s="5">
        <v>68.790000000000006</v>
      </c>
      <c r="R12" s="4" t="s">
        <v>0</v>
      </c>
      <c r="S12" s="4" t="s">
        <v>0</v>
      </c>
      <c r="T12" s="21"/>
      <c r="U12" s="21"/>
      <c r="V12" s="21"/>
      <c r="W12" s="21"/>
      <c r="X12" s="15"/>
      <c r="Y12" s="15"/>
      <c r="Z12" s="17">
        <v>25813.59</v>
      </c>
      <c r="AA12" s="18">
        <f t="shared" si="4"/>
        <v>0.32952557834817719</v>
      </c>
      <c r="AB12" s="18" t="s">
        <v>0</v>
      </c>
      <c r="AC12" s="17">
        <v>785022.9</v>
      </c>
      <c r="AD12" s="18">
        <f t="shared" si="5"/>
        <v>0.36436622692485177</v>
      </c>
      <c r="AE12" s="18" t="s">
        <v>0</v>
      </c>
      <c r="AF12" s="17">
        <f t="shared" si="3"/>
        <v>30.411225249955546</v>
      </c>
    </row>
    <row r="13" spans="1:32" x14ac:dyDescent="0.25">
      <c r="A13" s="6">
        <v>45139</v>
      </c>
      <c r="B13" s="5">
        <v>12400.91</v>
      </c>
      <c r="C13" s="5">
        <v>313044.18</v>
      </c>
      <c r="D13" s="5">
        <f t="shared" si="0"/>
        <v>25.243645829217371</v>
      </c>
      <c r="E13" s="5">
        <v>80.53</v>
      </c>
      <c r="F13" s="4" t="s">
        <v>0</v>
      </c>
      <c r="G13" s="4" t="s">
        <v>0</v>
      </c>
      <c r="H13" s="5">
        <v>6232.9</v>
      </c>
      <c r="I13" s="5">
        <v>213845.06</v>
      </c>
      <c r="J13" s="5">
        <f t="shared" si="1"/>
        <v>34.309079240802838</v>
      </c>
      <c r="K13" s="5">
        <v>48.83</v>
      </c>
      <c r="L13" s="4" t="s">
        <v>0</v>
      </c>
      <c r="M13" s="4" t="s">
        <v>0</v>
      </c>
      <c r="N13" s="5">
        <v>4035.18</v>
      </c>
      <c r="O13" s="5">
        <v>140529.17000000001</v>
      </c>
      <c r="P13" s="5">
        <f t="shared" si="2"/>
        <v>34.825997848918767</v>
      </c>
      <c r="Q13" s="5">
        <v>66.52</v>
      </c>
      <c r="R13" s="4" t="s">
        <v>0</v>
      </c>
      <c r="S13" s="4" t="s">
        <v>0</v>
      </c>
      <c r="T13" s="21"/>
      <c r="U13" s="21"/>
      <c r="V13" s="21"/>
      <c r="W13" s="21"/>
      <c r="X13" s="15"/>
      <c r="Y13" s="15"/>
      <c r="Z13" s="17">
        <v>28954.87</v>
      </c>
      <c r="AA13" s="18">
        <f t="shared" si="4"/>
        <v>0.12169093876520076</v>
      </c>
      <c r="AB13" s="18" t="s">
        <v>0</v>
      </c>
      <c r="AC13" s="17">
        <v>867862.09</v>
      </c>
      <c r="AD13" s="18">
        <f t="shared" si="5"/>
        <v>0.10552455221369961</v>
      </c>
      <c r="AE13" s="18" t="s">
        <v>0</v>
      </c>
      <c r="AF13" s="17">
        <f t="shared" si="3"/>
        <v>29.972923035054208</v>
      </c>
    </row>
    <row r="14" spans="1:32" x14ac:dyDescent="0.25">
      <c r="A14" s="6">
        <v>45170</v>
      </c>
      <c r="B14" s="5">
        <v>11054.97</v>
      </c>
      <c r="C14" s="5">
        <v>294861.5</v>
      </c>
      <c r="D14" s="5">
        <f t="shared" si="0"/>
        <v>26.672302141027973</v>
      </c>
      <c r="E14" s="5">
        <v>73.260000000000005</v>
      </c>
      <c r="F14" s="4" t="s">
        <v>0</v>
      </c>
      <c r="G14" s="4" t="s">
        <v>0</v>
      </c>
      <c r="H14" s="5">
        <v>5723.33</v>
      </c>
      <c r="I14" s="5">
        <v>205366.09</v>
      </c>
      <c r="J14" s="5">
        <f t="shared" si="1"/>
        <v>35.882273082279021</v>
      </c>
      <c r="K14" s="5">
        <v>51.77</v>
      </c>
      <c r="L14" s="4" t="s">
        <v>0</v>
      </c>
      <c r="M14" s="4" t="s">
        <v>0</v>
      </c>
      <c r="N14" s="5">
        <v>2566.16</v>
      </c>
      <c r="O14" s="5">
        <v>91000.5</v>
      </c>
      <c r="P14" s="5">
        <f t="shared" si="2"/>
        <v>35.461740499423264</v>
      </c>
      <c r="Q14" s="5">
        <v>68.209999999999994</v>
      </c>
      <c r="R14" s="4" t="s">
        <v>0</v>
      </c>
      <c r="S14" s="4" t="s">
        <v>0</v>
      </c>
      <c r="T14" s="21"/>
      <c r="U14" s="21"/>
      <c r="V14" s="21"/>
      <c r="W14" s="21"/>
      <c r="X14" s="15"/>
      <c r="Y14" s="15"/>
      <c r="Z14" s="17">
        <v>25156.32</v>
      </c>
      <c r="AA14" s="18">
        <f t="shared" si="4"/>
        <v>-0.13118863942404158</v>
      </c>
      <c r="AB14" s="18" t="s">
        <v>0</v>
      </c>
      <c r="AC14" s="17">
        <v>772398.21</v>
      </c>
      <c r="AD14" s="18">
        <f t="shared" si="5"/>
        <v>-0.1099989054712599</v>
      </c>
      <c r="AE14" s="18" t="s">
        <v>0</v>
      </c>
      <c r="AF14" s="17">
        <f t="shared" si="3"/>
        <v>30.703942786544296</v>
      </c>
    </row>
    <row r="15" spans="1:32" x14ac:dyDescent="0.25">
      <c r="A15" s="6">
        <v>45200</v>
      </c>
      <c r="B15" s="5">
        <v>8856.7199999999993</v>
      </c>
      <c r="C15" s="5">
        <v>235914.66</v>
      </c>
      <c r="D15" s="5">
        <f t="shared" si="0"/>
        <v>26.636797821315344</v>
      </c>
      <c r="E15" s="5">
        <v>65.77</v>
      </c>
      <c r="F15" s="4">
        <f>(B15/B3)-1</f>
        <v>-8.6802397876802662E-2</v>
      </c>
      <c r="G15" s="4">
        <f>(C15/C3)-1</f>
        <v>-0.18088310383166639</v>
      </c>
      <c r="H15" s="5">
        <v>4564.95</v>
      </c>
      <c r="I15" s="5">
        <v>159426.54</v>
      </c>
      <c r="J15" s="5">
        <f t="shared" si="1"/>
        <v>34.924049551473729</v>
      </c>
      <c r="K15" s="5">
        <v>48.75</v>
      </c>
      <c r="L15" s="4">
        <f>(H15/H3)-1</f>
        <v>2.5022959418526058E-2</v>
      </c>
      <c r="M15" s="4">
        <f>(I15/I3)-1</f>
        <v>5.1497313093335162E-2</v>
      </c>
      <c r="N15" s="5">
        <v>2820.02</v>
      </c>
      <c r="O15" s="5">
        <v>98721.62</v>
      </c>
      <c r="P15" s="5">
        <f t="shared" si="2"/>
        <v>35.007418387103634</v>
      </c>
      <c r="Q15" s="5">
        <v>66.599999999999994</v>
      </c>
      <c r="R15" s="4">
        <f>(N15/N3)-1</f>
        <v>-0.10220181850597254</v>
      </c>
      <c r="S15" s="4">
        <f>(O15/O3)-1</f>
        <v>-0.1508401272033002</v>
      </c>
      <c r="T15" s="21"/>
      <c r="U15" s="21"/>
      <c r="V15" s="21"/>
      <c r="W15" s="21"/>
      <c r="X15" s="15"/>
      <c r="Y15" s="15"/>
      <c r="Z15" s="17">
        <v>22544.23</v>
      </c>
      <c r="AA15" s="18">
        <f t="shared" si="4"/>
        <v>-0.1038343446100225</v>
      </c>
      <c r="AB15" s="18">
        <f>(Z15/Z3)-1</f>
        <v>-4.1605396611218648E-2</v>
      </c>
      <c r="AC15" s="17">
        <v>681378.2</v>
      </c>
      <c r="AD15" s="18">
        <f t="shared" si="5"/>
        <v>-0.11784078318876479</v>
      </c>
      <c r="AE15" s="18">
        <f>(AC15/AC3)-1</f>
        <v>-0.1787825426867764</v>
      </c>
      <c r="AF15" s="17">
        <f t="shared" si="3"/>
        <v>30.224061766580625</v>
      </c>
    </row>
    <row r="16" spans="1:32" x14ac:dyDescent="0.25">
      <c r="A16" s="6">
        <v>45231</v>
      </c>
      <c r="B16" s="5">
        <v>5853.11</v>
      </c>
      <c r="C16" s="5">
        <v>159860.84</v>
      </c>
      <c r="D16" s="5">
        <f t="shared" si="0"/>
        <v>27.312119539868551</v>
      </c>
      <c r="E16" s="5">
        <v>59.69</v>
      </c>
      <c r="F16" s="4">
        <f t="shared" ref="F16:F28" si="6">(B16/B4)-1</f>
        <v>-0.50838617123764585</v>
      </c>
      <c r="G16" s="4">
        <f t="shared" ref="G16:G28" si="7">(C16/C4)-1</f>
        <v>-0.54929163373396528</v>
      </c>
      <c r="H16" s="5">
        <v>7836.86</v>
      </c>
      <c r="I16" s="5">
        <v>245344.92</v>
      </c>
      <c r="J16" s="5">
        <f t="shared" si="1"/>
        <v>31.306533484073981</v>
      </c>
      <c r="K16" s="5">
        <v>43.54</v>
      </c>
      <c r="L16" s="4">
        <f t="shared" ref="L16:L28" si="8">(H16/H4)-1</f>
        <v>0.81182737279181749</v>
      </c>
      <c r="M16" s="4">
        <f t="shared" ref="M16:M28" si="9">(I16/I4)-1</f>
        <v>0.64859504338814378</v>
      </c>
      <c r="N16" s="5">
        <v>3176.8</v>
      </c>
      <c r="O16" s="5">
        <v>107837.24</v>
      </c>
      <c r="P16" s="5">
        <f t="shared" si="2"/>
        <v>33.945240493578446</v>
      </c>
      <c r="Q16" s="5">
        <v>61.37</v>
      </c>
      <c r="R16" s="4">
        <f t="shared" ref="R16:R30" si="10">(N16/N4)-1</f>
        <v>0.38822490921564956</v>
      </c>
      <c r="S16" s="4">
        <f t="shared" ref="S16:S30" si="11">(O16/O4)-1</f>
        <v>0.25900646389808157</v>
      </c>
      <c r="T16" s="21"/>
      <c r="U16" s="21"/>
      <c r="V16" s="21"/>
      <c r="W16" s="21"/>
      <c r="X16" s="15"/>
      <c r="Y16" s="15"/>
      <c r="Z16" s="17">
        <v>24157.55</v>
      </c>
      <c r="AA16" s="18">
        <f t="shared" si="4"/>
        <v>7.1562435266141255E-2</v>
      </c>
      <c r="AB16" s="18">
        <f t="shared" ref="AB16:AB30" si="12">(Z16/Z4)-1</f>
        <v>1.7360473558579059E-2</v>
      </c>
      <c r="AC16" s="17">
        <v>729863.27</v>
      </c>
      <c r="AD16" s="18">
        <f t="shared" si="5"/>
        <v>7.1157354315122046E-2</v>
      </c>
      <c r="AE16" s="18">
        <f t="shared" ref="AE16:AE37" si="13">(AC16/AC4)-1</f>
        <v>-8.9325528331006265E-2</v>
      </c>
      <c r="AF16" s="17">
        <f t="shared" si="3"/>
        <v>30.212636215179106</v>
      </c>
    </row>
    <row r="17" spans="1:32" x14ac:dyDescent="0.25">
      <c r="A17" s="6">
        <v>45261</v>
      </c>
      <c r="B17" s="5">
        <v>3663.23</v>
      </c>
      <c r="C17" s="5">
        <v>103760.16</v>
      </c>
      <c r="D17" s="5">
        <f t="shared" si="0"/>
        <v>28.324773492245914</v>
      </c>
      <c r="E17" s="5">
        <v>65.84</v>
      </c>
      <c r="F17" s="4">
        <f t="shared" si="6"/>
        <v>-0.4682563299361745</v>
      </c>
      <c r="G17" s="4">
        <f t="shared" si="7"/>
        <v>-0.50198354330771022</v>
      </c>
      <c r="H17" s="5">
        <v>4940.53</v>
      </c>
      <c r="I17" s="5">
        <v>170061.73</v>
      </c>
      <c r="J17" s="5">
        <f t="shared" si="1"/>
        <v>34.421758394342312</v>
      </c>
      <c r="K17" s="5">
        <v>52.22</v>
      </c>
      <c r="L17" s="4">
        <f t="shared" si="8"/>
        <v>0.76808694905306529</v>
      </c>
      <c r="M17" s="4">
        <f t="shared" si="9"/>
        <v>0.75205735348690483</v>
      </c>
      <c r="N17" s="5">
        <v>2523.14</v>
      </c>
      <c r="O17" s="5">
        <v>90555.16</v>
      </c>
      <c r="P17" s="5">
        <f t="shared" si="2"/>
        <v>35.889867387461656</v>
      </c>
      <c r="Q17" s="5">
        <v>68.36</v>
      </c>
      <c r="R17" s="4">
        <f t="shared" si="10"/>
        <v>0.58036027459036932</v>
      </c>
      <c r="S17" s="4">
        <f t="shared" si="11"/>
        <v>0.51309036820388787</v>
      </c>
      <c r="T17" s="21"/>
      <c r="U17" s="21"/>
      <c r="V17" s="21"/>
      <c r="W17" s="21"/>
      <c r="X17" s="15"/>
      <c r="Y17" s="15"/>
      <c r="Z17" s="17">
        <v>14991.35</v>
      </c>
      <c r="AA17" s="18">
        <f t="shared" si="4"/>
        <v>-0.3794341727534456</v>
      </c>
      <c r="AB17" s="18">
        <f t="shared" si="12"/>
        <v>3.6226649847068471E-2</v>
      </c>
      <c r="AC17" s="17">
        <v>501637.97</v>
      </c>
      <c r="AD17" s="18">
        <f t="shared" si="5"/>
        <v>-0.31269596564298963</v>
      </c>
      <c r="AE17" s="18">
        <f t="shared" si="13"/>
        <v>1.6633157736894555E-2</v>
      </c>
      <c r="AF17" s="17">
        <f t="shared" si="3"/>
        <v>33.461827653947104</v>
      </c>
    </row>
    <row r="18" spans="1:32" x14ac:dyDescent="0.25">
      <c r="A18" s="6">
        <v>45292</v>
      </c>
      <c r="B18" s="5">
        <v>3940.32</v>
      </c>
      <c r="C18" s="5">
        <v>109688.65</v>
      </c>
      <c r="D18" s="5">
        <f t="shared" si="0"/>
        <v>27.837497969708043</v>
      </c>
      <c r="E18" s="5">
        <v>62.36</v>
      </c>
      <c r="F18" s="4">
        <f t="shared" si="6"/>
        <v>-0.51835187039094666</v>
      </c>
      <c r="G18" s="4">
        <f t="shared" si="7"/>
        <v>-0.54608488950182288</v>
      </c>
      <c r="H18" s="5">
        <v>4023.23</v>
      </c>
      <c r="I18" s="5">
        <v>127511.54</v>
      </c>
      <c r="J18" s="5">
        <f t="shared" si="1"/>
        <v>31.693823122217719</v>
      </c>
      <c r="K18" s="5">
        <v>46.52</v>
      </c>
      <c r="L18" s="4">
        <f t="shared" si="8"/>
        <v>0.80725916941805353</v>
      </c>
      <c r="M18" s="4">
        <f t="shared" si="9"/>
        <v>0.66135740550467981</v>
      </c>
      <c r="N18" s="5">
        <v>1935.49</v>
      </c>
      <c r="O18" s="5">
        <v>69135.399999999994</v>
      </c>
      <c r="P18" s="5">
        <f t="shared" si="2"/>
        <v>35.719843553828746</v>
      </c>
      <c r="Q18" s="5">
        <v>63.73</v>
      </c>
      <c r="R18" s="4">
        <f t="shared" si="10"/>
        <v>0.29788033018836302</v>
      </c>
      <c r="S18" s="4">
        <f t="shared" si="11"/>
        <v>0.23083962235598432</v>
      </c>
      <c r="T18" s="21"/>
      <c r="U18" s="21"/>
      <c r="V18" s="21"/>
      <c r="W18" s="21"/>
      <c r="X18" s="15"/>
      <c r="Y18" s="15"/>
      <c r="Z18" s="17">
        <v>13279.33</v>
      </c>
      <c r="AA18" s="18">
        <f t="shared" si="4"/>
        <v>-0.11420052230119371</v>
      </c>
      <c r="AB18" s="18">
        <f t="shared" si="12"/>
        <v>-4.4213819004694344E-2</v>
      </c>
      <c r="AC18" s="17">
        <v>419621.77</v>
      </c>
      <c r="AD18" s="18">
        <f t="shared" si="5"/>
        <v>-0.16349679431164266</v>
      </c>
      <c r="AE18" s="18">
        <f t="shared" si="13"/>
        <v>-7.9741826147511796E-2</v>
      </c>
      <c r="AF18" s="17">
        <f t="shared" si="3"/>
        <v>31.5996191072893</v>
      </c>
    </row>
    <row r="19" spans="1:32" x14ac:dyDescent="0.25">
      <c r="A19" s="6">
        <v>45323</v>
      </c>
      <c r="B19" s="5">
        <v>2340.64</v>
      </c>
      <c r="C19" s="5">
        <v>65031.96</v>
      </c>
      <c r="D19" s="5">
        <f t="shared" si="0"/>
        <v>27.783836899309591</v>
      </c>
      <c r="E19" s="5">
        <v>63.2</v>
      </c>
      <c r="F19" s="4">
        <f t="shared" si="6"/>
        <v>-0.69767219577218476</v>
      </c>
      <c r="G19" s="4">
        <f t="shared" si="7"/>
        <v>-0.70954048348997567</v>
      </c>
      <c r="H19" s="5">
        <v>3823.06</v>
      </c>
      <c r="I19" s="5">
        <v>123395.2</v>
      </c>
      <c r="J19" s="5">
        <f t="shared" si="1"/>
        <v>32.27655333685582</v>
      </c>
      <c r="K19" s="5">
        <v>53.37</v>
      </c>
      <c r="L19" s="4">
        <f t="shared" si="8"/>
        <v>1.1038422170616009</v>
      </c>
      <c r="M19" s="4">
        <f t="shared" si="9"/>
        <v>0.99659077762469273</v>
      </c>
      <c r="N19" s="5">
        <v>1888.53</v>
      </c>
      <c r="O19" s="5">
        <v>61033.88</v>
      </c>
      <c r="P19" s="5">
        <f t="shared" si="2"/>
        <v>32.318194574616236</v>
      </c>
      <c r="Q19" s="5">
        <v>53.2</v>
      </c>
      <c r="R19" s="4">
        <f t="shared" si="10"/>
        <v>0.17801938695310437</v>
      </c>
      <c r="S19" s="4">
        <f t="shared" si="11"/>
        <v>5.4552654822608737E-2</v>
      </c>
      <c r="T19" s="21"/>
      <c r="U19" s="21"/>
      <c r="V19" s="21"/>
      <c r="W19" s="21"/>
      <c r="X19" s="15"/>
      <c r="Y19" s="15"/>
      <c r="Z19" s="17">
        <v>10759.34</v>
      </c>
      <c r="AA19" s="18">
        <f t="shared" si="4"/>
        <v>-0.18976785726388301</v>
      </c>
      <c r="AB19" s="18">
        <f t="shared" si="12"/>
        <v>-0.17442620636313966</v>
      </c>
      <c r="AC19" s="17">
        <v>335471.37</v>
      </c>
      <c r="AD19" s="18">
        <f t="shared" si="5"/>
        <v>-0.20053868987779166</v>
      </c>
      <c r="AE19" s="18">
        <f t="shared" si="13"/>
        <v>-0.19797549827185434</v>
      </c>
      <c r="AF19" s="17">
        <f t="shared" si="3"/>
        <v>31.179549117325038</v>
      </c>
    </row>
    <row r="20" spans="1:32" x14ac:dyDescent="0.25">
      <c r="A20" s="6">
        <v>45352</v>
      </c>
      <c r="B20" s="5">
        <v>8361.0400000000009</v>
      </c>
      <c r="C20" s="5">
        <v>198994.25</v>
      </c>
      <c r="D20" s="5">
        <f t="shared" si="0"/>
        <v>23.800179164314486</v>
      </c>
      <c r="E20" s="5">
        <v>52.63</v>
      </c>
      <c r="F20" s="4">
        <f t="shared" si="6"/>
        <v>-0.3986866245272257</v>
      </c>
      <c r="G20" s="4">
        <f t="shared" si="7"/>
        <v>-0.4564495179838054</v>
      </c>
      <c r="H20" s="5">
        <v>3996.49</v>
      </c>
      <c r="I20" s="5">
        <v>134502.63</v>
      </c>
      <c r="J20" s="5">
        <f t="shared" si="1"/>
        <v>33.655189929162844</v>
      </c>
      <c r="K20" s="5">
        <v>55.93</v>
      </c>
      <c r="L20" s="4">
        <f t="shared" si="8"/>
        <v>0.8869614485705517</v>
      </c>
      <c r="M20" s="4">
        <f t="shared" si="9"/>
        <v>0.84477666843414312</v>
      </c>
      <c r="N20" s="5">
        <v>1496.75</v>
      </c>
      <c r="O20" s="5">
        <v>52022.23</v>
      </c>
      <c r="P20" s="5">
        <f t="shared" si="2"/>
        <v>34.75679305161183</v>
      </c>
      <c r="Q20" s="5">
        <v>64.94</v>
      </c>
      <c r="R20" s="4">
        <f t="shared" si="10"/>
        <v>0.21093339158434676</v>
      </c>
      <c r="S20" s="4">
        <f t="shared" si="11"/>
        <v>9.7723597787850558E-2</v>
      </c>
      <c r="T20" s="21"/>
      <c r="U20" s="21"/>
      <c r="V20" s="21"/>
      <c r="W20" s="21"/>
      <c r="X20" s="15"/>
      <c r="Y20" s="15"/>
      <c r="Z20" s="17">
        <v>17107.16</v>
      </c>
      <c r="AA20" s="18">
        <f t="shared" si="4"/>
        <v>0.58998228515875506</v>
      </c>
      <c r="AB20" s="18">
        <f t="shared" si="12"/>
        <v>-0.11266603317136314</v>
      </c>
      <c r="AC20" s="17">
        <v>513555.98</v>
      </c>
      <c r="AD20" s="18">
        <f t="shared" si="5"/>
        <v>0.53084890671892504</v>
      </c>
      <c r="AE20" s="18">
        <f t="shared" si="13"/>
        <v>-0.10260808706789704</v>
      </c>
      <c r="AF20" s="17">
        <f t="shared" si="3"/>
        <v>30.019943696089822</v>
      </c>
    </row>
    <row r="21" spans="1:32" x14ac:dyDescent="0.25">
      <c r="A21" s="6">
        <v>45383</v>
      </c>
      <c r="B21" s="5">
        <v>8425.2900000000009</v>
      </c>
      <c r="C21" s="5">
        <v>222609.6</v>
      </c>
      <c r="D21" s="5">
        <f t="shared" si="0"/>
        <v>26.421594983674151</v>
      </c>
      <c r="E21" s="5">
        <v>62.04</v>
      </c>
      <c r="F21" s="4">
        <f t="shared" si="6"/>
        <v>-0.25671579378256426</v>
      </c>
      <c r="G21" s="4">
        <f t="shared" si="7"/>
        <v>-0.24727109498565869</v>
      </c>
      <c r="H21" s="5">
        <v>4412.21</v>
      </c>
      <c r="I21" s="5">
        <v>161545.46</v>
      </c>
      <c r="J21" s="5">
        <f t="shared" si="1"/>
        <v>36.613275433399586</v>
      </c>
      <c r="K21" s="5">
        <v>57.36</v>
      </c>
      <c r="L21" s="4">
        <f t="shared" si="8"/>
        <v>0.67601498161485396</v>
      </c>
      <c r="M21" s="4">
        <f t="shared" si="9"/>
        <v>0.77371250161538097</v>
      </c>
      <c r="N21" s="5">
        <v>1897.74</v>
      </c>
      <c r="O21" s="5">
        <v>65252.14</v>
      </c>
      <c r="P21" s="5">
        <f t="shared" si="2"/>
        <v>34.384130597447488</v>
      </c>
      <c r="Q21" s="5">
        <v>61.54</v>
      </c>
      <c r="R21" s="4">
        <f t="shared" si="10"/>
        <v>-0.44564179113197455</v>
      </c>
      <c r="S21" s="4">
        <f t="shared" si="11"/>
        <v>-0.4294186469489546</v>
      </c>
      <c r="T21" s="21"/>
      <c r="U21" s="21"/>
      <c r="V21" s="21"/>
      <c r="W21" s="21"/>
      <c r="X21" s="15"/>
      <c r="Y21" s="15"/>
      <c r="Z21" s="17">
        <v>17599.62</v>
      </c>
      <c r="AA21" s="18">
        <f t="shared" si="4"/>
        <v>2.8786776998636743E-2</v>
      </c>
      <c r="AB21" s="18">
        <f t="shared" si="12"/>
        <v>-6.6145394750456443E-2</v>
      </c>
      <c r="AC21" s="17">
        <v>556949.91</v>
      </c>
      <c r="AD21" s="18">
        <f t="shared" si="5"/>
        <v>8.4496981224909673E-2</v>
      </c>
      <c r="AE21" s="18">
        <f t="shared" si="13"/>
        <v>-5.1248893124227202E-3</v>
      </c>
      <c r="AF21" s="17">
        <f t="shared" si="3"/>
        <v>31.645564506506393</v>
      </c>
    </row>
    <row r="22" spans="1:32" x14ac:dyDescent="0.25">
      <c r="A22" s="6">
        <v>45413</v>
      </c>
      <c r="B22" s="5">
        <v>7953.04</v>
      </c>
      <c r="C22" s="5">
        <v>211714.14</v>
      </c>
      <c r="D22" s="5">
        <f t="shared" si="0"/>
        <v>26.620530011165542</v>
      </c>
      <c r="E22" s="5">
        <v>60.91</v>
      </c>
      <c r="F22" s="4">
        <f t="shared" si="6"/>
        <v>-0.30969725954749072</v>
      </c>
      <c r="G22" s="4">
        <f t="shared" si="7"/>
        <v>-0.28798242358900283</v>
      </c>
      <c r="H22" s="5">
        <v>4937.43</v>
      </c>
      <c r="I22" s="5">
        <v>167559.91</v>
      </c>
      <c r="J22" s="5">
        <f t="shared" si="1"/>
        <v>33.936665431206109</v>
      </c>
      <c r="K22" s="5">
        <v>55.48</v>
      </c>
      <c r="L22" s="4">
        <f t="shared" si="8"/>
        <v>0.99393834150439009</v>
      </c>
      <c r="M22" s="4">
        <f t="shared" si="9"/>
        <v>0.72801658220288412</v>
      </c>
      <c r="N22" s="5">
        <v>1498.96</v>
      </c>
      <c r="O22" s="5">
        <v>54885.78</v>
      </c>
      <c r="P22" s="5">
        <f t="shared" si="2"/>
        <v>36.615907028873352</v>
      </c>
      <c r="Q22" s="5">
        <v>68.387</v>
      </c>
      <c r="R22" s="4">
        <f t="shared" si="10"/>
        <v>-0.38470884745790535</v>
      </c>
      <c r="S22" s="4">
        <f t="shared" si="11"/>
        <v>-0.37238211820454781</v>
      </c>
      <c r="T22" s="21"/>
      <c r="U22" s="21"/>
      <c r="V22" s="21"/>
      <c r="W22" s="21"/>
      <c r="X22" s="15"/>
      <c r="Y22" s="15"/>
      <c r="Z22" s="17">
        <v>17758.11</v>
      </c>
      <c r="AA22" s="18">
        <f t="shared" si="4"/>
        <v>9.005308069151674E-3</v>
      </c>
      <c r="AB22" s="18">
        <f t="shared" si="12"/>
        <v>-0.12225700835723996</v>
      </c>
      <c r="AC22" s="17">
        <v>577433.44999999995</v>
      </c>
      <c r="AD22" s="18">
        <f t="shared" si="5"/>
        <v>3.6778065014859029E-2</v>
      </c>
      <c r="AE22" s="18">
        <f t="shared" si="13"/>
        <v>-6.1559572287077091E-2</v>
      </c>
      <c r="AF22" s="17">
        <f t="shared" si="3"/>
        <v>32.516605089167705</v>
      </c>
    </row>
    <row r="23" spans="1:32" x14ac:dyDescent="0.25">
      <c r="A23" s="6">
        <v>45444</v>
      </c>
      <c r="B23" s="5">
        <v>2934.38</v>
      </c>
      <c r="C23" s="5">
        <v>90156.47</v>
      </c>
      <c r="D23" s="5">
        <f t="shared" si="0"/>
        <v>30.724197275063215</v>
      </c>
      <c r="E23" s="5">
        <v>70.92</v>
      </c>
      <c r="F23" s="4">
        <f t="shared" si="6"/>
        <v>-0.65509289188433117</v>
      </c>
      <c r="G23" s="4">
        <f t="shared" si="7"/>
        <v>-0.60660619410930794</v>
      </c>
      <c r="H23" s="5">
        <v>3678.18</v>
      </c>
      <c r="I23" s="5">
        <v>129470.09</v>
      </c>
      <c r="J23" s="5">
        <f t="shared" si="1"/>
        <v>35.199498121353493</v>
      </c>
      <c r="K23" s="5">
        <v>58.53</v>
      </c>
      <c r="L23" s="4">
        <f t="shared" si="8"/>
        <v>0.66932014159934639</v>
      </c>
      <c r="M23" s="4">
        <f t="shared" si="9"/>
        <v>0.66763192695656159</v>
      </c>
      <c r="N23" s="5">
        <v>3356.98</v>
      </c>
      <c r="O23" s="5">
        <v>109013.05</v>
      </c>
      <c r="P23" s="5">
        <f t="shared" si="2"/>
        <v>32.473547652949975</v>
      </c>
      <c r="Q23" s="5">
        <v>54.31</v>
      </c>
      <c r="R23" s="4">
        <f t="shared" si="10"/>
        <v>0.26613511556333358</v>
      </c>
      <c r="S23" s="4">
        <f t="shared" si="11"/>
        <v>0.14505717510397509</v>
      </c>
      <c r="T23" s="21"/>
      <c r="U23" s="21"/>
      <c r="V23" s="21"/>
      <c r="W23" s="21"/>
      <c r="X23" s="15"/>
      <c r="Y23" s="15"/>
      <c r="Z23" s="17">
        <v>14150.71</v>
      </c>
      <c r="AA23" s="18">
        <f t="shared" si="4"/>
        <v>-0.20314098741363817</v>
      </c>
      <c r="AB23" s="18">
        <f t="shared" si="12"/>
        <v>-0.27116953136749555</v>
      </c>
      <c r="AC23" s="17">
        <v>466958.65</v>
      </c>
      <c r="AD23" s="18">
        <f t="shared" si="5"/>
        <v>-0.19132040237710501</v>
      </c>
      <c r="AE23" s="18">
        <f t="shared" si="13"/>
        <v>-0.18842799180708947</v>
      </c>
      <c r="AF23" s="17">
        <f t="shared" si="3"/>
        <v>32.998955529439868</v>
      </c>
    </row>
    <row r="24" spans="1:32" x14ac:dyDescent="0.25">
      <c r="A24" s="6">
        <v>45474</v>
      </c>
      <c r="B24" s="5">
        <v>2343.08</v>
      </c>
      <c r="C24" s="5">
        <v>71359.070000000007</v>
      </c>
      <c r="D24" s="5">
        <f t="shared" si="0"/>
        <v>30.455242672038516</v>
      </c>
      <c r="E24" s="5">
        <v>64.290000000000006</v>
      </c>
      <c r="F24" s="4">
        <f t="shared" si="6"/>
        <v>-0.76785236588309191</v>
      </c>
      <c r="G24" s="4">
        <f t="shared" si="7"/>
        <v>-0.73297065116119986</v>
      </c>
      <c r="H24" s="5">
        <v>5832.9</v>
      </c>
      <c r="I24" s="5">
        <v>183018.26</v>
      </c>
      <c r="J24" s="5">
        <f t="shared" si="1"/>
        <v>31.376889711807166</v>
      </c>
      <c r="K24" s="5">
        <v>42.65</v>
      </c>
      <c r="L24" s="4">
        <f t="shared" si="8"/>
        <v>0.19939792605265261</v>
      </c>
      <c r="M24" s="4">
        <f t="shared" si="9"/>
        <v>7.0331920675147153E-2</v>
      </c>
      <c r="N24" s="5">
        <v>5185.8500000000004</v>
      </c>
      <c r="O24" s="5">
        <v>172209.69</v>
      </c>
      <c r="P24" s="5">
        <f t="shared" si="2"/>
        <v>33.207611095577384</v>
      </c>
      <c r="Q24" s="5">
        <v>56.92</v>
      </c>
      <c r="R24" s="4">
        <f t="shared" si="10"/>
        <v>0.71975420002255053</v>
      </c>
      <c r="S24" s="4">
        <f t="shared" si="11"/>
        <v>0.581906597254086</v>
      </c>
      <c r="T24" s="21"/>
      <c r="U24" s="21"/>
      <c r="V24" s="21"/>
      <c r="W24" s="21"/>
      <c r="X24" s="15"/>
      <c r="Y24" s="15"/>
      <c r="Z24" s="17">
        <v>18622.88</v>
      </c>
      <c r="AA24" s="18">
        <f t="shared" si="4"/>
        <v>0.31603855919596979</v>
      </c>
      <c r="AB24" s="18">
        <f t="shared" si="12"/>
        <v>-0.27856295850364088</v>
      </c>
      <c r="AC24" s="17">
        <v>605687.36</v>
      </c>
      <c r="AD24" s="18">
        <f t="shared" si="5"/>
        <v>0.29708992434340797</v>
      </c>
      <c r="AE24" s="18">
        <f t="shared" si="13"/>
        <v>-0.22844625296918097</v>
      </c>
      <c r="AF24" s="17">
        <f t="shared" si="3"/>
        <v>32.523828752588209</v>
      </c>
    </row>
    <row r="25" spans="1:32" x14ac:dyDescent="0.25">
      <c r="A25" s="6">
        <v>45505</v>
      </c>
      <c r="B25" s="5">
        <v>9311.42</v>
      </c>
      <c r="C25" s="5">
        <v>241450.27</v>
      </c>
      <c r="D25" s="5">
        <f t="shared" si="0"/>
        <v>25.930553019840151</v>
      </c>
      <c r="E25" s="5">
        <v>53.33</v>
      </c>
      <c r="F25" s="4">
        <f t="shared" si="6"/>
        <v>-0.24913413612388124</v>
      </c>
      <c r="G25" s="4">
        <f t="shared" si="7"/>
        <v>-0.22870225538133304</v>
      </c>
      <c r="H25" s="5">
        <v>1781.99</v>
      </c>
      <c r="I25" s="5">
        <v>70966.259999999995</v>
      </c>
      <c r="J25" s="5">
        <f t="shared" si="1"/>
        <v>39.824162874090199</v>
      </c>
      <c r="K25" s="5">
        <v>59.8</v>
      </c>
      <c r="L25" s="4">
        <f t="shared" si="8"/>
        <v>-0.71409937589244166</v>
      </c>
      <c r="M25" s="4">
        <f t="shared" si="9"/>
        <v>-0.66814169099814613</v>
      </c>
      <c r="N25" s="5">
        <v>3535.01</v>
      </c>
      <c r="O25" s="5">
        <v>126069.41</v>
      </c>
      <c r="P25" s="5">
        <f t="shared" si="2"/>
        <v>35.66309854851896</v>
      </c>
      <c r="Q25" s="5">
        <v>61.15</v>
      </c>
      <c r="R25" s="4">
        <f t="shared" si="10"/>
        <v>-0.12395233917693871</v>
      </c>
      <c r="S25" s="4">
        <f t="shared" si="11"/>
        <v>-0.10289507865164227</v>
      </c>
      <c r="T25" s="21"/>
      <c r="U25" s="21"/>
      <c r="V25" s="21"/>
      <c r="W25" s="21"/>
      <c r="X25" s="15"/>
      <c r="Y25" s="15"/>
      <c r="Z25" s="17">
        <v>21647.360000000001</v>
      </c>
      <c r="AA25" s="18">
        <f t="shared" si="4"/>
        <v>0.16240667394087271</v>
      </c>
      <c r="AB25" s="18">
        <f t="shared" si="12"/>
        <v>-0.25237585249044459</v>
      </c>
      <c r="AC25" s="17">
        <v>666172.81999999995</v>
      </c>
      <c r="AD25" s="18">
        <f t="shared" si="5"/>
        <v>9.9862509925912946E-2</v>
      </c>
      <c r="AE25" s="18">
        <f t="shared" si="13"/>
        <v>-0.23239783408444536</v>
      </c>
      <c r="AF25" s="17">
        <f t="shared" si="3"/>
        <v>30.773859722386469</v>
      </c>
    </row>
    <row r="26" spans="1:32" x14ac:dyDescent="0.25">
      <c r="A26" s="6">
        <v>45536</v>
      </c>
      <c r="B26" s="5">
        <v>8105.53</v>
      </c>
      <c r="C26" s="5">
        <v>216523.06</v>
      </c>
      <c r="D26" s="5">
        <f t="shared" si="0"/>
        <v>26.713004578355765</v>
      </c>
      <c r="E26" s="5">
        <v>57.87</v>
      </c>
      <c r="F26" s="4">
        <f t="shared" si="6"/>
        <v>-0.2667976484784671</v>
      </c>
      <c r="G26" s="4">
        <f t="shared" si="7"/>
        <v>-0.26567876782828548</v>
      </c>
      <c r="H26" s="5">
        <v>3153.88</v>
      </c>
      <c r="I26" s="5">
        <v>114484.02</v>
      </c>
      <c r="J26" s="5">
        <f t="shared" si="1"/>
        <v>36.299421664743107</v>
      </c>
      <c r="K26" s="5">
        <v>51.86</v>
      </c>
      <c r="L26" s="4">
        <f t="shared" si="8"/>
        <v>-0.44894318517366638</v>
      </c>
      <c r="M26" s="4">
        <f t="shared" si="9"/>
        <v>-0.44253688620161191</v>
      </c>
      <c r="N26" s="5">
        <v>5456.26</v>
      </c>
      <c r="O26" s="5">
        <v>189939.74</v>
      </c>
      <c r="P26" s="5">
        <f t="shared" si="2"/>
        <v>34.811343301089025</v>
      </c>
      <c r="Q26" s="5">
        <v>55.94</v>
      </c>
      <c r="R26" s="4">
        <f t="shared" si="10"/>
        <v>1.1262353087882286</v>
      </c>
      <c r="S26" s="4">
        <f t="shared" si="11"/>
        <v>1.0872384217669131</v>
      </c>
      <c r="T26" s="21"/>
      <c r="U26" s="21"/>
      <c r="V26" s="21"/>
      <c r="W26" s="21"/>
      <c r="X26" s="15"/>
      <c r="Y26" s="15"/>
      <c r="Z26" s="17">
        <v>20103.650000000001</v>
      </c>
      <c r="AA26" s="18">
        <f t="shared" si="4"/>
        <v>-7.1311698054635775E-2</v>
      </c>
      <c r="AB26" s="18">
        <f t="shared" si="12"/>
        <v>-0.20085091937135469</v>
      </c>
      <c r="AC26" s="17">
        <v>647356.27</v>
      </c>
      <c r="AD26" s="18">
        <f t="shared" si="5"/>
        <v>-2.8245748603192733E-2</v>
      </c>
      <c r="AE26" s="18">
        <f t="shared" si="13"/>
        <v>-0.16188792048080991</v>
      </c>
      <c r="AF26" s="17">
        <f t="shared" si="3"/>
        <v>32.200932169033983</v>
      </c>
    </row>
    <row r="27" spans="1:32" x14ac:dyDescent="0.25">
      <c r="A27" s="6">
        <v>45566</v>
      </c>
      <c r="B27" s="5">
        <v>7094.68</v>
      </c>
      <c r="C27" s="5">
        <v>210532.18</v>
      </c>
      <c r="D27" s="5">
        <f t="shared" si="0"/>
        <v>29.674654811774452</v>
      </c>
      <c r="E27" s="5">
        <v>59.74</v>
      </c>
      <c r="F27" s="4">
        <f t="shared" si="6"/>
        <v>-0.19894949823410912</v>
      </c>
      <c r="G27" s="4">
        <f t="shared" si="7"/>
        <v>-0.10759178764049682</v>
      </c>
      <c r="H27" s="5">
        <v>3060.39</v>
      </c>
      <c r="I27" s="5">
        <v>110814.95</v>
      </c>
      <c r="J27" s="5">
        <f t="shared" si="1"/>
        <v>36.209421021503793</v>
      </c>
      <c r="K27" s="5">
        <v>56.52</v>
      </c>
      <c r="L27" s="4">
        <f t="shared" si="8"/>
        <v>-0.32958959024742873</v>
      </c>
      <c r="M27" s="4">
        <f t="shared" si="9"/>
        <v>-0.30491529202101486</v>
      </c>
      <c r="N27" s="5">
        <v>4460.17</v>
      </c>
      <c r="O27" s="5">
        <v>156910.43</v>
      </c>
      <c r="P27" s="5">
        <f t="shared" si="2"/>
        <v>35.180369806532035</v>
      </c>
      <c r="Q27" s="5">
        <v>54.8</v>
      </c>
      <c r="R27" s="4">
        <f t="shared" si="10"/>
        <v>0.58160935028829597</v>
      </c>
      <c r="S27" s="4">
        <f t="shared" si="11"/>
        <v>0.58942316789371985</v>
      </c>
      <c r="T27" s="21"/>
      <c r="U27" s="21"/>
      <c r="V27" s="21"/>
      <c r="W27" s="21"/>
      <c r="X27" s="15"/>
      <c r="Y27" s="15"/>
      <c r="Z27" s="17">
        <v>18679.849999999999</v>
      </c>
      <c r="AA27" s="18">
        <f t="shared" si="4"/>
        <v>-7.0822960009749636E-2</v>
      </c>
      <c r="AB27" s="18">
        <f t="shared" si="12"/>
        <v>-0.17141326184127825</v>
      </c>
      <c r="AC27" s="17">
        <v>638925.24</v>
      </c>
      <c r="AD27" s="18">
        <f t="shared" si="5"/>
        <v>-1.3023786731840903E-2</v>
      </c>
      <c r="AE27" s="18">
        <f t="shared" si="13"/>
        <v>-6.2304546872793964E-2</v>
      </c>
      <c r="AF27" s="17">
        <f t="shared" si="3"/>
        <v>34.203981295353017</v>
      </c>
    </row>
    <row r="28" spans="1:32" x14ac:dyDescent="0.25">
      <c r="A28" s="6">
        <v>45597</v>
      </c>
      <c r="B28" s="5">
        <v>10429.67</v>
      </c>
      <c r="C28" s="5">
        <v>300804</v>
      </c>
      <c r="D28" s="5">
        <f t="shared" si="0"/>
        <v>28.841180976962839</v>
      </c>
      <c r="E28" s="5">
        <v>56.3</v>
      </c>
      <c r="F28" s="4">
        <f t="shared" si="6"/>
        <v>0.78190227075862251</v>
      </c>
      <c r="G28" s="4">
        <f t="shared" si="7"/>
        <v>0.881661575154991</v>
      </c>
      <c r="H28" s="5">
        <v>4070.95</v>
      </c>
      <c r="I28" s="5">
        <v>141508.76</v>
      </c>
      <c r="J28" s="5">
        <f t="shared" si="1"/>
        <v>34.760623441702798</v>
      </c>
      <c r="K28" s="5">
        <v>57.75</v>
      </c>
      <c r="L28" s="4">
        <f t="shared" si="8"/>
        <v>-0.4805381236872931</v>
      </c>
      <c r="M28" s="4">
        <f t="shared" si="9"/>
        <v>-0.42322522919977312</v>
      </c>
      <c r="N28" s="5">
        <v>4246.3999999999996</v>
      </c>
      <c r="O28" s="5">
        <v>152832.44</v>
      </c>
      <c r="P28" s="5">
        <f t="shared" si="2"/>
        <v>35.991060663149966</v>
      </c>
      <c r="Q28" s="5">
        <v>58.19</v>
      </c>
      <c r="R28" s="4">
        <f t="shared" si="10"/>
        <v>0.33669100982120348</v>
      </c>
      <c r="S28" s="4">
        <f t="shared" si="11"/>
        <v>0.41725103498568772</v>
      </c>
      <c r="T28" s="21"/>
      <c r="U28" s="21"/>
      <c r="V28" s="21"/>
      <c r="W28" s="21"/>
      <c r="X28" s="15"/>
      <c r="Y28" s="15"/>
      <c r="Z28" s="17">
        <v>23061.239999999998</v>
      </c>
      <c r="AA28" s="18">
        <f t="shared" si="4"/>
        <v>0.23455166931211968</v>
      </c>
      <c r="AB28" s="18">
        <f t="shared" si="12"/>
        <v>-4.5381671568515913E-2</v>
      </c>
      <c r="AC28" s="17">
        <v>774065.9</v>
      </c>
      <c r="AD28" s="18">
        <f t="shared" si="5"/>
        <v>0.21151247679618979</v>
      </c>
      <c r="AE28" s="18">
        <f t="shared" si="13"/>
        <v>6.0562891457738299E-2</v>
      </c>
      <c r="AF28" s="17">
        <f t="shared" si="3"/>
        <v>33.565666893887759</v>
      </c>
    </row>
    <row r="29" spans="1:32" x14ac:dyDescent="0.25">
      <c r="A29" s="6">
        <v>45627</v>
      </c>
      <c r="B29" s="5">
        <v>6283.48</v>
      </c>
      <c r="C29" s="5">
        <v>180793.32</v>
      </c>
      <c r="D29" s="5">
        <f t="shared" ref="D29" si="14">C29/B29</f>
        <v>28.772801059285623</v>
      </c>
      <c r="E29" s="5">
        <v>58.6</v>
      </c>
      <c r="F29" s="4">
        <f t="shared" ref="F29" si="15">(B29/B17)-1</f>
        <v>0.7152840525983899</v>
      </c>
      <c r="G29" s="4">
        <f t="shared" ref="G29" si="16">(C29/C17)-1</f>
        <v>0.74241558609778546</v>
      </c>
      <c r="H29" s="5">
        <v>2379.69</v>
      </c>
      <c r="I29" s="5">
        <v>80830.44</v>
      </c>
      <c r="J29" s="5">
        <f t="shared" ref="J29" si="17">I29/H29</f>
        <v>33.96679399417571</v>
      </c>
      <c r="K29" s="5">
        <v>55.96</v>
      </c>
      <c r="L29" s="4">
        <f t="shared" ref="L29" si="18">(H29/H17)-1</f>
        <v>-0.51833305333638291</v>
      </c>
      <c r="M29" s="4">
        <f t="shared" ref="M29" si="19">(I29/I17)-1</f>
        <v>-0.5246994135600056</v>
      </c>
      <c r="N29" s="5">
        <v>3824.31</v>
      </c>
      <c r="O29" s="5">
        <v>130060.56</v>
      </c>
      <c r="P29" s="5">
        <f t="shared" si="2"/>
        <v>34.008895722365601</v>
      </c>
      <c r="Q29" s="5">
        <v>58.19</v>
      </c>
      <c r="R29" s="4">
        <f t="shared" si="10"/>
        <v>0.5156947295829799</v>
      </c>
      <c r="S29" s="4">
        <f t="shared" si="11"/>
        <v>0.43625785653738558</v>
      </c>
      <c r="T29" s="21"/>
      <c r="U29" s="21"/>
      <c r="V29" s="21"/>
      <c r="W29" s="21"/>
      <c r="X29" s="15"/>
      <c r="Y29" s="15"/>
      <c r="Z29" s="17">
        <v>17066.87</v>
      </c>
      <c r="AA29" s="18">
        <f t="shared" si="4"/>
        <v>-0.25993268358509769</v>
      </c>
      <c r="AB29" s="18">
        <f t="shared" si="12"/>
        <v>0.13844783825339269</v>
      </c>
      <c r="AC29" s="17">
        <v>577156.08000000007</v>
      </c>
      <c r="AD29" s="18">
        <f t="shared" si="5"/>
        <v>-0.25438379342120609</v>
      </c>
      <c r="AE29" s="18">
        <f t="shared" si="13"/>
        <v>0.15054305000078072</v>
      </c>
      <c r="AF29" s="17">
        <f t="shared" si="3"/>
        <v>33.817336160643407</v>
      </c>
    </row>
    <row r="30" spans="1:32" x14ac:dyDescent="0.25">
      <c r="A30" s="6">
        <v>45658</v>
      </c>
      <c r="B30" s="5">
        <v>6283.48</v>
      </c>
      <c r="C30" s="5">
        <v>180793.32</v>
      </c>
      <c r="D30" s="5">
        <f t="shared" ref="D30" si="20">C30/B30</f>
        <v>28.772801059285623</v>
      </c>
      <c r="E30" s="5">
        <v>58.6</v>
      </c>
      <c r="F30" s="4">
        <f t="shared" ref="F30" si="21">(B30/B18)-1</f>
        <v>0.59466236244771986</v>
      </c>
      <c r="G30" s="4">
        <f t="shared" ref="G30" si="22">(C30/C18)-1</f>
        <v>0.64824090733179784</v>
      </c>
      <c r="H30" s="5">
        <v>2379.69</v>
      </c>
      <c r="I30" s="5">
        <v>80830.44</v>
      </c>
      <c r="J30" s="5">
        <f t="shared" ref="J30" si="23">I30/H30</f>
        <v>33.96679399417571</v>
      </c>
      <c r="K30" s="5">
        <v>55.96</v>
      </c>
      <c r="L30" s="4">
        <f t="shared" ref="L30" si="24">(H30/H18)-1</f>
        <v>-0.40851256328870089</v>
      </c>
      <c r="M30" s="4">
        <f t="shared" ref="M30" si="25">(I30/I18)-1</f>
        <v>-0.36609313949153144</v>
      </c>
      <c r="N30" s="5">
        <v>3824.31</v>
      </c>
      <c r="O30" s="5">
        <v>130060.56</v>
      </c>
      <c r="P30" s="5">
        <f t="shared" si="2"/>
        <v>34.008895722365601</v>
      </c>
      <c r="Q30" s="5">
        <v>58.19</v>
      </c>
      <c r="R30" s="4">
        <f t="shared" si="10"/>
        <v>0.97588724302373042</v>
      </c>
      <c r="S30" s="4">
        <f t="shared" si="11"/>
        <v>0.88124405152787144</v>
      </c>
      <c r="T30" s="21"/>
      <c r="U30" s="21"/>
      <c r="V30" s="21"/>
      <c r="W30" s="21"/>
      <c r="X30" s="15"/>
      <c r="Y30" s="15"/>
      <c r="Z30" s="17">
        <v>17422.310000000001</v>
      </c>
      <c r="AA30" s="18">
        <f t="shared" si="4"/>
        <v>2.0826314373989074E-2</v>
      </c>
      <c r="AB30" s="18">
        <f t="shared" si="12"/>
        <v>0.31198712585650035</v>
      </c>
      <c r="AC30" s="17">
        <v>566496.90999999992</v>
      </c>
      <c r="AD30" s="18">
        <f t="shared" si="5"/>
        <v>-1.8468435782570514E-2</v>
      </c>
      <c r="AE30" s="18">
        <f t="shared" si="13"/>
        <v>0.35001792209207805</v>
      </c>
      <c r="AF30" s="17">
        <f t="shared" si="3"/>
        <v>32.515602695624167</v>
      </c>
    </row>
    <row r="31" spans="1:32" x14ac:dyDescent="0.25">
      <c r="A31" s="6">
        <v>45689</v>
      </c>
      <c r="B31" s="5">
        <v>3879.95</v>
      </c>
      <c r="C31" s="5">
        <v>118514.18</v>
      </c>
      <c r="D31" s="5">
        <f>C31/B31</f>
        <v>30.545285377388883</v>
      </c>
      <c r="E31" s="5">
        <v>61.05</v>
      </c>
      <c r="F31" s="4">
        <f>(B31/B19)-1</f>
        <v>0.65764491762936639</v>
      </c>
      <c r="G31" s="4">
        <f>(C31/C19)-1</f>
        <v>0.82239901734470244</v>
      </c>
      <c r="H31" s="5">
        <v>5812.77</v>
      </c>
      <c r="I31" s="5">
        <v>189474.23</v>
      </c>
      <c r="J31" s="5">
        <f>I31/H31</f>
        <v>32.596202843050733</v>
      </c>
      <c r="K31" s="12">
        <v>49.26</v>
      </c>
      <c r="L31" s="4">
        <f>(H31/H19)-1</f>
        <v>0.52044958750320447</v>
      </c>
      <c r="M31" s="4">
        <f>(I31/I19)-1</f>
        <v>0.53550729688026766</v>
      </c>
      <c r="N31" s="5">
        <v>2395.46</v>
      </c>
      <c r="O31" s="5">
        <v>88205.33</v>
      </c>
      <c r="P31" s="5">
        <f>O31/N31</f>
        <v>36.821875547911468</v>
      </c>
      <c r="Q31" s="5">
        <v>61.35</v>
      </c>
      <c r="R31" s="4">
        <f>(N31/N19)-1</f>
        <v>0.26842570676663868</v>
      </c>
      <c r="S31" s="4">
        <f>(O31/O19)-1</f>
        <v>0.44518634568210325</v>
      </c>
      <c r="T31" s="21"/>
      <c r="U31" s="21"/>
      <c r="V31" s="21"/>
      <c r="W31" s="21"/>
      <c r="X31" s="15"/>
      <c r="Y31" s="15"/>
      <c r="Z31" s="17">
        <v>15619.97</v>
      </c>
      <c r="AA31" s="18">
        <f>(Z31/Z30)-1</f>
        <v>-0.10345011654596903</v>
      </c>
      <c r="AB31" s="18">
        <f>(Z31/Z19)-1</f>
        <v>0.45175912277147101</v>
      </c>
      <c r="AC31" s="17">
        <v>531151.44999999995</v>
      </c>
      <c r="AD31" s="18">
        <f>(AC31/AC30)-1</f>
        <v>-6.2393032293856621E-2</v>
      </c>
      <c r="AE31" s="18">
        <f t="shared" si="13"/>
        <v>0.58329889671360013</v>
      </c>
      <c r="AF31" s="17">
        <f>AC31/Z31</f>
        <v>34.004639573571524</v>
      </c>
    </row>
    <row r="32" spans="1:32" x14ac:dyDescent="0.25">
      <c r="A32" s="6">
        <v>45717</v>
      </c>
      <c r="B32" s="5">
        <v>2792.71</v>
      </c>
      <c r="C32" s="5">
        <v>92069.26</v>
      </c>
      <c r="D32" s="5">
        <f t="shared" ref="D32" si="26">C32/B32</f>
        <v>32.967712365408509</v>
      </c>
      <c r="E32" s="5">
        <v>61.24</v>
      </c>
      <c r="F32" s="4">
        <f t="shared" ref="F32" si="27">(B32/B20)-1</f>
        <v>-0.66598533196827192</v>
      </c>
      <c r="G32" s="4">
        <f t="shared" ref="G32" si="28">(C32/C20)-1</f>
        <v>-0.53732703331880194</v>
      </c>
      <c r="H32" s="5">
        <v>7733.44</v>
      </c>
      <c r="I32" s="5">
        <v>248248.83</v>
      </c>
      <c r="J32" s="5">
        <f t="shared" ref="J32" si="29">I32/H32</f>
        <v>32.100699042082177</v>
      </c>
      <c r="K32" s="5">
        <v>52.56</v>
      </c>
      <c r="L32" s="4">
        <f t="shared" ref="L32" si="30">(H32/H20)-1</f>
        <v>0.93505801340676453</v>
      </c>
      <c r="M32" s="4">
        <f t="shared" ref="M32" si="31">(I32/I20)-1</f>
        <v>0.84568011792780551</v>
      </c>
      <c r="N32" s="5">
        <v>1600.57</v>
      </c>
      <c r="O32" s="5">
        <v>62415.59</v>
      </c>
      <c r="P32" s="5">
        <f t="shared" ref="P32" si="32">O32/N32</f>
        <v>38.995851477910996</v>
      </c>
      <c r="Q32" s="5">
        <v>57.45</v>
      </c>
      <c r="R32" s="4">
        <f t="shared" ref="R32" si="33">(N32/N20)-1</f>
        <v>6.9363621179221679E-2</v>
      </c>
      <c r="S32" s="4">
        <f t="shared" ref="S32" si="34">(O32/O20)-1</f>
        <v>0.19978689879307354</v>
      </c>
      <c r="T32" s="21"/>
      <c r="U32" s="21"/>
      <c r="V32" s="21"/>
      <c r="W32" s="21"/>
      <c r="X32" s="15"/>
      <c r="Y32" s="15"/>
      <c r="Z32" s="17">
        <v>14599.67</v>
      </c>
      <c r="AA32" s="18">
        <f t="shared" ref="AA32" si="35">(Z32/Z31)-1</f>
        <v>-6.5320227887761595E-2</v>
      </c>
      <c r="AB32" s="18">
        <f t="shared" ref="AB32" si="36">(Z32/Z20)-1</f>
        <v>-0.14657546898491625</v>
      </c>
      <c r="AC32" s="17">
        <v>502315.45999999996</v>
      </c>
      <c r="AD32" s="18">
        <f t="shared" ref="AD32" si="37">(AC32/AC31)-1</f>
        <v>-5.4289581624977212E-2</v>
      </c>
      <c r="AE32" s="18">
        <f t="shared" si="13"/>
        <v>-2.1887623623816133E-2</v>
      </c>
      <c r="AF32" s="17">
        <f t="shared" ref="AF32" si="38">AC32/Z32</f>
        <v>34.405946161796805</v>
      </c>
    </row>
    <row r="33" spans="1:32" x14ac:dyDescent="0.25">
      <c r="A33" s="6">
        <v>45748</v>
      </c>
      <c r="B33" s="5">
        <v>2547.31</v>
      </c>
      <c r="C33" s="5">
        <v>83528.67</v>
      </c>
      <c r="D33" s="5">
        <f>C33/B33</f>
        <v>32.790932395350389</v>
      </c>
      <c r="E33" s="5">
        <v>60.46</v>
      </c>
      <c r="F33" s="4">
        <f>(B33/B21)-1</f>
        <v>-0.69765907167587116</v>
      </c>
      <c r="G33" s="4">
        <f>(C33/C21)-1</f>
        <v>-0.62477507708562441</v>
      </c>
      <c r="H33" s="5">
        <v>7006.08</v>
      </c>
      <c r="I33" s="5">
        <v>229299.75</v>
      </c>
      <c r="J33" s="5">
        <f>I33/H33</f>
        <v>32.728679946560703</v>
      </c>
      <c r="K33" s="12">
        <v>54.65</v>
      </c>
      <c r="L33" s="4">
        <f>(H33/H21)-1</f>
        <v>0.58788452952148695</v>
      </c>
      <c r="M33" s="4">
        <f>(I33/I21)-1</f>
        <v>0.41941314847226296</v>
      </c>
      <c r="N33" s="5">
        <v>1490.86</v>
      </c>
      <c r="O33" s="5">
        <v>56678.86</v>
      </c>
      <c r="P33" s="5">
        <f>O33/N33</f>
        <v>38.017560334303695</v>
      </c>
      <c r="Q33" s="5">
        <v>54.55</v>
      </c>
      <c r="R33" s="4">
        <f>(N33/N21)-1</f>
        <v>-0.21440239442705544</v>
      </c>
      <c r="S33" s="4">
        <f>(O33/O21)-1</f>
        <v>-0.13138695527840161</v>
      </c>
      <c r="T33" s="21"/>
      <c r="U33" s="21"/>
      <c r="V33" s="21"/>
      <c r="W33" s="21"/>
      <c r="X33" s="15"/>
      <c r="Y33" s="15"/>
      <c r="Z33" s="17">
        <v>12980.97</v>
      </c>
      <c r="AA33" s="18">
        <f>(Z33/Z32)-1</f>
        <v>-0.11087236903299869</v>
      </c>
      <c r="AB33" s="18">
        <f>(Z33/Z21)-1</f>
        <v>-0.26242896153439677</v>
      </c>
      <c r="AC33" s="17">
        <v>457190.95</v>
      </c>
      <c r="AD33" s="18">
        <f>(AC33/AC32)-1</f>
        <v>-8.9833010514946077E-2</v>
      </c>
      <c r="AE33" s="18">
        <f t="shared" si="13"/>
        <v>-0.1791165744151032</v>
      </c>
      <c r="AF33" s="17">
        <f>AC33/Z33</f>
        <v>35.220091410734334</v>
      </c>
    </row>
    <row r="34" spans="1:32" x14ac:dyDescent="0.25">
      <c r="A34" s="6">
        <v>45778</v>
      </c>
      <c r="B34" s="5">
        <v>3188.91</v>
      </c>
      <c r="C34" s="5">
        <v>95245.37</v>
      </c>
      <c r="D34" s="5">
        <f t="shared" ref="D34" si="39">C34/B34</f>
        <v>29.867688332376893</v>
      </c>
      <c r="E34" s="5">
        <v>61.76</v>
      </c>
      <c r="F34" s="4">
        <f t="shared" ref="F34" si="40">(B34/B22)-1</f>
        <v>-0.59903257119290232</v>
      </c>
      <c r="G34" s="4">
        <f t="shared" ref="G34" si="41">(C34/C22)-1</f>
        <v>-0.55012277403861654</v>
      </c>
      <c r="H34" s="5">
        <v>8488.8700000000008</v>
      </c>
      <c r="I34" s="5">
        <v>278680.76</v>
      </c>
      <c r="J34" s="5">
        <f t="shared" ref="J34" si="42">I34/H34</f>
        <v>32.828958389043535</v>
      </c>
      <c r="K34" s="5">
        <v>54.42</v>
      </c>
      <c r="L34" s="4">
        <f t="shared" ref="L34" si="43">(H34/H22)-1</f>
        <v>0.71928918485932969</v>
      </c>
      <c r="M34" s="4">
        <f t="shared" ref="M34" si="44">(I34/I22)-1</f>
        <v>0.66317086229038913</v>
      </c>
      <c r="N34" s="5">
        <v>1743.22</v>
      </c>
      <c r="O34" s="5">
        <v>67285.279999999999</v>
      </c>
      <c r="P34" s="5">
        <f t="shared" ref="P34:P41" si="45">O34/N34</f>
        <v>38.598272163008687</v>
      </c>
      <c r="Q34" s="5">
        <v>65.12</v>
      </c>
      <c r="R34" s="4">
        <f t="shared" ref="R34:R41" si="46">(N34/N22)-1</f>
        <v>0.16295298073330833</v>
      </c>
      <c r="S34" s="4">
        <f t="shared" ref="S34:S41" si="47">(O34/O22)-1</f>
        <v>0.22591461759311793</v>
      </c>
      <c r="T34" s="21"/>
      <c r="U34" s="21"/>
      <c r="V34" s="21"/>
      <c r="W34" s="21"/>
      <c r="X34" s="15"/>
      <c r="Y34" s="15"/>
      <c r="Z34" s="17">
        <v>14784.72</v>
      </c>
      <c r="AA34" s="18">
        <f t="shared" ref="AA34" si="48">(Z34/Z33)-1</f>
        <v>0.13895340640953635</v>
      </c>
      <c r="AB34" s="18">
        <f t="shared" ref="AB34" si="49">(Z34/Z22)-1</f>
        <v>-0.16743842672446563</v>
      </c>
      <c r="AC34" s="17">
        <v>511204.01</v>
      </c>
      <c r="AD34" s="18">
        <f t="shared" ref="AD34" si="50">(AC34/AC33)-1</f>
        <v>0.118141139932888</v>
      </c>
      <c r="AE34" s="18">
        <f t="shared" si="13"/>
        <v>-0.11469623036213084</v>
      </c>
      <c r="AF34" s="17">
        <f t="shared" ref="AF34" si="51">AC34/Z34</f>
        <v>34.576509396187419</v>
      </c>
    </row>
    <row r="35" spans="1:32" x14ac:dyDescent="0.25">
      <c r="A35" s="6">
        <v>45809</v>
      </c>
      <c r="B35" s="5">
        <v>3532.61</v>
      </c>
      <c r="C35" s="5">
        <v>98523.15</v>
      </c>
      <c r="D35" s="5">
        <f t="shared" ref="D35:D40" si="52">C35/B35</f>
        <v>27.889619856140357</v>
      </c>
      <c r="E35" s="5">
        <v>61.05</v>
      </c>
      <c r="F35" s="4">
        <f t="shared" ref="F35:G37" si="53">(B35/B23)-1</f>
        <v>0.20386930118116942</v>
      </c>
      <c r="G35" s="4">
        <f t="shared" si="53"/>
        <v>9.2801770078176249E-2</v>
      </c>
      <c r="H35" s="5">
        <v>7150.49</v>
      </c>
      <c r="I35" s="5">
        <v>230842.51</v>
      </c>
      <c r="J35" s="5">
        <f t="shared" ref="J35:J40" si="54">I35/H35</f>
        <v>32.2834533018017</v>
      </c>
      <c r="K35" s="12">
        <v>54.98</v>
      </c>
      <c r="L35" s="4">
        <f t="shared" ref="L35:M37" si="55">(H35/H23)-1</f>
        <v>0.94402938409756998</v>
      </c>
      <c r="M35" s="4">
        <f t="shared" si="55"/>
        <v>0.78297945108403044</v>
      </c>
      <c r="N35" s="5">
        <v>1332.7</v>
      </c>
      <c r="O35" s="5">
        <v>48226.58</v>
      </c>
      <c r="P35" s="5">
        <f t="shared" si="45"/>
        <v>36.187123883844826</v>
      </c>
      <c r="Q35" s="5">
        <v>61.53</v>
      </c>
      <c r="R35" s="4">
        <f t="shared" si="46"/>
        <v>-0.60300627349582059</v>
      </c>
      <c r="S35" s="4">
        <f t="shared" si="47"/>
        <v>-0.55760727729386528</v>
      </c>
      <c r="T35" s="21"/>
      <c r="U35" s="21"/>
      <c r="V35" s="21"/>
      <c r="W35" s="21"/>
      <c r="X35" s="15"/>
      <c r="Y35" s="15"/>
      <c r="Z35" s="17">
        <v>14586.57</v>
      </c>
      <c r="AA35" s="18">
        <f>(Z35/Z34)-1</f>
        <v>-1.3402350534876484E-2</v>
      </c>
      <c r="AB35" s="18">
        <f>(Z35/Z23)-1</f>
        <v>3.0801281349133847E-2</v>
      </c>
      <c r="AC35" s="17">
        <v>490113.41</v>
      </c>
      <c r="AD35" s="18">
        <f>(AC35/AC34)-1</f>
        <v>-4.1256718623940425E-2</v>
      </c>
      <c r="AE35" s="18">
        <f t="shared" si="13"/>
        <v>4.9586317760683896E-2</v>
      </c>
      <c r="AF35" s="17">
        <f>AC35/Z35</f>
        <v>33.600319334840201</v>
      </c>
    </row>
    <row r="36" spans="1:32" x14ac:dyDescent="0.25">
      <c r="A36" s="6">
        <v>45839</v>
      </c>
      <c r="B36" s="5">
        <v>8095.28</v>
      </c>
      <c r="C36" s="5">
        <v>219567.23</v>
      </c>
      <c r="D36" s="5">
        <f t="shared" si="52"/>
        <v>27.122870363965177</v>
      </c>
      <c r="E36" s="5">
        <v>58.75</v>
      </c>
      <c r="F36" s="4">
        <f t="shared" si="53"/>
        <v>2.4549737951755808</v>
      </c>
      <c r="G36" s="4">
        <f t="shared" si="53"/>
        <v>2.0769351394293674</v>
      </c>
      <c r="H36" s="5">
        <v>6394.12</v>
      </c>
      <c r="I36" s="5">
        <v>218397.36</v>
      </c>
      <c r="J36" s="5">
        <f t="shared" si="54"/>
        <v>34.15596829587183</v>
      </c>
      <c r="K36" s="12">
        <v>59.59</v>
      </c>
      <c r="L36" s="4">
        <f t="shared" si="55"/>
        <v>9.6216290352997724E-2</v>
      </c>
      <c r="M36" s="4">
        <f t="shared" si="55"/>
        <v>0.19330912664124322</v>
      </c>
      <c r="N36" s="5">
        <v>2228.9699999999998</v>
      </c>
      <c r="O36" s="5">
        <v>81507.19</v>
      </c>
      <c r="P36" s="5">
        <f t="shared" si="45"/>
        <v>36.567199199630323</v>
      </c>
      <c r="Q36" s="5">
        <v>64.489999999999995</v>
      </c>
      <c r="R36" s="4">
        <f t="shared" si="46"/>
        <v>-0.57018232305215166</v>
      </c>
      <c r="S36" s="4">
        <f t="shared" si="47"/>
        <v>-0.52669800404379097</v>
      </c>
      <c r="T36" s="21"/>
      <c r="U36" s="21"/>
      <c r="V36" s="21"/>
      <c r="W36" s="21"/>
      <c r="X36" s="15"/>
      <c r="Y36" s="15"/>
      <c r="Z36" s="17">
        <v>18696.2</v>
      </c>
      <c r="AA36" s="18">
        <f>(Z36/Z35)-1</f>
        <v>0.28174066967080003</v>
      </c>
      <c r="AB36" s="18">
        <f>(Z36/Z24)-1</f>
        <v>3.9370924368302695E-3</v>
      </c>
      <c r="AC36" s="17">
        <v>618355.75</v>
      </c>
      <c r="AD36" s="18">
        <f>(AC36/AC35)-1</f>
        <v>0.26165850063151708</v>
      </c>
      <c r="AE36" s="18">
        <f t="shared" si="13"/>
        <v>2.0915724574473549E-2</v>
      </c>
      <c r="AF36" s="17">
        <f>AC36/Z36</f>
        <v>33.073873300456775</v>
      </c>
    </row>
    <row r="37" spans="1:32" x14ac:dyDescent="0.25">
      <c r="A37" s="6">
        <v>45870</v>
      </c>
      <c r="B37" s="5">
        <v>5609.38</v>
      </c>
      <c r="C37" s="5">
        <v>174882.58</v>
      </c>
      <c r="D37" s="5">
        <f t="shared" si="52"/>
        <v>31.176810984458172</v>
      </c>
      <c r="E37" s="5">
        <v>59.87</v>
      </c>
      <c r="F37" s="4">
        <f t="shared" si="53"/>
        <v>-0.39758060532120776</v>
      </c>
      <c r="G37" s="4">
        <f t="shared" si="53"/>
        <v>-0.27569938107751968</v>
      </c>
      <c r="H37" s="5">
        <v>11197.64</v>
      </c>
      <c r="I37" s="5">
        <v>343403.88</v>
      </c>
      <c r="J37" s="5">
        <f t="shared" si="54"/>
        <v>30.667522799447028</v>
      </c>
      <c r="K37" s="12">
        <v>52.32</v>
      </c>
      <c r="L37" s="4">
        <f t="shared" si="55"/>
        <v>5.2837838596176185</v>
      </c>
      <c r="M37" s="4">
        <f t="shared" si="55"/>
        <v>3.8389739011186448</v>
      </c>
      <c r="N37" s="5">
        <v>3846.5</v>
      </c>
      <c r="O37" s="5">
        <v>133605.76999999999</v>
      </c>
      <c r="P37" s="5">
        <f t="shared" si="45"/>
        <v>34.734374106330428</v>
      </c>
      <c r="Q37" s="5">
        <v>54.94</v>
      </c>
      <c r="R37" s="4">
        <f t="shared" si="46"/>
        <v>8.8115733760300463E-2</v>
      </c>
      <c r="S37" s="4">
        <f t="shared" si="47"/>
        <v>5.977945006643548E-2</v>
      </c>
      <c r="T37" s="21"/>
      <c r="U37" s="21"/>
      <c r="V37" s="21"/>
      <c r="W37" s="21"/>
      <c r="X37" s="15"/>
      <c r="Y37" s="15"/>
      <c r="Z37" s="17">
        <v>18696.2</v>
      </c>
      <c r="AA37" s="18">
        <f>(Z37/Z36)-1</f>
        <v>0</v>
      </c>
      <c r="AB37" s="18">
        <f>(Z37/Z25)-1</f>
        <v>-0.13632886412015133</v>
      </c>
      <c r="AC37" s="17">
        <v>618355.75</v>
      </c>
      <c r="AD37" s="18">
        <f>(AC37/AC36)-1</f>
        <v>0</v>
      </c>
      <c r="AE37" s="18">
        <f t="shared" si="13"/>
        <v>-7.1778776564315527E-2</v>
      </c>
      <c r="AF37" s="17">
        <f>AC37/Z37</f>
        <v>33.073873300456775</v>
      </c>
    </row>
    <row r="38" spans="1:32" x14ac:dyDescent="0.25">
      <c r="A38" s="6">
        <v>45901</v>
      </c>
      <c r="B38" s="5">
        <v>4067.91</v>
      </c>
      <c r="C38" s="5">
        <v>138723.60999999999</v>
      </c>
      <c r="D38" s="5">
        <f t="shared" si="52"/>
        <v>34.101936866843168</v>
      </c>
      <c r="E38" s="5">
        <v>58.76</v>
      </c>
      <c r="F38" s="4">
        <f t="shared" ref="F38" si="56">(B38/B26)-1</f>
        <v>-0.4981315225531211</v>
      </c>
      <c r="G38" s="4">
        <f t="shared" ref="G38" si="57">(C38/C26)-1</f>
        <v>-0.35931253696488497</v>
      </c>
      <c r="H38" s="5">
        <v>5916.09</v>
      </c>
      <c r="I38" s="5">
        <v>192333.45</v>
      </c>
      <c r="J38" s="5">
        <f t="shared" si="54"/>
        <v>32.510230574585577</v>
      </c>
      <c r="K38" s="12">
        <v>57.44</v>
      </c>
      <c r="L38" s="4">
        <f t="shared" ref="L38" si="58">(H38/H26)-1</f>
        <v>0.87581328395500146</v>
      </c>
      <c r="M38" s="4">
        <f t="shared" ref="M38" si="59">(I38/I26)-1</f>
        <v>0.68000258900761867</v>
      </c>
      <c r="N38" s="5">
        <v>4251.78</v>
      </c>
      <c r="O38" s="5">
        <v>145363.70000000001</v>
      </c>
      <c r="P38" s="5">
        <f t="shared" si="45"/>
        <v>34.1889044117993</v>
      </c>
      <c r="Q38" s="5">
        <v>55.66</v>
      </c>
      <c r="R38" s="4">
        <f t="shared" si="46"/>
        <v>-0.22075194363904949</v>
      </c>
      <c r="S38" s="4">
        <f t="shared" si="47"/>
        <v>-0.23468516909626169</v>
      </c>
      <c r="T38" s="5">
        <v>47.34</v>
      </c>
      <c r="U38" s="5">
        <v>1064.6500000000001</v>
      </c>
      <c r="V38" s="5">
        <f t="shared" ref="V38:V40" si="60">U38/T38</f>
        <v>22.489438107308828</v>
      </c>
      <c r="W38" s="5">
        <v>24.66</v>
      </c>
      <c r="X38" s="15"/>
      <c r="Y38" s="15"/>
      <c r="Z38" s="17">
        <v>16089.56</v>
      </c>
      <c r="AA38" s="18">
        <f t="shared" ref="AA38:AA39" si="61">(Z38/Z37)-1</f>
        <v>-0.13942084487756878</v>
      </c>
      <c r="AB38" s="18">
        <f t="shared" ref="AB38:AB39" si="62">(Z38/Z26)-1</f>
        <v>-0.19966971171901626</v>
      </c>
      <c r="AC38" s="17">
        <v>571781.39</v>
      </c>
      <c r="AD38" s="18">
        <f t="shared" ref="AD38:AD39" si="63">(AC38/AC37)-1</f>
        <v>-7.5319684502003881E-2</v>
      </c>
      <c r="AE38" s="18">
        <f t="shared" ref="AE38:AE39" si="64">(AC38/AC26)-1</f>
        <v>-0.1167438758259034</v>
      </c>
      <c r="AF38" s="17">
        <f t="shared" ref="AF38:AF39" si="65">AC38/Z38</f>
        <v>35.537416187888297</v>
      </c>
    </row>
    <row r="39" spans="1:32" x14ac:dyDescent="0.25">
      <c r="A39" s="6">
        <v>45931</v>
      </c>
      <c r="B39" s="5">
        <v>2884.72</v>
      </c>
      <c r="C39" s="5">
        <v>105736.25</v>
      </c>
      <c r="D39" s="5">
        <f t="shared" si="52"/>
        <v>36.653904018414266</v>
      </c>
      <c r="E39" s="5">
        <v>61.61</v>
      </c>
      <c r="F39" s="4">
        <f t="shared" ref="F39" si="66">(B39/B27)-1</f>
        <v>-0.59339674234778739</v>
      </c>
      <c r="G39" s="4">
        <f t="shared" ref="G39" si="67">(C39/C27)-1</f>
        <v>-0.49776680220572456</v>
      </c>
      <c r="H39" s="5">
        <v>13138.48</v>
      </c>
      <c r="I39" s="5">
        <v>390933.45</v>
      </c>
      <c r="J39" s="5">
        <f t="shared" si="54"/>
        <v>29.754846070473906</v>
      </c>
      <c r="K39" s="12">
        <v>41.67</v>
      </c>
      <c r="L39" s="4">
        <f t="shared" ref="L39" si="68">(H39/H27)-1</f>
        <v>3.2930737585732537</v>
      </c>
      <c r="M39" s="4">
        <f t="shared" ref="M39" si="69">(I39/I27)-1</f>
        <v>2.5278042358003141</v>
      </c>
      <c r="N39" s="5">
        <v>1091.54</v>
      </c>
      <c r="O39" s="5">
        <v>36793.769999999997</v>
      </c>
      <c r="P39" s="5">
        <f t="shared" si="45"/>
        <v>33.708127965993</v>
      </c>
      <c r="Q39" s="5">
        <v>62.88</v>
      </c>
      <c r="R39" s="4">
        <f t="shared" si="46"/>
        <v>-0.75526941798182579</v>
      </c>
      <c r="S39" s="4">
        <f t="shared" si="47"/>
        <v>-0.76551099885456941</v>
      </c>
      <c r="T39" s="5">
        <v>111.56</v>
      </c>
      <c r="U39" s="5">
        <v>3220.26</v>
      </c>
      <c r="V39" s="5">
        <f t="shared" si="60"/>
        <v>28.86572248117605</v>
      </c>
      <c r="W39" s="5">
        <v>63.54</v>
      </c>
      <c r="X39" s="15"/>
      <c r="Y39" s="15"/>
      <c r="Z39" s="17">
        <v>22572.760000000002</v>
      </c>
      <c r="AA39" s="18">
        <f t="shared" si="61"/>
        <v>0.40294451806015852</v>
      </c>
      <c r="AB39" s="18">
        <f t="shared" si="62"/>
        <v>0.20840156639373464</v>
      </c>
      <c r="AC39" s="17">
        <v>727904.19</v>
      </c>
      <c r="AD39" s="18">
        <f t="shared" si="63"/>
        <v>0.27304631233276044</v>
      </c>
      <c r="AE39" s="18">
        <f t="shared" si="64"/>
        <v>0.13926347627149616</v>
      </c>
      <c r="AF39" s="17">
        <f t="shared" si="65"/>
        <v>32.247017644275658</v>
      </c>
    </row>
    <row r="40" spans="1:32" x14ac:dyDescent="0.25">
      <c r="A40" s="6">
        <v>45962</v>
      </c>
      <c r="B40" s="5">
        <v>1819.49</v>
      </c>
      <c r="C40" s="5">
        <v>64815.63</v>
      </c>
      <c r="D40" s="5">
        <f t="shared" si="52"/>
        <v>35.622965776124076</v>
      </c>
      <c r="E40" s="5">
        <v>63.1</v>
      </c>
      <c r="F40" s="4">
        <f t="shared" ref="F40" si="70">(B40/B28)-1</f>
        <v>-0.82554673350163521</v>
      </c>
      <c r="G40" s="4">
        <f t="shared" ref="G40" si="71">(C40/C28)-1</f>
        <v>-0.78452537200303185</v>
      </c>
      <c r="H40" s="5">
        <v>9735.56</v>
      </c>
      <c r="I40" s="5">
        <v>310377.57</v>
      </c>
      <c r="J40" s="5">
        <f t="shared" si="54"/>
        <v>31.88081322491978</v>
      </c>
      <c r="K40" s="12">
        <v>53.56</v>
      </c>
      <c r="L40" s="4">
        <f t="shared" ref="L40" si="72">(H40/H28)-1</f>
        <v>1.3914712782028764</v>
      </c>
      <c r="M40" s="4">
        <f t="shared" ref="M40" si="73">(I40/I28)-1</f>
        <v>1.1933452741724255</v>
      </c>
      <c r="N40" s="5">
        <v>1721.89</v>
      </c>
      <c r="O40" s="5">
        <v>69732.759999999995</v>
      </c>
      <c r="P40" s="5">
        <f t="shared" si="45"/>
        <v>40.497801834031208</v>
      </c>
      <c r="Q40" s="5">
        <v>63.98</v>
      </c>
      <c r="R40" s="4">
        <f t="shared" si="46"/>
        <v>-0.59450593443858324</v>
      </c>
      <c r="S40" s="4">
        <f t="shared" si="47"/>
        <v>-0.54373063729140236</v>
      </c>
      <c r="T40" s="5">
        <v>4095.32</v>
      </c>
      <c r="U40" s="5">
        <v>107024.67</v>
      </c>
      <c r="V40" s="5">
        <f t="shared" si="60"/>
        <v>26.133408378344061</v>
      </c>
      <c r="W40" s="5">
        <v>48.33</v>
      </c>
      <c r="X40" s="15"/>
      <c r="Y40" s="15"/>
      <c r="Z40" s="17">
        <v>33767.71</v>
      </c>
      <c r="AA40" s="18">
        <f t="shared" ref="AA40" si="74">(Z40/Z39)-1</f>
        <v>0.49594954272317593</v>
      </c>
      <c r="AB40" s="18">
        <f t="shared" ref="AB40" si="75">(Z40/Z28)-1</f>
        <v>0.46426254615970364</v>
      </c>
      <c r="AC40" s="17">
        <v>1021538.38</v>
      </c>
      <c r="AD40" s="18">
        <f t="shared" ref="AD40" si="76">(AC40/AC39)-1</f>
        <v>0.40339675747710713</v>
      </c>
      <c r="AE40" s="18">
        <f t="shared" ref="AE40" si="77">(AC40/AC28)-1</f>
        <v>0.31970466597223823</v>
      </c>
      <c r="AF40" s="17">
        <f t="shared" ref="AF40" si="78">AC40/Z40</f>
        <v>30.251929431992874</v>
      </c>
    </row>
    <row r="41" spans="1:32" x14ac:dyDescent="0.25">
      <c r="A41" s="6">
        <v>45992</v>
      </c>
      <c r="B41" s="5">
        <v>850.64</v>
      </c>
      <c r="C41" s="5">
        <v>30929.27</v>
      </c>
      <c r="D41" s="5">
        <f t="shared" ref="D41" si="79">C41/B41</f>
        <v>36.359999529765823</v>
      </c>
      <c r="E41" s="5">
        <v>62.45</v>
      </c>
      <c r="F41" s="4">
        <f t="shared" ref="F41" si="80">(B41/B29)-1</f>
        <v>-0.86462278864578224</v>
      </c>
      <c r="G41" s="4">
        <f t="shared" ref="G41" si="81">(C41/C29)-1</f>
        <v>-0.82892470805890395</v>
      </c>
      <c r="H41" s="5">
        <v>13695.49</v>
      </c>
      <c r="I41" s="5">
        <v>409998.85</v>
      </c>
      <c r="J41" s="5">
        <f t="shared" ref="J41" si="82">I41/H41</f>
        <v>29.936778457725865</v>
      </c>
      <c r="K41" s="12">
        <v>46.92</v>
      </c>
      <c r="L41" s="4">
        <f t="shared" ref="L41" si="83">(H41/H29)-1</f>
        <v>4.7551571843391365</v>
      </c>
      <c r="M41" s="4">
        <f t="shared" ref="M41" si="84">(I41/I29)-1</f>
        <v>4.0723322797698485</v>
      </c>
      <c r="N41" s="5">
        <v>1042.1300000000001</v>
      </c>
      <c r="O41" s="5">
        <v>42871.98</v>
      </c>
      <c r="P41" s="5">
        <f t="shared" si="45"/>
        <v>41.138802260754417</v>
      </c>
      <c r="Q41" s="5">
        <v>73.27</v>
      </c>
      <c r="R41" s="4">
        <f t="shared" si="46"/>
        <v>-0.72749855529494201</v>
      </c>
      <c r="S41" s="4">
        <f t="shared" si="47"/>
        <v>-0.67036909575047188</v>
      </c>
      <c r="T41" s="5">
        <v>896.84</v>
      </c>
      <c r="U41" s="5">
        <v>30903.42</v>
      </c>
      <c r="V41" s="5">
        <f t="shared" ref="V41" si="85">U41/T41</f>
        <v>34.458119619999103</v>
      </c>
      <c r="W41" s="5">
        <v>56.16</v>
      </c>
      <c r="X41" s="15"/>
      <c r="Y41" s="15"/>
      <c r="Z41" s="17">
        <v>28186.67</v>
      </c>
      <c r="AA41" s="18">
        <f t="shared" ref="AA41" si="86">(Z41/Z40)-1</f>
        <v>-0.16527742035216486</v>
      </c>
      <c r="AB41" s="18">
        <f t="shared" ref="AB41" si="87">(Z41/Z29)-1</f>
        <v>0.65154301872575338</v>
      </c>
      <c r="AC41" s="17">
        <v>836495.06</v>
      </c>
      <c r="AD41" s="18">
        <f t="shared" ref="AD41" si="88">(AC41/AC40)-1</f>
        <v>-0.18114181867547641</v>
      </c>
      <c r="AE41" s="18">
        <f t="shared" ref="AE41" si="89">(AC41/AC29)-1</f>
        <v>0.44933942305519836</v>
      </c>
      <c r="AF41" s="17">
        <f t="shared" ref="AF41" si="90">AC41/Z41</f>
        <v>29.676973548134637</v>
      </c>
    </row>
    <row r="42" spans="1:32" x14ac:dyDescent="0.25">
      <c r="A42" s="6">
        <v>46023</v>
      </c>
      <c r="B42" s="5">
        <v>551.12</v>
      </c>
      <c r="C42" s="5">
        <v>19820.16</v>
      </c>
      <c r="D42" s="5">
        <f t="shared" ref="D42" si="91">C42/B42</f>
        <v>35.9634199448396</v>
      </c>
      <c r="E42" s="5">
        <v>56.54</v>
      </c>
      <c r="F42" s="4">
        <f t="shared" ref="F42" si="92">(B42/B30)-1</f>
        <v>-0.91229064149165751</v>
      </c>
      <c r="G42" s="4">
        <f t="shared" ref="G42" si="93">(C42/C30)-1</f>
        <v>-0.89037117079325723</v>
      </c>
      <c r="H42" s="5">
        <v>16881.12</v>
      </c>
      <c r="I42" s="5">
        <v>497176.31</v>
      </c>
      <c r="J42" s="5">
        <f t="shared" ref="J42" si="94">I42/H42</f>
        <v>29.451618731458577</v>
      </c>
      <c r="K42" s="12">
        <v>46.57</v>
      </c>
      <c r="L42" s="4">
        <f t="shared" ref="L42" si="95">(H42/H30)-1</f>
        <v>6.0938315494875379</v>
      </c>
      <c r="M42" s="4">
        <f t="shared" ref="M42" si="96">(I42/I30)-1</f>
        <v>5.1508549254464038</v>
      </c>
      <c r="N42" s="5">
        <v>1077.49</v>
      </c>
      <c r="O42" s="5">
        <v>50253.51</v>
      </c>
      <c r="P42" s="5">
        <f t="shared" ref="P42" si="97">O42/N42</f>
        <v>46.639421247528979</v>
      </c>
      <c r="Q42" s="5">
        <v>65.900000000000006</v>
      </c>
      <c r="R42" s="4">
        <f t="shared" ref="R42" si="98">(N42/N30)-1</f>
        <v>-0.71825244292434454</v>
      </c>
      <c r="S42" s="4">
        <f t="shared" ref="S42" si="99">(O42/O30)-1</f>
        <v>-0.61361453464447635</v>
      </c>
      <c r="T42" s="5">
        <v>1096.52</v>
      </c>
      <c r="U42" s="5">
        <v>39236.78</v>
      </c>
      <c r="V42" s="5">
        <f t="shared" ref="V42" si="100">U42/T42</f>
        <v>35.783004413964179</v>
      </c>
      <c r="W42" s="5">
        <v>55.49</v>
      </c>
      <c r="X42" s="15"/>
      <c r="Y42" s="15"/>
      <c r="Z42" s="17">
        <v>29596.93</v>
      </c>
      <c r="AA42" s="18">
        <f t="shared" ref="AA42" si="101">(Z42/Z41)-1</f>
        <v>5.0032870147484587E-2</v>
      </c>
      <c r="AB42" s="18">
        <f t="shared" ref="AB42" si="102">(Z42/Z30)-1</f>
        <v>0.69879482112303126</v>
      </c>
      <c r="AC42" s="17">
        <v>903652.67999999993</v>
      </c>
      <c r="AD42" s="18">
        <f t="shared" ref="AD42" si="103">(AC42/AC41)-1</f>
        <v>8.0284538679762152E-2</v>
      </c>
      <c r="AE42" s="18">
        <f t="shared" ref="AE42" si="104">(AC42/AC30)-1</f>
        <v>0.59515906273875352</v>
      </c>
      <c r="AF42" s="17">
        <f t="shared" ref="AF42" si="105">AC42/Z42</f>
        <v>30.531973417513232</v>
      </c>
    </row>
    <row r="43" spans="1:32" x14ac:dyDescent="0.25">
      <c r="A43" s="6">
        <v>46054</v>
      </c>
      <c r="B43" s="5">
        <v>538.73</v>
      </c>
      <c r="C43" s="5">
        <v>23536.89</v>
      </c>
      <c r="D43" s="5">
        <f t="shared" ref="D43" si="106">C43/B43</f>
        <v>43.689584764167577</v>
      </c>
      <c r="E43" s="5">
        <v>59.24</v>
      </c>
      <c r="F43" s="4">
        <f t="shared" ref="F43" si="107">(B43/B31)-1</f>
        <v>-0.86115027255505872</v>
      </c>
      <c r="G43" s="4">
        <f t="shared" ref="G43" si="108">(C43/C31)-1</f>
        <v>-0.80140022063182648</v>
      </c>
      <c r="H43" s="5">
        <v>14041.39</v>
      </c>
      <c r="I43" s="5">
        <v>413070.11</v>
      </c>
      <c r="J43" s="5">
        <f t="shared" ref="J43" si="109">I43/H43</f>
        <v>29.418035536367839</v>
      </c>
      <c r="K43" s="12">
        <v>46.49</v>
      </c>
      <c r="L43" s="4">
        <f t="shared" ref="L43" si="110">(H43/H31)-1</f>
        <v>1.4156108017348008</v>
      </c>
      <c r="M43" s="4">
        <f t="shared" ref="M43" si="111">(I43/I31)-1</f>
        <v>1.1800859673634769</v>
      </c>
      <c r="N43" s="5">
        <v>513.55999999999995</v>
      </c>
      <c r="O43" s="5">
        <v>22846.11</v>
      </c>
      <c r="P43" s="5">
        <f t="shared" ref="P43" si="112">O43/N43</f>
        <v>44.485766025391392</v>
      </c>
      <c r="Q43" s="5">
        <v>63.09</v>
      </c>
      <c r="R43" s="4">
        <f t="shared" ref="R43" si="113">(N43/N31)-1</f>
        <v>-0.78561111435799391</v>
      </c>
      <c r="S43" s="4">
        <f t="shared" ref="S43" si="114">(O43/O31)-1</f>
        <v>-0.74098946174794644</v>
      </c>
      <c r="T43" s="5">
        <v>957.02</v>
      </c>
      <c r="U43" s="5">
        <v>29720.87</v>
      </c>
      <c r="V43" s="5">
        <f t="shared" ref="V43" si="115">U43/T43</f>
        <v>31.055641470397692</v>
      </c>
      <c r="W43" s="5">
        <v>55.02</v>
      </c>
      <c r="X43" s="15"/>
      <c r="Y43" s="15"/>
      <c r="Z43" s="17">
        <v>20864.11</v>
      </c>
      <c r="AA43" s="18">
        <f t="shared" ref="AA43" si="116">(Z43/Z42)-1</f>
        <v>-0.29505830503366393</v>
      </c>
      <c r="AB43" s="18">
        <f t="shared" ref="AB43" si="117">(Z43/Z31)-1</f>
        <v>0.33573303917997288</v>
      </c>
      <c r="AC43" s="17">
        <v>654607.46000000008</v>
      </c>
      <c r="AD43" s="18">
        <f t="shared" ref="AD43" si="118">(AC43/AC42)-1</f>
        <v>-0.27559838587542274</v>
      </c>
      <c r="AE43" s="18">
        <f t="shared" ref="AE43" si="119">(AC43/AC31)-1</f>
        <v>0.23243090082875639</v>
      </c>
      <c r="AF43" s="17">
        <f t="shared" ref="AF43" si="120">AC43/Z43</f>
        <v>31.374808702599825</v>
      </c>
    </row>
    <row r="44" spans="1:32" x14ac:dyDescent="0.25">
      <c r="Z44" s="20"/>
      <c r="AC44" s="20"/>
    </row>
    <row r="45" spans="1:32" x14ac:dyDescent="0.25">
      <c r="Z45" s="20"/>
    </row>
    <row r="46" spans="1:32" x14ac:dyDescent="0.25">
      <c r="Z46" s="20"/>
    </row>
  </sheetData>
  <mergeCells count="5">
    <mergeCell ref="B1:G1"/>
    <mergeCell ref="H1:M1"/>
    <mergeCell ref="T1:Y1"/>
    <mergeCell ref="Z1:AF1"/>
    <mergeCell ref="N1:S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7949-E4A7-4AAF-A7BD-CADFBB484F8D}">
  <dimension ref="A1:G43"/>
  <sheetViews>
    <sheetView showGridLines="0" zoomScaleNormal="100" workbookViewId="0">
      <pane ySplit="2" topLeftCell="A33" activePane="bottomLeft" state="frozen"/>
      <selection pane="bottomLeft" activeCell="F43" sqref="F43"/>
    </sheetView>
  </sheetViews>
  <sheetFormatPr defaultRowHeight="15" x14ac:dyDescent="0.25"/>
  <cols>
    <col min="1" max="1" width="7.28515625" style="2" bestFit="1" customWidth="1"/>
    <col min="2" max="2" width="15.140625" bestFit="1" customWidth="1"/>
    <col min="3" max="3" width="8.85546875" style="1" bestFit="1" customWidth="1"/>
    <col min="4" max="4" width="10.140625" style="1" bestFit="1" customWidth="1"/>
    <col min="5" max="5" width="15.140625" customWidth="1"/>
    <col min="6" max="6" width="9.140625" style="1" customWidth="1"/>
    <col min="7" max="7" width="10.140625" style="1" customWidth="1"/>
  </cols>
  <sheetData>
    <row r="1" spans="1:7" x14ac:dyDescent="0.25">
      <c r="B1" s="42" t="s">
        <v>12</v>
      </c>
      <c r="C1" s="43"/>
      <c r="D1" s="43"/>
      <c r="E1" s="45" t="s">
        <v>13</v>
      </c>
      <c r="F1" s="45"/>
      <c r="G1" s="45"/>
    </row>
    <row r="2" spans="1:7" x14ac:dyDescent="0.25">
      <c r="B2" s="8" t="s">
        <v>1</v>
      </c>
      <c r="C2" s="8" t="s">
        <v>4</v>
      </c>
      <c r="D2" s="8" t="s">
        <v>3</v>
      </c>
      <c r="E2" s="8" t="s">
        <v>1</v>
      </c>
      <c r="F2" s="8" t="s">
        <v>4</v>
      </c>
      <c r="G2" s="8" t="s">
        <v>3</v>
      </c>
    </row>
    <row r="3" spans="1:7" x14ac:dyDescent="0.25">
      <c r="A3" s="6">
        <v>44835</v>
      </c>
      <c r="B3" s="3">
        <v>118411.09</v>
      </c>
      <c r="C3" s="7" t="s">
        <v>0</v>
      </c>
      <c r="D3" s="7" t="s">
        <v>0</v>
      </c>
      <c r="E3" s="3">
        <v>94674.62999999999</v>
      </c>
      <c r="F3" s="7" t="s">
        <v>0</v>
      </c>
      <c r="G3" s="7" t="s">
        <v>0</v>
      </c>
    </row>
    <row r="4" spans="1:7" x14ac:dyDescent="0.25">
      <c r="A4" s="6">
        <v>44866</v>
      </c>
      <c r="B4" s="3">
        <v>144887.88</v>
      </c>
      <c r="C4" s="4">
        <f t="shared" ref="C4:C26" si="0">(B4/B3)-1</f>
        <v>0.22360059349170758</v>
      </c>
      <c r="D4" s="7" t="s">
        <v>0</v>
      </c>
      <c r="E4" s="3">
        <v>144162.15</v>
      </c>
      <c r="F4" s="4">
        <f t="shared" ref="F4:F26" si="1">(E4/E3)-1</f>
        <v>0.52271152261170717</v>
      </c>
      <c r="G4" s="7" t="s">
        <v>0</v>
      </c>
    </row>
    <row r="5" spans="1:7" x14ac:dyDescent="0.25">
      <c r="A5" s="6">
        <v>44896</v>
      </c>
      <c r="B5" s="3">
        <v>184379.44</v>
      </c>
      <c r="C5" s="4">
        <f t="shared" si="0"/>
        <v>0.27256634578406413</v>
      </c>
      <c r="D5" s="7" t="s">
        <v>0</v>
      </c>
      <c r="E5" s="3">
        <v>134559.54</v>
      </c>
      <c r="F5" s="4">
        <f t="shared" si="1"/>
        <v>-6.6609786271916605E-2</v>
      </c>
      <c r="G5" s="7" t="s">
        <v>0</v>
      </c>
    </row>
    <row r="6" spans="1:7" x14ac:dyDescent="0.25">
      <c r="A6" s="6">
        <v>44927</v>
      </c>
      <c r="B6" s="3">
        <v>84846.24</v>
      </c>
      <c r="C6" s="4">
        <f t="shared" si="0"/>
        <v>-0.53982808495350665</v>
      </c>
      <c r="D6" s="7" t="s">
        <v>0</v>
      </c>
      <c r="E6" s="3">
        <v>62858.630000000005</v>
      </c>
      <c r="F6" s="4">
        <f t="shared" si="1"/>
        <v>-0.53285638461605922</v>
      </c>
      <c r="G6" s="7" t="s">
        <v>0</v>
      </c>
    </row>
    <row r="7" spans="1:7" x14ac:dyDescent="0.25">
      <c r="A7" s="6">
        <v>44958</v>
      </c>
      <c r="B7" s="3">
        <v>67521.95</v>
      </c>
      <c r="C7" s="4">
        <f t="shared" si="0"/>
        <v>-0.20418453428224992</v>
      </c>
      <c r="D7" s="7" t="s">
        <v>0</v>
      </c>
      <c r="E7" s="3">
        <v>41301.68</v>
      </c>
      <c r="F7" s="4">
        <f t="shared" si="1"/>
        <v>-0.3429433635445126</v>
      </c>
      <c r="G7" s="7" t="s">
        <v>0</v>
      </c>
    </row>
    <row r="8" spans="1:7" x14ac:dyDescent="0.25">
      <c r="A8" s="6">
        <v>44986</v>
      </c>
      <c r="B8" s="3">
        <v>75796.960000000006</v>
      </c>
      <c r="C8" s="4">
        <f t="shared" si="0"/>
        <v>0.12255288835704548</v>
      </c>
      <c r="D8" s="7" t="s">
        <v>0</v>
      </c>
      <c r="E8" s="3">
        <v>59988.02</v>
      </c>
      <c r="F8" s="4">
        <f t="shared" si="1"/>
        <v>0.45243534887684955</v>
      </c>
      <c r="G8" s="7" t="s">
        <v>0</v>
      </c>
    </row>
    <row r="9" spans="1:7" x14ac:dyDescent="0.25">
      <c r="A9" s="6">
        <v>45017</v>
      </c>
      <c r="B9" s="3">
        <v>73699.710000000006</v>
      </c>
      <c r="C9" s="4">
        <f t="shared" si="0"/>
        <v>-2.7669315497613645E-2</v>
      </c>
      <c r="D9" s="7" t="s">
        <v>0</v>
      </c>
      <c r="E9" s="3">
        <v>45973.85</v>
      </c>
      <c r="F9" s="4">
        <f t="shared" si="1"/>
        <v>-0.23361614535702291</v>
      </c>
      <c r="G9" s="7" t="s">
        <v>0</v>
      </c>
    </row>
    <row r="10" spans="1:7" x14ac:dyDescent="0.25">
      <c r="A10" s="6">
        <v>45047</v>
      </c>
      <c r="B10" s="3">
        <v>76635.960000000006</v>
      </c>
      <c r="C10" s="4">
        <f t="shared" si="0"/>
        <v>3.9840726646007241E-2</v>
      </c>
      <c r="D10" s="7" t="s">
        <v>0</v>
      </c>
      <c r="E10" s="3">
        <v>45213.83</v>
      </c>
      <c r="F10" s="4">
        <f t="shared" si="1"/>
        <v>-1.6531571752202545E-2</v>
      </c>
      <c r="G10" s="7" t="s">
        <v>0</v>
      </c>
    </row>
    <row r="11" spans="1:7" x14ac:dyDescent="0.25">
      <c r="A11" s="6">
        <v>45078</v>
      </c>
      <c r="B11" s="3">
        <v>65645.320000000007</v>
      </c>
      <c r="C11" s="4">
        <f t="shared" si="0"/>
        <v>-0.14341361418321108</v>
      </c>
      <c r="D11" s="7" t="s">
        <v>0</v>
      </c>
      <c r="E11" s="3">
        <v>37508.409999999996</v>
      </c>
      <c r="F11" s="4">
        <f t="shared" si="1"/>
        <v>-0.17042174927450304</v>
      </c>
      <c r="G11" s="7" t="s">
        <v>0</v>
      </c>
    </row>
    <row r="12" spans="1:7" x14ac:dyDescent="0.25">
      <c r="A12" s="6">
        <v>45108</v>
      </c>
      <c r="B12" s="3">
        <v>71294.09</v>
      </c>
      <c r="C12" s="4">
        <f t="shared" si="0"/>
        <v>8.6049850926158689E-2</v>
      </c>
      <c r="D12" s="7" t="s">
        <v>0</v>
      </c>
      <c r="E12" s="3">
        <v>49564.5</v>
      </c>
      <c r="F12" s="4">
        <f t="shared" si="1"/>
        <v>0.32142364872304641</v>
      </c>
      <c r="G12" s="7" t="s">
        <v>0</v>
      </c>
    </row>
    <row r="13" spans="1:7" x14ac:dyDescent="0.25">
      <c r="A13" s="6">
        <v>45139</v>
      </c>
      <c r="B13" s="3">
        <v>101230.6</v>
      </c>
      <c r="C13" s="4">
        <f t="shared" si="0"/>
        <v>0.41990170573746033</v>
      </c>
      <c r="D13" s="7" t="s">
        <v>0</v>
      </c>
      <c r="E13" s="3">
        <v>44151.22</v>
      </c>
      <c r="F13" s="4">
        <f t="shared" si="1"/>
        <v>-0.10921687901623134</v>
      </c>
      <c r="G13" s="7" t="s">
        <v>0</v>
      </c>
    </row>
    <row r="14" spans="1:7" x14ac:dyDescent="0.25">
      <c r="A14" s="6">
        <v>45170</v>
      </c>
      <c r="B14" s="3">
        <v>95616.34</v>
      </c>
      <c r="C14" s="4">
        <f t="shared" si="0"/>
        <v>-5.5460107912034595E-2</v>
      </c>
      <c r="D14" s="7" t="s">
        <v>0</v>
      </c>
      <c r="E14" s="3">
        <v>63312.81</v>
      </c>
      <c r="F14" s="4">
        <f t="shared" si="1"/>
        <v>0.43399910580047374</v>
      </c>
      <c r="G14" s="7" t="s">
        <v>0</v>
      </c>
    </row>
    <row r="15" spans="1:7" x14ac:dyDescent="0.25">
      <c r="A15" s="6">
        <v>45200</v>
      </c>
      <c r="B15" s="3">
        <v>118278.48</v>
      </c>
      <c r="C15" s="4">
        <f t="shared" si="0"/>
        <v>0.23701116357308805</v>
      </c>
      <c r="D15" s="4">
        <f t="shared" ref="D15:D26" si="2">(B15/B3)-1</f>
        <v>-1.1199119947296055E-3</v>
      </c>
      <c r="E15" s="3">
        <v>92994.87</v>
      </c>
      <c r="F15" s="4">
        <f t="shared" si="1"/>
        <v>0.46881602633021657</v>
      </c>
      <c r="G15" s="4">
        <f t="shared" ref="G15:G26" si="3">(E15/E3)-1</f>
        <v>-1.7742451171977036E-2</v>
      </c>
    </row>
    <row r="16" spans="1:7" x14ac:dyDescent="0.25">
      <c r="A16" s="6">
        <v>45231</v>
      </c>
      <c r="B16" s="3">
        <v>172885.82</v>
      </c>
      <c r="C16" s="4">
        <f t="shared" si="0"/>
        <v>0.46168449239455911</v>
      </c>
      <c r="D16" s="4">
        <f t="shared" si="2"/>
        <v>0.19323866150847135</v>
      </c>
      <c r="E16" s="3">
        <v>140261.91</v>
      </c>
      <c r="F16" s="4">
        <f t="shared" si="1"/>
        <v>0.50827577908329791</v>
      </c>
      <c r="G16" s="4">
        <f t="shared" si="3"/>
        <v>-2.7054535465793172E-2</v>
      </c>
    </row>
    <row r="17" spans="1:7" x14ac:dyDescent="0.25">
      <c r="A17" s="6">
        <v>45261</v>
      </c>
      <c r="B17" s="3">
        <v>165643.15</v>
      </c>
      <c r="C17" s="4">
        <f t="shared" si="0"/>
        <v>-4.1892793752547286E-2</v>
      </c>
      <c r="D17" s="4">
        <f t="shared" si="2"/>
        <v>-0.10161810883035549</v>
      </c>
      <c r="E17" s="3">
        <v>123709.59000000001</v>
      </c>
      <c r="F17" s="4">
        <f t="shared" si="1"/>
        <v>-0.11801008556064863</v>
      </c>
      <c r="G17" s="4">
        <f t="shared" si="3"/>
        <v>-8.0633078858622698E-2</v>
      </c>
    </row>
    <row r="18" spans="1:7" x14ac:dyDescent="0.25">
      <c r="A18" s="6">
        <v>45292</v>
      </c>
      <c r="B18" s="3">
        <v>111254.66</v>
      </c>
      <c r="C18" s="4">
        <f t="shared" si="0"/>
        <v>-0.32834735393525172</v>
      </c>
      <c r="D18" s="4">
        <f t="shared" si="2"/>
        <v>0.31125032765152572</v>
      </c>
      <c r="E18" s="3">
        <v>45047.31</v>
      </c>
      <c r="F18" s="4">
        <f t="shared" si="1"/>
        <v>-0.63586242586367003</v>
      </c>
      <c r="G18" s="4">
        <f t="shared" si="3"/>
        <v>-0.28335520516435064</v>
      </c>
    </row>
    <row r="19" spans="1:7" x14ac:dyDescent="0.25">
      <c r="A19" s="6">
        <v>45323</v>
      </c>
      <c r="B19" s="3">
        <v>70008.13</v>
      </c>
      <c r="C19" s="4">
        <f t="shared" si="0"/>
        <v>-0.37073979642740351</v>
      </c>
      <c r="D19" s="4">
        <f t="shared" si="2"/>
        <v>3.6820322872784361E-2</v>
      </c>
      <c r="E19" s="3">
        <v>42025.679999999993</v>
      </c>
      <c r="F19" s="4">
        <f t="shared" si="1"/>
        <v>-6.7076813243676536E-2</v>
      </c>
      <c r="G19" s="4">
        <f t="shared" si="3"/>
        <v>1.7529553277251475E-2</v>
      </c>
    </row>
    <row r="20" spans="1:7" x14ac:dyDescent="0.25">
      <c r="A20" s="6">
        <v>45352</v>
      </c>
      <c r="B20" s="3">
        <v>87505.48</v>
      </c>
      <c r="C20" s="4">
        <f t="shared" si="0"/>
        <v>0.24993311491108239</v>
      </c>
      <c r="D20" s="4">
        <f t="shared" si="2"/>
        <v>0.15447215825014604</v>
      </c>
      <c r="E20" s="3">
        <v>50930.09</v>
      </c>
      <c r="F20" s="4">
        <f t="shared" si="1"/>
        <v>0.21188021228924803</v>
      </c>
      <c r="G20" s="4">
        <f t="shared" si="3"/>
        <v>-0.15099564879787664</v>
      </c>
    </row>
    <row r="21" spans="1:7" x14ac:dyDescent="0.25">
      <c r="A21" s="6">
        <v>45383</v>
      </c>
      <c r="B21" s="3">
        <v>92793.06</v>
      </c>
      <c r="C21" s="4">
        <f t="shared" si="0"/>
        <v>6.0425701338933324E-2</v>
      </c>
      <c r="D21" s="4">
        <f t="shared" si="2"/>
        <v>0.25906954043645469</v>
      </c>
      <c r="E21" s="3">
        <v>53087.8</v>
      </c>
      <c r="F21" s="4">
        <f t="shared" si="1"/>
        <v>4.2366114020218726E-2</v>
      </c>
      <c r="G21" s="4">
        <f t="shared" si="3"/>
        <v>0.15473905274411437</v>
      </c>
    </row>
    <row r="22" spans="1:7" x14ac:dyDescent="0.25">
      <c r="A22" s="6">
        <v>45413</v>
      </c>
      <c r="B22" s="3">
        <v>85357.21</v>
      </c>
      <c r="C22" s="4">
        <f t="shared" si="0"/>
        <v>-8.0133686721830188E-2</v>
      </c>
      <c r="D22" s="4">
        <f t="shared" si="2"/>
        <v>0.11380101456287628</v>
      </c>
      <c r="E22" s="3">
        <v>49039.939999999995</v>
      </c>
      <c r="F22" s="4">
        <f t="shared" si="1"/>
        <v>-7.6248403588018432E-2</v>
      </c>
      <c r="G22" s="4">
        <f t="shared" si="3"/>
        <v>8.4622559070974379E-2</v>
      </c>
    </row>
    <row r="23" spans="1:7" x14ac:dyDescent="0.25">
      <c r="A23" s="6">
        <v>45444</v>
      </c>
      <c r="B23" s="3">
        <v>83879.87</v>
      </c>
      <c r="C23" s="4">
        <f t="shared" si="0"/>
        <v>-1.7307735339522123E-2</v>
      </c>
      <c r="D23" s="4">
        <f t="shared" si="2"/>
        <v>0.27777380017341646</v>
      </c>
      <c r="E23" s="3">
        <v>39938.22</v>
      </c>
      <c r="F23" s="4">
        <f t="shared" si="1"/>
        <v>-0.18559810635983642</v>
      </c>
      <c r="G23" s="4">
        <f t="shared" si="3"/>
        <v>6.4780405247783168E-2</v>
      </c>
    </row>
    <row r="24" spans="1:7" x14ac:dyDescent="0.25">
      <c r="A24" s="6">
        <v>45474</v>
      </c>
      <c r="B24" s="3">
        <v>87469</v>
      </c>
      <c r="C24" s="4">
        <f t="shared" si="0"/>
        <v>4.2788931361004812E-2</v>
      </c>
      <c r="D24" s="4">
        <f t="shared" si="2"/>
        <v>0.22687588830995664</v>
      </c>
      <c r="E24" s="3">
        <v>69808.41</v>
      </c>
      <c r="F24" s="4">
        <f t="shared" si="1"/>
        <v>0.74790989683566278</v>
      </c>
      <c r="G24" s="4">
        <f t="shared" si="3"/>
        <v>0.40843567472687115</v>
      </c>
    </row>
    <row r="25" spans="1:7" x14ac:dyDescent="0.25">
      <c r="A25" s="6">
        <v>45505</v>
      </c>
      <c r="B25" s="3">
        <v>96717.17</v>
      </c>
      <c r="C25" s="4">
        <f t="shared" si="0"/>
        <v>0.10573083035132447</v>
      </c>
      <c r="D25" s="4">
        <f t="shared" si="2"/>
        <v>-4.4585629246492786E-2</v>
      </c>
      <c r="E25" s="3">
        <v>81981.539999999994</v>
      </c>
      <c r="F25" s="4">
        <f t="shared" si="1"/>
        <v>0.17437913282941109</v>
      </c>
      <c r="G25" s="4">
        <f t="shared" si="3"/>
        <v>0.85683521316058742</v>
      </c>
    </row>
    <row r="26" spans="1:7" x14ac:dyDescent="0.25">
      <c r="A26" s="6">
        <v>45536</v>
      </c>
      <c r="B26" s="3">
        <v>84764.6</v>
      </c>
      <c r="C26" s="4">
        <f t="shared" si="0"/>
        <v>-0.12358271028815249</v>
      </c>
      <c r="D26" s="4">
        <f t="shared" si="2"/>
        <v>-0.11349252648658159</v>
      </c>
      <c r="E26" s="3">
        <v>85028.37999999999</v>
      </c>
      <c r="F26" s="4">
        <f t="shared" si="1"/>
        <v>3.716495201236758E-2</v>
      </c>
      <c r="G26" s="4">
        <f t="shared" si="3"/>
        <v>0.3429885674004991</v>
      </c>
    </row>
    <row r="27" spans="1:7" x14ac:dyDescent="0.25">
      <c r="A27" s="6">
        <v>45566</v>
      </c>
      <c r="B27" s="3">
        <v>133795.97</v>
      </c>
      <c r="C27" s="4">
        <f t="shared" ref="C27:C28" si="4">(B27/B26)-1</f>
        <v>0.57844159000337392</v>
      </c>
      <c r="D27" s="4">
        <f t="shared" ref="D27:D28" si="5">(B27/B15)-1</f>
        <v>0.13119453344344634</v>
      </c>
      <c r="E27" s="3">
        <v>103851.61</v>
      </c>
      <c r="F27" s="4">
        <f t="shared" ref="F27:F28" si="6">(E27/E26)-1</f>
        <v>0.22137585121579417</v>
      </c>
      <c r="G27" s="4">
        <f t="shared" ref="G27:G28" si="7">(E27/E15)-1</f>
        <v>0.1167455796217578</v>
      </c>
    </row>
    <row r="28" spans="1:7" x14ac:dyDescent="0.25">
      <c r="A28" s="6">
        <v>45597</v>
      </c>
      <c r="B28" s="3">
        <v>164289.20000000001</v>
      </c>
      <c r="C28" s="4">
        <f t="shared" si="4"/>
        <v>0.22790843401337124</v>
      </c>
      <c r="D28" s="4">
        <f t="shared" si="5"/>
        <v>-4.9724263100351385E-2</v>
      </c>
      <c r="E28" s="3">
        <v>148260.75</v>
      </c>
      <c r="F28" s="4">
        <f t="shared" si="6"/>
        <v>0.42762110284087074</v>
      </c>
      <c r="G28" s="4">
        <f t="shared" si="7"/>
        <v>5.7027884476976043E-2</v>
      </c>
    </row>
    <row r="29" spans="1:7" x14ac:dyDescent="0.25">
      <c r="A29" s="6">
        <v>45627</v>
      </c>
      <c r="B29" s="3">
        <v>181016.27</v>
      </c>
      <c r="C29" s="4">
        <f t="shared" ref="C29" si="8">(B29/B28)-1</f>
        <v>0.10181478758189821</v>
      </c>
      <c r="D29" s="4">
        <f t="shared" ref="D29" si="9">(B29/B17)-1</f>
        <v>9.2808667306797821E-2</v>
      </c>
      <c r="E29" s="3">
        <v>165700.44999999998</v>
      </c>
      <c r="F29" s="4">
        <f t="shared" ref="F29" si="10">(E29/E28)-1</f>
        <v>0.11762856993506365</v>
      </c>
      <c r="G29" s="4">
        <f t="shared" ref="G29" si="11">(E29/E17)-1</f>
        <v>0.33943092043227985</v>
      </c>
    </row>
    <row r="30" spans="1:7" x14ac:dyDescent="0.25">
      <c r="A30" s="6">
        <v>45658</v>
      </c>
      <c r="B30" s="3">
        <v>96578.43</v>
      </c>
      <c r="C30" s="4">
        <f t="shared" ref="C30" si="12">(B30/B29)-1</f>
        <v>-0.46646547296549645</v>
      </c>
      <c r="D30" s="4">
        <f t="shared" ref="D30" si="13">(B30/B18)-1</f>
        <v>-0.13191564290430635</v>
      </c>
      <c r="E30" s="3">
        <v>77905.94</v>
      </c>
      <c r="F30" s="4">
        <f t="shared" ref="F30" si="14">(E30/E29)-1</f>
        <v>-0.529838693859914</v>
      </c>
      <c r="G30" s="4">
        <f t="shared" ref="G30" si="15">(E30/E18)-1</f>
        <v>0.72942490905672286</v>
      </c>
    </row>
    <row r="31" spans="1:7" x14ac:dyDescent="0.25">
      <c r="A31" s="6">
        <v>45689</v>
      </c>
      <c r="B31" s="3">
        <v>73874.399999999994</v>
      </c>
      <c r="C31" s="4">
        <f>(B31/B30)-1</f>
        <v>-0.23508385878710181</v>
      </c>
      <c r="D31" s="4">
        <f>(B31/B19)-1</f>
        <v>5.5226014464319961E-2</v>
      </c>
      <c r="E31" s="3">
        <v>50889.3</v>
      </c>
      <c r="F31" s="4">
        <f>(E31/E30)-1</f>
        <v>-0.34678536707213847</v>
      </c>
      <c r="G31" s="4">
        <f>(E31/E19)-1</f>
        <v>0.21090961526381036</v>
      </c>
    </row>
    <row r="32" spans="1:7" x14ac:dyDescent="0.25">
      <c r="A32" s="6">
        <v>45717</v>
      </c>
      <c r="B32" s="3">
        <v>78349.25</v>
      </c>
      <c r="C32" s="4">
        <f t="shared" ref="C32" si="16">(B32/B31)-1</f>
        <v>6.0573757621043445E-2</v>
      </c>
      <c r="D32" s="4">
        <f t="shared" ref="D32" si="17">(B32/B20)-1</f>
        <v>-0.10463607536350861</v>
      </c>
      <c r="E32" s="3">
        <v>70901.8</v>
      </c>
      <c r="F32" s="4">
        <f t="shared" ref="F32" si="18">(E32/E31)-1</f>
        <v>0.39325555666908363</v>
      </c>
      <c r="G32" s="4">
        <f t="shared" ref="G32" si="19">(E32/E20)-1</f>
        <v>0.39213969580654595</v>
      </c>
    </row>
    <row r="33" spans="1:7" x14ac:dyDescent="0.25">
      <c r="A33" s="6">
        <v>45748</v>
      </c>
      <c r="B33" s="3">
        <v>66928.09</v>
      </c>
      <c r="C33" s="4">
        <f>(B33/B32)-1</f>
        <v>-0.14577242283748737</v>
      </c>
      <c r="D33" s="4">
        <f>(B33/B21)-1</f>
        <v>-0.27873819442962655</v>
      </c>
      <c r="E33" s="3">
        <v>70049.83</v>
      </c>
      <c r="F33" s="4">
        <f>(E33/E32)-1</f>
        <v>-1.201619705000434E-2</v>
      </c>
      <c r="G33" s="4">
        <f>(E33/E21)-1</f>
        <v>0.31950900206827182</v>
      </c>
    </row>
    <row r="34" spans="1:7" x14ac:dyDescent="0.25">
      <c r="A34" s="6">
        <v>45778</v>
      </c>
      <c r="B34" s="3">
        <v>58707.08</v>
      </c>
      <c r="C34" s="4">
        <f t="shared" ref="C34" si="20">(B34/B33)-1</f>
        <v>-0.12283347694518099</v>
      </c>
      <c r="D34" s="4">
        <f t="shared" ref="D34" si="21">(B34/B22)-1</f>
        <v>-0.31221885063956523</v>
      </c>
      <c r="E34" s="3">
        <v>71959.399999999994</v>
      </c>
      <c r="F34" s="4">
        <f t="shared" ref="F34" si="22">(E34/E33)-1</f>
        <v>2.7260166084628557E-2</v>
      </c>
      <c r="G34" s="4">
        <f t="shared" ref="G34" si="23">(E34/E22)-1</f>
        <v>0.46736313298915122</v>
      </c>
    </row>
    <row r="35" spans="1:7" x14ac:dyDescent="0.25">
      <c r="A35" s="6">
        <v>45809</v>
      </c>
      <c r="B35" s="3">
        <v>64199.05</v>
      </c>
      <c r="C35" s="4">
        <f>(B35/B34)-1</f>
        <v>9.3548682714248432E-2</v>
      </c>
      <c r="D35" s="4">
        <f>(B35/B23)-1</f>
        <v>-0.23463102649062273</v>
      </c>
      <c r="E35" s="3">
        <v>57608.87</v>
      </c>
      <c r="F35" s="4">
        <f>(E35/E34)-1</f>
        <v>-0.19942537041720743</v>
      </c>
      <c r="G35" s="4">
        <f>(E35/E23)-1</f>
        <v>0.44244961342793943</v>
      </c>
    </row>
    <row r="36" spans="1:7" x14ac:dyDescent="0.25">
      <c r="A36" s="6">
        <v>45839</v>
      </c>
      <c r="B36" s="3">
        <v>90274.93</v>
      </c>
      <c r="C36" s="4">
        <f>(B36/B35)-1</f>
        <v>0.40617236547892821</v>
      </c>
      <c r="D36" s="4">
        <f>(B36/B24)-1</f>
        <v>3.207913660839834E-2</v>
      </c>
      <c r="E36" s="3">
        <v>82336.5</v>
      </c>
      <c r="F36" s="4">
        <f>(E36/E35)-1</f>
        <v>0.42923303303814153</v>
      </c>
      <c r="G36" s="4">
        <f>(E36/E24)-1</f>
        <v>0.17946390699917103</v>
      </c>
    </row>
    <row r="37" spans="1:7" x14ac:dyDescent="0.25">
      <c r="A37" s="6">
        <v>45870</v>
      </c>
      <c r="B37" s="3">
        <v>124353</v>
      </c>
      <c r="C37" s="4">
        <f t="shared" ref="C37:C38" si="24">(B37/B36)-1</f>
        <v>0.37749206784209099</v>
      </c>
      <c r="D37" s="4">
        <f t="shared" ref="D37:D38" si="25">(B37/B25)-1</f>
        <v>0.28573861290606417</v>
      </c>
      <c r="E37" s="3">
        <v>85501.99</v>
      </c>
      <c r="F37" s="4">
        <f t="shared" ref="F37:F38" si="26">(E37/E36)-1</f>
        <v>3.8445768280167325E-2</v>
      </c>
      <c r="G37" s="4">
        <f t="shared" ref="G37:G38" si="27">(E37/E25)-1</f>
        <v>4.2941984256456012E-2</v>
      </c>
    </row>
    <row r="38" spans="1:7" x14ac:dyDescent="0.25">
      <c r="A38" s="6">
        <v>45901</v>
      </c>
      <c r="B38" s="3">
        <v>124148.35</v>
      </c>
      <c r="C38" s="4">
        <f t="shared" si="24"/>
        <v>-1.6457182375977375E-3</v>
      </c>
      <c r="D38" s="4">
        <f t="shared" si="25"/>
        <v>0.46462497316096574</v>
      </c>
      <c r="E38" s="3">
        <v>107998.2</v>
      </c>
      <c r="F38" s="4">
        <f t="shared" si="26"/>
        <v>0.26310744346418136</v>
      </c>
      <c r="G38" s="4">
        <f t="shared" si="27"/>
        <v>0.27014298049662955</v>
      </c>
    </row>
    <row r="39" spans="1:7" x14ac:dyDescent="0.25">
      <c r="A39" s="6">
        <v>45931</v>
      </c>
      <c r="B39" s="3">
        <v>182381.86</v>
      </c>
      <c r="C39" s="4">
        <f t="shared" ref="C39" si="28">(B39/B38)-1</f>
        <v>0.46906390620576088</v>
      </c>
      <c r="D39" s="4">
        <f t="shared" ref="D39" si="29">(B39/B27)-1</f>
        <v>0.36313418109678475</v>
      </c>
      <c r="E39" s="3">
        <v>126104.87</v>
      </c>
      <c r="F39" s="4">
        <f t="shared" ref="F39" si="30">(E39/E38)-1</f>
        <v>0.16765714613762084</v>
      </c>
      <c r="G39" s="4">
        <f t="shared" ref="G39" si="31">(E39/E27)-1</f>
        <v>0.21427939345379432</v>
      </c>
    </row>
    <row r="40" spans="1:7" x14ac:dyDescent="0.25">
      <c r="A40" s="6">
        <v>45962</v>
      </c>
      <c r="B40" s="3">
        <v>272702.18</v>
      </c>
      <c r="C40" s="4">
        <f t="shared" ref="C40" si="32">(B40/B39)-1</f>
        <v>0.49522644412114247</v>
      </c>
      <c r="D40" s="4">
        <f t="shared" ref="D40" si="33">(B40/B28)-1</f>
        <v>0.65989109448460392</v>
      </c>
      <c r="E40" s="3">
        <v>210253.46</v>
      </c>
      <c r="F40" s="4">
        <f t="shared" ref="F40" si="34">(E40/E39)-1</f>
        <v>0.66729056538419185</v>
      </c>
      <c r="G40" s="4">
        <f t="shared" ref="G40" si="35">(E40/E28)-1</f>
        <v>0.41813298529786191</v>
      </c>
    </row>
    <row r="41" spans="1:7" x14ac:dyDescent="0.25">
      <c r="A41" s="6">
        <v>45992</v>
      </c>
      <c r="B41" s="3">
        <v>274104.65999999997</v>
      </c>
      <c r="C41" s="4">
        <f t="shared" ref="C41" si="36">(B41/B40)-1</f>
        <v>5.1428998477385246E-3</v>
      </c>
      <c r="D41" s="4">
        <f t="shared" ref="D41" si="37">(B41/B29)-1</f>
        <v>0.51425427117683942</v>
      </c>
      <c r="E41" s="3">
        <v>242574.31</v>
      </c>
      <c r="F41" s="4">
        <f t="shared" ref="F41" si="38">(E41/E40)-1</f>
        <v>0.15372327285363108</v>
      </c>
      <c r="G41" s="4">
        <f t="shared" ref="G41" si="39">(E41/E29)-1</f>
        <v>0.46393271714108208</v>
      </c>
    </row>
    <row r="42" spans="1:7" x14ac:dyDescent="0.25">
      <c r="A42" s="6">
        <v>46023</v>
      </c>
      <c r="B42" s="3">
        <v>128523.37</v>
      </c>
      <c r="C42" s="4">
        <f t="shared" ref="C42" si="40">(B42/B41)-1</f>
        <v>-0.53111570594969093</v>
      </c>
      <c r="D42" s="4">
        <f t="shared" ref="D42" si="41">(B42/B30)-1</f>
        <v>0.33076681822224696</v>
      </c>
      <c r="E42" s="3">
        <v>126472.36</v>
      </c>
      <c r="F42" s="4">
        <f t="shared" ref="F42" si="42">(E42/E41)-1</f>
        <v>-0.47862426157163962</v>
      </c>
      <c r="G42" s="4">
        <f t="shared" ref="G42" si="43">(E42/E30)-1</f>
        <v>0.62339816450452945</v>
      </c>
    </row>
    <row r="43" spans="1:7" x14ac:dyDescent="0.25">
      <c r="A43" s="6">
        <v>46054</v>
      </c>
      <c r="B43" s="3">
        <v>91112.11</v>
      </c>
      <c r="C43" s="4">
        <f t="shared" ref="C43" si="44">(B43/B42)-1</f>
        <v>-0.29108527110672555</v>
      </c>
      <c r="D43" s="4">
        <f t="shared" ref="D43" si="45">(B43/B31)-1</f>
        <v>0.23333807110446925</v>
      </c>
      <c r="E43" s="3">
        <v>79760.41</v>
      </c>
      <c r="F43" s="4">
        <f t="shared" ref="F43" si="46">(E43/E42)-1</f>
        <v>-0.36934512805801989</v>
      </c>
      <c r="G43" s="4">
        <f t="shared" ref="G43" si="47">(E43/E31)-1</f>
        <v>0.56733163946055454</v>
      </c>
    </row>
  </sheetData>
  <mergeCells count="2">
    <mergeCell ref="B1:D1"/>
    <mergeCell ref="E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B7DB-B11F-49E3-9D8B-C9A8D0E9E3BA}">
  <dimension ref="A1:G43"/>
  <sheetViews>
    <sheetView showGridLines="0" workbookViewId="0">
      <pane ySplit="2" topLeftCell="A29" activePane="bottomLeft" state="frozen"/>
      <selection pane="bottomLeft" activeCell="G43" sqref="G43"/>
    </sheetView>
  </sheetViews>
  <sheetFormatPr defaultRowHeight="15" x14ac:dyDescent="0.25"/>
  <cols>
    <col min="1" max="1" width="7.28515625" bestFit="1" customWidth="1"/>
    <col min="2" max="2" width="15.140625" bestFit="1" customWidth="1"/>
    <col min="3" max="3" width="8.85546875" bestFit="1" customWidth="1"/>
    <col min="4" max="4" width="10.140625" bestFit="1" customWidth="1"/>
    <col min="5" max="5" width="15.140625" customWidth="1"/>
    <col min="6" max="6" width="9.140625" customWidth="1"/>
    <col min="7" max="7" width="10.140625" customWidth="1"/>
  </cols>
  <sheetData>
    <row r="1" spans="1:7" x14ac:dyDescent="0.25">
      <c r="A1" s="2"/>
      <c r="B1" s="42" t="s">
        <v>14</v>
      </c>
      <c r="C1" s="43"/>
      <c r="D1" s="43"/>
      <c r="E1" s="45" t="s">
        <v>15</v>
      </c>
      <c r="F1" s="45"/>
      <c r="G1" s="45"/>
    </row>
    <row r="2" spans="1:7" x14ac:dyDescent="0.25">
      <c r="A2" s="2"/>
      <c r="B2" s="8" t="s">
        <v>1</v>
      </c>
      <c r="C2" s="8" t="s">
        <v>4</v>
      </c>
      <c r="D2" s="8" t="s">
        <v>3</v>
      </c>
      <c r="E2" s="8" t="s">
        <v>1</v>
      </c>
      <c r="F2" s="8" t="s">
        <v>4</v>
      </c>
      <c r="G2" s="8" t="s">
        <v>3</v>
      </c>
    </row>
    <row r="3" spans="1:7" x14ac:dyDescent="0.25">
      <c r="A3" s="6">
        <v>44835</v>
      </c>
      <c r="B3" s="3">
        <v>0</v>
      </c>
      <c r="C3" s="7" t="s">
        <v>0</v>
      </c>
      <c r="D3" s="7" t="s">
        <v>0</v>
      </c>
      <c r="E3" s="3">
        <v>123091.78</v>
      </c>
      <c r="F3" s="7" t="s">
        <v>0</v>
      </c>
      <c r="G3" s="7" t="s">
        <v>0</v>
      </c>
    </row>
    <row r="4" spans="1:7" x14ac:dyDescent="0.25">
      <c r="A4" s="6">
        <v>44866</v>
      </c>
      <c r="B4" s="3">
        <v>0</v>
      </c>
      <c r="C4" s="4" t="s">
        <v>0</v>
      </c>
      <c r="D4" s="7" t="s">
        <v>0</v>
      </c>
      <c r="E4" s="3">
        <v>124398.36</v>
      </c>
      <c r="F4" s="4">
        <f t="shared" ref="F4:F28" si="0">(E4/E3)-1</f>
        <v>1.0614681175298735E-2</v>
      </c>
      <c r="G4" s="7" t="s">
        <v>0</v>
      </c>
    </row>
    <row r="5" spans="1:7" x14ac:dyDescent="0.25">
      <c r="A5" s="6">
        <v>44896</v>
      </c>
      <c r="B5" s="3">
        <v>11158.85</v>
      </c>
      <c r="C5" s="4" t="s">
        <v>0</v>
      </c>
      <c r="D5" s="7" t="s">
        <v>0</v>
      </c>
      <c r="E5" s="3">
        <v>82142.489999999991</v>
      </c>
      <c r="F5" s="4">
        <f t="shared" si="0"/>
        <v>-0.33968188969693824</v>
      </c>
      <c r="G5" s="7" t="s">
        <v>0</v>
      </c>
    </row>
    <row r="6" spans="1:7" x14ac:dyDescent="0.25">
      <c r="A6" s="6">
        <v>44927</v>
      </c>
      <c r="B6" s="3">
        <v>12141.140000000001</v>
      </c>
      <c r="C6" s="4">
        <f t="shared" ref="C6:C28" si="1">(B6/B5)-1</f>
        <v>8.8027888178441316E-2</v>
      </c>
      <c r="D6" s="7" t="s">
        <v>0</v>
      </c>
      <c r="E6" s="3">
        <v>78986.540000000008</v>
      </c>
      <c r="F6" s="4">
        <f t="shared" si="0"/>
        <v>-3.8420432592194187E-2</v>
      </c>
      <c r="G6" s="7" t="s">
        <v>0</v>
      </c>
    </row>
    <row r="7" spans="1:7" x14ac:dyDescent="0.25">
      <c r="A7" s="6">
        <v>44958</v>
      </c>
      <c r="B7" s="3">
        <v>13779.04</v>
      </c>
      <c r="C7" s="4">
        <f t="shared" si="1"/>
        <v>0.13490495950133186</v>
      </c>
      <c r="D7" s="7" t="s">
        <v>0</v>
      </c>
      <c r="E7" s="3">
        <v>66738</v>
      </c>
      <c r="F7" s="4">
        <f t="shared" si="0"/>
        <v>-0.15507123112368271</v>
      </c>
      <c r="G7" s="7" t="s">
        <v>0</v>
      </c>
    </row>
    <row r="8" spans="1:7" x14ac:dyDescent="0.25">
      <c r="A8" s="6">
        <v>44986</v>
      </c>
      <c r="B8" s="3">
        <v>40273.019999999997</v>
      </c>
      <c r="C8" s="4">
        <f t="shared" si="1"/>
        <v>1.9227740103809841</v>
      </c>
      <c r="D8" s="7" t="s">
        <v>0</v>
      </c>
      <c r="E8" s="3">
        <v>76700.490000000005</v>
      </c>
      <c r="F8" s="4">
        <f t="shared" si="0"/>
        <v>0.14927762294345048</v>
      </c>
      <c r="G8" s="7" t="s">
        <v>0</v>
      </c>
    </row>
    <row r="9" spans="1:7" x14ac:dyDescent="0.25">
      <c r="A9" s="6">
        <v>45017</v>
      </c>
      <c r="B9" s="3">
        <v>54370.07</v>
      </c>
      <c r="C9" s="4">
        <f t="shared" si="1"/>
        <v>0.35003707196530098</v>
      </c>
      <c r="D9" s="7" t="s">
        <v>0</v>
      </c>
      <c r="E9" s="3">
        <v>71816.59</v>
      </c>
      <c r="F9" s="4">
        <f t="shared" si="0"/>
        <v>-6.3674951750634312E-2</v>
      </c>
      <c r="G9" s="7" t="s">
        <v>0</v>
      </c>
    </row>
    <row r="10" spans="1:7" x14ac:dyDescent="0.25">
      <c r="A10" s="6">
        <v>45047</v>
      </c>
      <c r="B10" s="3">
        <v>50614.61</v>
      </c>
      <c r="C10" s="4">
        <f t="shared" si="1"/>
        <v>-6.9072193580034025E-2</v>
      </c>
      <c r="D10" s="7" t="s">
        <v>0</v>
      </c>
      <c r="E10" s="3">
        <v>70561.680000000008</v>
      </c>
      <c r="F10" s="4">
        <f t="shared" si="0"/>
        <v>-1.7473817679173997E-2</v>
      </c>
      <c r="G10" s="7" t="s">
        <v>0</v>
      </c>
    </row>
    <row r="11" spans="1:7" x14ac:dyDescent="0.25">
      <c r="A11" s="6">
        <v>45078</v>
      </c>
      <c r="B11" s="3">
        <v>54941.27</v>
      </c>
      <c r="C11" s="4">
        <f t="shared" si="1"/>
        <v>8.5482432839055766E-2</v>
      </c>
      <c r="D11" s="7" t="s">
        <v>0</v>
      </c>
      <c r="E11" s="3">
        <v>56864.490000000005</v>
      </c>
      <c r="F11" s="4">
        <f t="shared" si="0"/>
        <v>-0.19411655164672947</v>
      </c>
      <c r="G11" s="7" t="s">
        <v>0</v>
      </c>
    </row>
    <row r="12" spans="1:7" x14ac:dyDescent="0.25">
      <c r="A12" s="6">
        <v>45108</v>
      </c>
      <c r="B12" s="3">
        <v>72084.350000000006</v>
      </c>
      <c r="C12" s="4">
        <f t="shared" si="1"/>
        <v>0.3120255501920508</v>
      </c>
      <c r="D12" s="7" t="s">
        <v>0</v>
      </c>
      <c r="E12" s="3">
        <v>86695.46</v>
      </c>
      <c r="F12" s="4">
        <f t="shared" si="0"/>
        <v>0.52459751243702346</v>
      </c>
      <c r="G12" s="7" t="s">
        <v>0</v>
      </c>
    </row>
    <row r="13" spans="1:7" x14ac:dyDescent="0.25">
      <c r="A13" s="6">
        <v>45139</v>
      </c>
      <c r="B13" s="3">
        <v>73107.44</v>
      </c>
      <c r="C13" s="4">
        <f t="shared" si="1"/>
        <v>1.4192955891257908E-2</v>
      </c>
      <c r="D13" s="7" t="s">
        <v>0</v>
      </c>
      <c r="E13" s="3">
        <v>89979.25</v>
      </c>
      <c r="F13" s="4">
        <f t="shared" si="0"/>
        <v>3.7877300610666298E-2</v>
      </c>
      <c r="G13" s="7" t="s">
        <v>0</v>
      </c>
    </row>
    <row r="14" spans="1:7" x14ac:dyDescent="0.25">
      <c r="A14" s="6">
        <v>45170</v>
      </c>
      <c r="B14" s="3">
        <v>88393.52</v>
      </c>
      <c r="C14" s="4">
        <f t="shared" si="1"/>
        <v>0.20909062059894312</v>
      </c>
      <c r="D14" s="7" t="s">
        <v>0</v>
      </c>
      <c r="E14" s="3">
        <v>73189.73</v>
      </c>
      <c r="F14" s="4">
        <f t="shared" si="0"/>
        <v>-0.18659324233087082</v>
      </c>
      <c r="G14" s="7" t="s">
        <v>0</v>
      </c>
    </row>
    <row r="15" spans="1:7" x14ac:dyDescent="0.25">
      <c r="A15" s="6">
        <v>45200</v>
      </c>
      <c r="B15" s="3">
        <v>61772.950000000004</v>
      </c>
      <c r="C15" s="4">
        <f t="shared" si="1"/>
        <v>-0.30115974564651349</v>
      </c>
      <c r="D15" s="4" t="s">
        <v>0</v>
      </c>
      <c r="E15" s="3">
        <v>87743.48</v>
      </c>
      <c r="F15" s="4">
        <f t="shared" si="0"/>
        <v>0.19884962002182549</v>
      </c>
      <c r="G15" s="4">
        <f t="shared" ref="G15:G28" si="2">(E15/E3)-1</f>
        <v>-0.28717027245848592</v>
      </c>
    </row>
    <row r="16" spans="1:7" x14ac:dyDescent="0.25">
      <c r="A16" s="6">
        <v>45231</v>
      </c>
      <c r="B16" s="3">
        <v>68626.320000000007</v>
      </c>
      <c r="C16" s="4">
        <f t="shared" si="1"/>
        <v>0.11094451535825955</v>
      </c>
      <c r="D16" s="4" t="s">
        <v>0</v>
      </c>
      <c r="E16" s="3">
        <v>87650.28</v>
      </c>
      <c r="F16" s="4">
        <f t="shared" si="0"/>
        <v>-1.0621871847343867E-3</v>
      </c>
      <c r="G16" s="4">
        <f t="shared" si="2"/>
        <v>-0.29540646677335614</v>
      </c>
    </row>
    <row r="17" spans="1:7" x14ac:dyDescent="0.25">
      <c r="A17" s="6">
        <v>45261</v>
      </c>
      <c r="B17" s="3">
        <v>65113.36</v>
      </c>
      <c r="C17" s="4">
        <f t="shared" si="1"/>
        <v>-5.1189689320365828E-2</v>
      </c>
      <c r="D17" s="4">
        <f t="shared" ref="D17:D28" si="3">(B17/B5)-1</f>
        <v>4.8351317564085905</v>
      </c>
      <c r="E17" s="3">
        <v>61797.549999999996</v>
      </c>
      <c r="F17" s="4">
        <f t="shared" si="0"/>
        <v>-0.29495319353229676</v>
      </c>
      <c r="G17" s="4">
        <f t="shared" si="2"/>
        <v>-0.24767863745060559</v>
      </c>
    </row>
    <row r="18" spans="1:7" x14ac:dyDescent="0.25">
      <c r="A18" s="6">
        <v>45292</v>
      </c>
      <c r="B18" s="3">
        <v>58380.54</v>
      </c>
      <c r="C18" s="4">
        <f t="shared" si="1"/>
        <v>-0.10340151391358088</v>
      </c>
      <c r="D18" s="4">
        <f t="shared" si="3"/>
        <v>3.80848915340734</v>
      </c>
      <c r="E18" s="3">
        <v>55627.26</v>
      </c>
      <c r="F18" s="4">
        <f t="shared" si="0"/>
        <v>-9.9846838588261044E-2</v>
      </c>
      <c r="G18" s="4">
        <f t="shared" si="2"/>
        <v>-0.29573747628393399</v>
      </c>
    </row>
    <row r="19" spans="1:7" x14ac:dyDescent="0.25">
      <c r="A19" s="6">
        <v>45323</v>
      </c>
      <c r="B19" s="3">
        <v>52369.84</v>
      </c>
      <c r="C19" s="4">
        <f t="shared" si="1"/>
        <v>-0.10295725253654731</v>
      </c>
      <c r="D19" s="4">
        <f t="shared" si="3"/>
        <v>2.8006885820782865</v>
      </c>
      <c r="E19" s="3">
        <v>49592.37</v>
      </c>
      <c r="F19" s="4">
        <f t="shared" si="0"/>
        <v>-0.10848799671240317</v>
      </c>
      <c r="G19" s="4">
        <f t="shared" si="2"/>
        <v>-0.25690955677425154</v>
      </c>
    </row>
    <row r="20" spans="1:7" x14ac:dyDescent="0.25">
      <c r="A20" s="6">
        <v>45352</v>
      </c>
      <c r="B20" s="3">
        <v>70954</v>
      </c>
      <c r="C20" s="4">
        <f t="shared" si="1"/>
        <v>0.35486379183132888</v>
      </c>
      <c r="D20" s="4">
        <f t="shared" si="3"/>
        <v>0.76182466574396468</v>
      </c>
      <c r="E20" s="3">
        <v>47828.7</v>
      </c>
      <c r="F20" s="4">
        <f t="shared" si="0"/>
        <v>-3.5563333633782834E-2</v>
      </c>
      <c r="G20" s="4">
        <f t="shared" si="2"/>
        <v>-0.37642249743124201</v>
      </c>
    </row>
    <row r="21" spans="1:7" x14ac:dyDescent="0.25">
      <c r="A21" s="6">
        <v>45383</v>
      </c>
      <c r="B21" s="3">
        <v>75799.08</v>
      </c>
      <c r="C21" s="4">
        <f t="shared" si="1"/>
        <v>6.8284804239366448E-2</v>
      </c>
      <c r="D21" s="4">
        <f t="shared" si="3"/>
        <v>0.39413247030949194</v>
      </c>
      <c r="E21" s="3">
        <v>55923.29</v>
      </c>
      <c r="F21" s="4">
        <f t="shared" si="0"/>
        <v>0.1692412714541689</v>
      </c>
      <c r="G21" s="4">
        <f t="shared" si="2"/>
        <v>-0.2213040190295863</v>
      </c>
    </row>
    <row r="22" spans="1:7" x14ac:dyDescent="0.25">
      <c r="A22" s="6">
        <v>45413</v>
      </c>
      <c r="B22" s="3">
        <v>83596.97</v>
      </c>
      <c r="C22" s="4">
        <f t="shared" si="1"/>
        <v>0.10287578688290155</v>
      </c>
      <c r="D22" s="4">
        <f t="shared" si="3"/>
        <v>0.6516371458754695</v>
      </c>
      <c r="E22" s="3">
        <v>62496.43</v>
      </c>
      <c r="F22" s="4">
        <f t="shared" si="0"/>
        <v>0.11753850676524924</v>
      </c>
      <c r="G22" s="4">
        <f t="shared" si="2"/>
        <v>-0.11430070825978078</v>
      </c>
    </row>
    <row r="23" spans="1:7" x14ac:dyDescent="0.25">
      <c r="A23" s="6">
        <v>45444</v>
      </c>
      <c r="B23" s="3">
        <v>76244.87000000001</v>
      </c>
      <c r="C23" s="4">
        <f t="shared" si="1"/>
        <v>-8.7946967455877822E-2</v>
      </c>
      <c r="D23" s="4">
        <f t="shared" si="3"/>
        <v>0.38775223070016418</v>
      </c>
      <c r="E23" s="3">
        <v>45303.13</v>
      </c>
      <c r="F23" s="4">
        <f t="shared" si="0"/>
        <v>-0.27510851419833104</v>
      </c>
      <c r="G23" s="4">
        <f t="shared" si="2"/>
        <v>-0.20331423002298987</v>
      </c>
    </row>
    <row r="24" spans="1:7" x14ac:dyDescent="0.25">
      <c r="A24" s="6">
        <v>45474</v>
      </c>
      <c r="B24" s="3">
        <v>102672.34</v>
      </c>
      <c r="C24" s="4">
        <f t="shared" si="1"/>
        <v>0.34661309016593478</v>
      </c>
      <c r="D24" s="4">
        <f t="shared" si="3"/>
        <v>0.42433607294787268</v>
      </c>
      <c r="E24" s="3">
        <v>49712.469999999994</v>
      </c>
      <c r="F24" s="4">
        <f t="shared" si="0"/>
        <v>9.7329698853037216E-2</v>
      </c>
      <c r="G24" s="4">
        <f t="shared" si="2"/>
        <v>-0.42658508300203968</v>
      </c>
    </row>
    <row r="25" spans="1:7" x14ac:dyDescent="0.25">
      <c r="A25" s="6">
        <v>45505</v>
      </c>
      <c r="B25" s="3">
        <v>97799.37000000001</v>
      </c>
      <c r="C25" s="4">
        <f t="shared" si="1"/>
        <v>-4.746137080347046E-2</v>
      </c>
      <c r="D25" s="4">
        <f t="shared" si="3"/>
        <v>0.33774852463716432</v>
      </c>
      <c r="E25" s="3">
        <v>48532.69</v>
      </c>
      <c r="F25" s="4">
        <f t="shared" si="0"/>
        <v>-2.3732073662805164E-2</v>
      </c>
      <c r="G25" s="4">
        <f t="shared" si="2"/>
        <v>-0.46062353264780487</v>
      </c>
    </row>
    <row r="26" spans="1:7" x14ac:dyDescent="0.25">
      <c r="A26" s="6">
        <v>45536</v>
      </c>
      <c r="B26" s="3">
        <v>104547.26</v>
      </c>
      <c r="C26" s="4">
        <f t="shared" si="1"/>
        <v>6.8997274726820601E-2</v>
      </c>
      <c r="D26" s="4">
        <f t="shared" si="3"/>
        <v>0.18274801139269026</v>
      </c>
      <c r="E26" s="3">
        <v>45406.009999999995</v>
      </c>
      <c r="F26" s="4">
        <f t="shared" si="0"/>
        <v>-6.4424205623055508E-2</v>
      </c>
      <c r="G26" s="4">
        <f t="shared" si="2"/>
        <v>-0.37961227620323235</v>
      </c>
    </row>
    <row r="27" spans="1:7" x14ac:dyDescent="0.25">
      <c r="A27" s="6">
        <v>45566</v>
      </c>
      <c r="B27" s="3">
        <v>110408.92000000001</v>
      </c>
      <c r="C27" s="4">
        <f t="shared" si="1"/>
        <v>5.6067083919751015E-2</v>
      </c>
      <c r="D27" s="4">
        <f t="shared" si="3"/>
        <v>0.78733442388618324</v>
      </c>
      <c r="E27" s="3">
        <v>42991.15</v>
      </c>
      <c r="F27" s="4">
        <f t="shared" si="0"/>
        <v>-5.3183708500262217E-2</v>
      </c>
      <c r="G27" s="4">
        <f t="shared" si="2"/>
        <v>-0.51003595936700941</v>
      </c>
    </row>
    <row r="28" spans="1:7" x14ac:dyDescent="0.25">
      <c r="A28" s="6">
        <v>45597</v>
      </c>
      <c r="B28" s="3">
        <v>123719.8</v>
      </c>
      <c r="C28" s="4">
        <f t="shared" si="1"/>
        <v>0.12055982433303392</v>
      </c>
      <c r="D28" s="4">
        <f t="shared" si="3"/>
        <v>0.80280393878033962</v>
      </c>
      <c r="E28" s="3">
        <v>58075.92</v>
      </c>
      <c r="F28" s="4">
        <f t="shared" si="0"/>
        <v>0.35088082082009886</v>
      </c>
      <c r="G28" s="4">
        <f t="shared" si="2"/>
        <v>-0.33741318339199833</v>
      </c>
    </row>
    <row r="29" spans="1:7" x14ac:dyDescent="0.25">
      <c r="A29" s="6">
        <v>45627</v>
      </c>
      <c r="B29" s="3">
        <v>120166.12</v>
      </c>
      <c r="C29" s="4">
        <f t="shared" ref="C29" si="4">(B29/B28)-1</f>
        <v>-2.872361578340743E-2</v>
      </c>
      <c r="D29" s="4">
        <f t="shared" ref="D29" si="5">(B29/B17)-1</f>
        <v>0.84549100215378226</v>
      </c>
      <c r="E29" s="3">
        <v>39018.94</v>
      </c>
      <c r="F29" s="4">
        <f t="shared" ref="F29" si="6">(E29/E28)-1</f>
        <v>-0.3281390979256118</v>
      </c>
      <c r="G29" s="4">
        <f t="shared" ref="G29" si="7">(E29/E17)-1</f>
        <v>-0.36860053513448343</v>
      </c>
    </row>
    <row r="30" spans="1:7" x14ac:dyDescent="0.25">
      <c r="A30" s="6">
        <v>45658</v>
      </c>
      <c r="B30" s="3">
        <v>103324.26</v>
      </c>
      <c r="C30" s="4">
        <f t="shared" ref="C30" si="8">(B30/B29)-1</f>
        <v>-0.14015481235476357</v>
      </c>
      <c r="D30" s="4">
        <f t="shared" ref="D30" si="9">(B30/B18)-1</f>
        <v>0.76984077228473713</v>
      </c>
      <c r="E30" s="3">
        <v>35390.81</v>
      </c>
      <c r="F30" s="4">
        <f t="shared" ref="F30" si="10">(E30/E29)-1</f>
        <v>-9.2983817602426022E-2</v>
      </c>
      <c r="G30" s="4">
        <f t="shared" ref="G30" si="11">(E30/E18)-1</f>
        <v>-0.36378656795247521</v>
      </c>
    </row>
    <row r="31" spans="1:7" x14ac:dyDescent="0.25">
      <c r="A31" s="6">
        <v>45689</v>
      </c>
      <c r="B31" s="3">
        <v>110540.84</v>
      </c>
      <c r="C31" s="4">
        <f>(B31/B30)-1</f>
        <v>6.984400372187527E-2</v>
      </c>
      <c r="D31" s="4">
        <f>(B31/B19)-1</f>
        <v>1.1107729181528909</v>
      </c>
      <c r="E31" s="3">
        <v>39374.699999999997</v>
      </c>
      <c r="F31" s="4">
        <f>(E31/E30)-1</f>
        <v>0.11256848882520631</v>
      </c>
      <c r="G31" s="4">
        <f>(E31/E19)-1</f>
        <v>-0.20603310549586573</v>
      </c>
    </row>
    <row r="32" spans="1:7" x14ac:dyDescent="0.25">
      <c r="A32" s="6">
        <v>45717</v>
      </c>
      <c r="B32" s="3">
        <v>95238.65</v>
      </c>
      <c r="C32" s="4">
        <f t="shared" ref="C32" si="12">(B32/B31)-1</f>
        <v>-0.13843019466832351</v>
      </c>
      <c r="D32" s="4">
        <f t="shared" ref="D32" si="13">(B32/B20)-1</f>
        <v>0.3422590692561378</v>
      </c>
      <c r="E32" s="3">
        <v>39734.239999999998</v>
      </c>
      <c r="F32" s="4">
        <f t="shared" ref="F32" si="14">(E32/E31)-1</f>
        <v>9.1312441745587947E-3</v>
      </c>
      <c r="G32" s="4">
        <f t="shared" ref="G32" si="15">(E32/E20)-1</f>
        <v>-0.16923855342085403</v>
      </c>
    </row>
    <row r="33" spans="1:7" x14ac:dyDescent="0.25">
      <c r="A33" s="6">
        <v>45748</v>
      </c>
      <c r="B33" s="3">
        <v>94172.66</v>
      </c>
      <c r="C33" s="4">
        <f>(B33/B32)-1</f>
        <v>-1.119282980176628E-2</v>
      </c>
      <c r="D33" s="4">
        <f>(B33/B21)-1</f>
        <v>0.24239845655118764</v>
      </c>
      <c r="E33" s="3">
        <v>35423.089999999997</v>
      </c>
      <c r="F33" s="4">
        <f>(E33/E32)-1</f>
        <v>-0.10849962148514736</v>
      </c>
      <c r="G33" s="4">
        <f>(E33/E21)-1</f>
        <v>-0.36657714522875895</v>
      </c>
    </row>
    <row r="34" spans="1:7" x14ac:dyDescent="0.25">
      <c r="A34" s="6">
        <v>45778</v>
      </c>
      <c r="B34" s="3">
        <v>100421.67</v>
      </c>
      <c r="C34" s="4">
        <f t="shared" ref="C34" si="16">(B34/B33)-1</f>
        <v>6.6356944786310601E-2</v>
      </c>
      <c r="D34" s="4">
        <f t="shared" ref="D34" si="17">(B34/B22)-1</f>
        <v>0.20125968680443806</v>
      </c>
      <c r="E34" s="3">
        <v>48351.97</v>
      </c>
      <c r="F34" s="4">
        <f t="shared" ref="F34" si="18">(E34/E33)-1</f>
        <v>0.36498453409908649</v>
      </c>
      <c r="G34" s="4">
        <f t="shared" ref="G34" si="19">(E34/E22)-1</f>
        <v>-0.22632428764331014</v>
      </c>
    </row>
    <row r="35" spans="1:7" x14ac:dyDescent="0.25">
      <c r="A35" s="6">
        <v>45809</v>
      </c>
      <c r="B35" s="3">
        <v>96270.3</v>
      </c>
      <c r="C35" s="4">
        <f t="shared" ref="C35:C41" si="20">(B35/B34)-1</f>
        <v>-4.1339384218565534E-2</v>
      </c>
      <c r="D35" s="4">
        <f t="shared" ref="D35:D40" si="21">(B35/B23)-1</f>
        <v>0.26264626065989738</v>
      </c>
      <c r="E35" s="3">
        <v>33333.79</v>
      </c>
      <c r="F35" s="4">
        <f t="shared" ref="F35:F41" si="22">(E35/E34)-1</f>
        <v>-0.31060120197791319</v>
      </c>
      <c r="G35" s="4">
        <f t="shared" ref="G35:G40" si="23">(E35/E23)-1</f>
        <v>-0.26420558579506537</v>
      </c>
    </row>
    <row r="36" spans="1:7" x14ac:dyDescent="0.25">
      <c r="A36" s="6">
        <v>45839</v>
      </c>
      <c r="B36" s="3">
        <v>142441.79999999999</v>
      </c>
      <c r="C36" s="4">
        <f t="shared" si="20"/>
        <v>0.47960274352526144</v>
      </c>
      <c r="D36" s="4">
        <f t="shared" si="21"/>
        <v>0.3873434656305681</v>
      </c>
      <c r="E36" s="3">
        <v>54820.45</v>
      </c>
      <c r="F36" s="4">
        <f t="shared" si="22"/>
        <v>0.64459096910372304</v>
      </c>
      <c r="G36" s="4">
        <f t="shared" si="23"/>
        <v>0.10275047689241767</v>
      </c>
    </row>
    <row r="37" spans="1:7" x14ac:dyDescent="0.25">
      <c r="A37" s="6">
        <v>45870</v>
      </c>
      <c r="B37" s="3">
        <v>132128.24</v>
      </c>
      <c r="C37" s="4">
        <f t="shared" si="20"/>
        <v>-7.2405431551693433E-2</v>
      </c>
      <c r="D37" s="4">
        <f t="shared" si="21"/>
        <v>0.35101320182328344</v>
      </c>
      <c r="E37" s="3">
        <v>70057.95</v>
      </c>
      <c r="F37" s="4">
        <f t="shared" si="22"/>
        <v>0.27795284423969524</v>
      </c>
      <c r="G37" s="4">
        <f t="shared" si="23"/>
        <v>0.44352085161568411</v>
      </c>
    </row>
    <row r="38" spans="1:7" x14ac:dyDescent="0.25">
      <c r="A38" s="6">
        <v>45901</v>
      </c>
      <c r="B38" s="3">
        <v>116242.12</v>
      </c>
      <c r="C38" s="4">
        <f t="shared" si="20"/>
        <v>-0.12023258616023336</v>
      </c>
      <c r="D38" s="4">
        <f t="shared" si="21"/>
        <v>0.11186194645368985</v>
      </c>
      <c r="E38" s="3">
        <v>57387.88</v>
      </c>
      <c r="F38" s="4">
        <f t="shared" si="22"/>
        <v>-0.18085128097524983</v>
      </c>
      <c r="G38" s="4">
        <f t="shared" si="23"/>
        <v>0.26388290889245725</v>
      </c>
    </row>
    <row r="39" spans="1:7" x14ac:dyDescent="0.25">
      <c r="A39" s="6">
        <v>45931</v>
      </c>
      <c r="B39" s="3">
        <v>159905.28</v>
      </c>
      <c r="C39" s="4">
        <f t="shared" si="20"/>
        <v>0.37562253682228097</v>
      </c>
      <c r="D39" s="4">
        <f t="shared" si="21"/>
        <v>0.44830037283219482</v>
      </c>
      <c r="E39" s="3">
        <v>63423.27</v>
      </c>
      <c r="F39" s="4">
        <f t="shared" si="22"/>
        <v>0.10516837353113573</v>
      </c>
      <c r="G39" s="4">
        <f t="shared" si="23"/>
        <v>0.47526339723408184</v>
      </c>
    </row>
    <row r="40" spans="1:7" x14ac:dyDescent="0.25">
      <c r="A40" s="6">
        <v>45962</v>
      </c>
      <c r="B40" s="3">
        <v>196622.9</v>
      </c>
      <c r="C40" s="4">
        <f t="shared" si="20"/>
        <v>0.22962106066791543</v>
      </c>
      <c r="D40" s="4">
        <f t="shared" si="21"/>
        <v>0.58925976278655479</v>
      </c>
      <c r="E40" s="3">
        <v>89726.87</v>
      </c>
      <c r="F40" s="4">
        <f t="shared" si="22"/>
        <v>0.41473106006675464</v>
      </c>
      <c r="G40" s="4">
        <f t="shared" si="23"/>
        <v>0.54499265788643547</v>
      </c>
    </row>
    <row r="41" spans="1:7" x14ac:dyDescent="0.25">
      <c r="A41" s="6">
        <v>45992</v>
      </c>
      <c r="B41" s="3">
        <v>179527.62</v>
      </c>
      <c r="C41" s="4">
        <f t="shared" si="20"/>
        <v>-8.6944501378018568E-2</v>
      </c>
      <c r="D41" s="4">
        <f t="shared" ref="D41" si="24">(B41/B29)-1</f>
        <v>0.49399531248907769</v>
      </c>
      <c r="E41" s="3">
        <v>87524.44</v>
      </c>
      <c r="F41" s="4">
        <f t="shared" si="22"/>
        <v>-2.4545935905264438E-2</v>
      </c>
      <c r="G41" s="4">
        <f t="shared" ref="G41" si="25">(E41/E29)-1</f>
        <v>1.2431270557324212</v>
      </c>
    </row>
    <row r="42" spans="1:7" x14ac:dyDescent="0.25">
      <c r="A42" s="6">
        <v>46023</v>
      </c>
      <c r="B42" s="3">
        <v>188627.71</v>
      </c>
      <c r="C42" s="4">
        <f t="shared" ref="C42" si="26">(B42/B41)-1</f>
        <v>5.0689080599408687E-2</v>
      </c>
      <c r="D42" s="4">
        <f t="shared" ref="D42" si="27">(B42/B30)-1</f>
        <v>0.82558975017096659</v>
      </c>
      <c r="E42" s="3">
        <v>65460.21</v>
      </c>
      <c r="F42" s="4">
        <f t="shared" ref="F42" si="28">(E42/E41)-1</f>
        <v>-0.25209221561429018</v>
      </c>
      <c r="G42" s="4">
        <f t="shared" ref="G42" si="29">(E42/E30)-1</f>
        <v>0.84963864912953402</v>
      </c>
    </row>
    <row r="43" spans="1:7" x14ac:dyDescent="0.25">
      <c r="A43" s="6">
        <v>46054</v>
      </c>
      <c r="B43" s="3">
        <v>161624.35999999999</v>
      </c>
      <c r="C43" s="4">
        <f t="shared" ref="C43" si="30">(B43/B42)-1</f>
        <v>-0.14315685643429588</v>
      </c>
      <c r="D43" s="4">
        <f t="shared" ref="D43" si="31">(B43/B31)-1</f>
        <v>0.46212350114220224</v>
      </c>
      <c r="E43" s="3">
        <v>56388.08</v>
      </c>
      <c r="F43" s="4">
        <f t="shared" ref="F43" si="32">(E43/E42)-1</f>
        <v>-0.13858999230219393</v>
      </c>
      <c r="G43" s="4">
        <f t="shared" ref="G43" si="33">(E43/E31)-1</f>
        <v>0.4320891333775243</v>
      </c>
    </row>
  </sheetData>
  <mergeCells count="2">
    <mergeCell ref="B1:D1"/>
    <mergeCell ref="E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FATURAMENTO LOJAS</vt:lpstr>
      <vt:lpstr>Rank fornecedor</vt:lpstr>
      <vt:lpstr>LP GERAL</vt:lpstr>
      <vt:lpstr>Pisos &amp; Revestimentos</vt:lpstr>
      <vt:lpstr>Pintura &amp; Cia</vt:lpstr>
      <vt:lpstr>Argamassa &amp; 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Carvalho de Castro e Silva</dc:creator>
  <cp:lastModifiedBy>Rafael Carvalho de Castro e Silva</cp:lastModifiedBy>
  <dcterms:created xsi:type="dcterms:W3CDTF">2024-12-10T12:50:41Z</dcterms:created>
  <dcterms:modified xsi:type="dcterms:W3CDTF">2026-03-04T13:05:15Z</dcterms:modified>
</cp:coreProperties>
</file>